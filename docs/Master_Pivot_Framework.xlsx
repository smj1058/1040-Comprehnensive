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Inputs" sheetId="1" state="visible" r:id="rId1"/>
    <sheet name="Pivot_Summary" sheetId="2" state="visible" r:id="rId2"/>
    <sheet name="Pivot_Medium" sheetId="3" state="visible" r:id="rId3"/>
    <sheet name="Pivot_Detailed" sheetId="4" state="visible" r:id="rId4"/>
    <sheet name="Pivot_Helpers" sheetId="5" state="visible" r:id="rId5"/>
    <sheet name="Y2025" sheetId="6" state="visible" r:id="rId6"/>
    <sheet name="Treatment_Profile_Map" sheetId="7" state="visible" r:id="rId7"/>
    <sheet name="Dropdown_Lists" sheetId="8" state="visible" r:id="rId8"/>
  </sheets>
  <definedNames>
    <definedName name="Bucket">'Dropdown_Lists'!$A$4:$A$11</definedName>
    <definedName name="Yes_No">'Dropdown_Lists'!$B$4:$B$5</definedName>
    <definedName name="NIIT_Class">'Dropdown_Lists'!$C$4:$C$7</definedName>
    <definedName name="Provenance">'Dropdown_Lists'!$D$4:$D$13</definedName>
    <definedName name="Status">'Dropdown_Lists'!$E$4:$E$8</definedName>
    <definedName name="TaxLines">'Dropdown_Lists'!$F$4:$F$13</definedName>
    <definedName name="Activity_Type">'Dropdown_Lists'!$G$4:$G$5</definedName>
    <definedName name="BusinessIncome_Profiles">'Dropdown_Lists'!$A$19:$A$27</definedName>
    <definedName name="Wages_Profiles">'Dropdown_Lists'!$B$19:$B$20</definedName>
    <definedName name="InvestmentIncome_Profiles">'Dropdown_Lists'!$C$19:$C$22</definedName>
    <definedName name="CapitalGains_Profiles">'Dropdown_Lists'!$D$19:$D$23</definedName>
    <definedName name="Adjustment_Profiles">'Dropdown_Lists'!$E$19:$E$23</definedName>
    <definedName name="Itemized_Profiles">'Dropdown_Lists'!$F$19:$F$22</definedName>
    <definedName name="Credit_Profiles">'Dropdown_Lists'!$G$19:$G$21</definedName>
    <definedName name="Payment_Profiles">'Dropdown_Lists'!$H$19:$H$20</definedName>
    <definedName name="BusinessIncome_Docs">'Dropdown_Lists'!$A$35:$A$41</definedName>
    <definedName name="Wages_Docs">'Dropdown_Lists'!$B$35:$B$37</definedName>
    <definedName name="InvestmentIncome_Docs">'Dropdown_Lists'!$C$35:$C$37</definedName>
    <definedName name="CapitalGains_Docs">'Dropdown_Lists'!$D$35:$D$38</definedName>
    <definedName name="Adjustment_Docs">'Dropdown_Lists'!$E$35:$E$39</definedName>
    <definedName name="Itemized_Docs">'Dropdown_Lists'!$F$35:$F$38</definedName>
    <definedName name="Credit_Docs">'Dropdown_Lists'!$G$35:$G$37</definedName>
    <definedName name="Payment_Docs">'Dropdown_Lists'!$H$35:$H$36</definedName>
    <definedName name="W2_OWNER">'Y2025'!$J$23</definedName>
    <definedName name="W2_THIRD_PARTY">'Y2025'!$J$24</definedName>
    <definedName name="W2_TOTAL">'Y2025'!$J$25</definedName>
    <definedName name="BI_SE_SUBJECT">'Y2025'!$J$26</definedName>
    <definedName name="BI_ACTIVE_NONSE">'Y2025'!$J$27</definedName>
    <definedName name="BI_PASSIVE">'Y2025'!$J$28</definedName>
    <definedName name="TAX_EXEMPT">'Y2025'!$J$29</definedName>
    <definedName name="QUAL_DIV">'Y2025'!$J$30</definedName>
    <definedName name="CG_LT">'Y2025'!$J$31</definedName>
    <definedName name="CG_ST">'Y2025'!$J$32</definedName>
    <definedName name="SEC1250">'Y2025'!$J$33</definedName>
    <definedName name="Line_1z_Wages">'Y2025'!$M$6</definedName>
    <definedName name="Line_2a_TaxExempt">'Y2025'!$M$7</definedName>
    <definedName name="Line_2b_TaxInt">'Y2025'!$M$8</definedName>
    <definedName name="Line_3a_QualDiv">'Y2025'!$M$9</definedName>
    <definedName name="Line_3b_OrdDiv">'Y2025'!$M$10</definedName>
    <definedName name="Line_7_CapGain">'Y2025'!$M$11</definedName>
    <definedName name="Line_8_OtherInc">'Y2025'!$M$12</definedName>
    <definedName name="TotalIncome">'Y2025'!$M$13</definedName>
    <definedName name="AdjToIncome">'Y2025'!$M$14</definedName>
    <definedName name="AGI">'Y2025'!$M$15</definedName>
    <definedName name="StdItemDed">'Y2025'!$M$16</definedName>
    <definedName name="QBI_Deduction">'Y2025'!$M$17</definedName>
    <definedName name="TaxableIncome">'Y2025'!$M$18</definedName>
    <definedName name="OrdIncome">'Y2025'!$J$37</definedName>
    <definedName name="MAGI">'Y2025'!$J$38</definedName>
    <definedName name="NII">'Y2025'!$J$39</definedName>
    <definedName name="QBI_Income">'Y2025'!$J$40</definedName>
    <definedName name="TaxableIncome_BeforeQBI">'Y2025'!$J$41</definedName>
    <definedName name="BusinessLoss">'Y2025'!$J$42</definedName>
    <definedName name="NetSEIncome">'Y2025'!$J$43</definedName>
    <definedName name="UBIA">'Y2025'!$J$44</definedName>
    <definedName name="IsSSTB">'Y2025'!$J$45</definedName>
    <definedName name="NOL_Carryforward">'Y2025'!$J$46</definedName>
    <definedName name="Drill_Line">'Y2025'!$I$49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305496"/>
      <sz val="14"/>
    </font>
    <font>
      <name val="Calibri"/>
      <b val="1"/>
      <color rgb="00FFFFFF"/>
      <sz val="11"/>
    </font>
    <font>
      <name val="Calibri"/>
      <b val="1"/>
      <color rgb="00305496"/>
      <sz val="10"/>
    </font>
    <font>
      <name val="Calibri"/>
      <i val="1"/>
      <color rgb="00595959"/>
      <sz val="9"/>
    </font>
    <font>
      <color rgb="000563C1"/>
      <u val="single"/>
    </font>
    <font>
      <b val="1"/>
      <color rgb="00305496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right"/>
    </xf>
    <xf numFmtId="0" fontId="6" fillId="4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blMaster_Inputs" displayName="tblMaster_Inputs" ref="A4:S15" headerRowCount="1">
  <autoFilter ref="A4:S15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13" name="SE_Subject"/>
    <tableColumn id="14" name="NIIT_Class"/>
    <tableColumn id="15" name="QBI_Eligible"/>
    <tableColumn id="16" name="Primary_Line"/>
    <tableColumn id="17" name="Helper_Treatment"/>
    <tableColumn id="18" name="Consider"/>
    <tableColumn id="19" name="Notes"/>
  </tableColumns>
  <tableStyleInfo name="TableStyleMedium2" showRowStripes="1"/>
</table>
</file>

<file path=xl/tables/table2.xml><?xml version="1.0" encoding="utf-8"?>
<table xmlns="http://schemas.openxmlformats.org/spreadsheetml/2006/main" id="2" name="tblY2025_Strategies" displayName="tblY2025_Strategies" ref="A5:F10" headerRowCount="1">
  <autoFilter ref="A5:F10"/>
  <tableColumns count="6">
    <tableColumn id="1" name="StrategyID"/>
    <tableColumn id="2" name="Strategy Name"/>
    <tableColumn id="3" name="TargetLine"/>
    <tableColumn id="4" name="Amount"/>
    <tableColumn id="5" name="Status"/>
    <tableColumn id="6" name="Notes"/>
  </tableColumns>
  <tableStyleInfo name="TableStyleMedium2" showRowStripes="1"/>
</table>
</file>

<file path=xl/tables/table3.xml><?xml version="1.0" encoding="utf-8"?>
<table xmlns="http://schemas.openxmlformats.org/spreadsheetml/2006/main" id="3" name="tblTreatmentProfileMap" displayName="tblTreatmentProfileMap" ref="A4:I38" headerRowCount="1">
  <autoFilter ref="A4:I38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1" customWidth="1" min="3" max="3"/>
    <col width="18" customWidth="1" min="4" max="4"/>
    <col width="18" customWidth="1" min="5" max="5"/>
    <col width="22" customWidth="1" min="6" max="6"/>
    <col width="22" customWidth="1" min="7" max="7"/>
    <col width="14" customWidth="1" min="8" max="8"/>
    <col width="18" customWidth="1" min="9" max="9"/>
    <col width="22" customWidth="1" min="10" max="10"/>
    <col width="14" customWidth="1" min="11" max="11"/>
    <col width="14" customWidth="1" min="12" max="12"/>
    <col width="11" customWidth="1" min="13" max="13"/>
    <col width="12" customWidth="1" min="14" max="14"/>
    <col width="13" customWidth="1" min="15" max="15"/>
    <col width="11" customWidth="1" min="16" max="16"/>
    <col width="18" customWidth="1" min="17" max="17"/>
    <col width="30" customWidth="1" min="18" max="18"/>
    <col width="30" customWidth="1" min="19" max="19"/>
  </cols>
  <sheetData>
    <row r="1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SE_Subject</t>
        </is>
      </c>
      <c r="N4" s="3" t="inlineStr">
        <is>
          <t>NIIT_Class</t>
        </is>
      </c>
      <c r="O4" s="3" t="inlineStr">
        <is>
          <t>QBI_Eligible</t>
        </is>
      </c>
      <c r="P4" s="3" t="inlineStr">
        <is>
          <t>Primary_Line</t>
        </is>
      </c>
      <c r="Q4" s="3" t="inlineStr">
        <is>
          <t>Helper_Treatment</t>
        </is>
      </c>
      <c r="R4" s="3" t="inlineStr">
        <is>
          <t>Consider</t>
        </is>
      </c>
      <c r="S4" s="3" t="inlineStr">
        <is>
          <t>Notes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No</t>
        </is>
      </c>
      <c r="N5" s="4" t="inlineStr">
        <is>
          <t>Active</t>
        </is>
      </c>
      <c r="O5" s="4" t="inlineStr">
        <is>
          <t>No</t>
        </is>
      </c>
      <c r="P5" s="4" t="inlineStr">
        <is>
          <t>1z</t>
        </is>
      </c>
      <c r="Q5" s="4" t="inlineStr">
        <is>
          <t>OWNER_PAY</t>
        </is>
      </c>
      <c r="R5" s="4" t="inlineStr">
        <is>
          <t>Owner reasonable comp</t>
        </is>
      </c>
      <c r="S5" s="4" t="inlineStr"/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No</t>
        </is>
      </c>
      <c r="N6" s="4" t="inlineStr">
        <is>
          <t>Passive</t>
        </is>
      </c>
      <c r="O6" s="4" t="inlineStr">
        <is>
          <t>Yes</t>
        </is>
      </c>
      <c r="P6" s="4" t="inlineStr">
        <is>
          <t>8</t>
        </is>
      </c>
      <c r="Q6" s="4" t="inlineStr">
        <is>
          <t>K1_SPLIT</t>
        </is>
      </c>
      <c r="R6" s="4" t="inlineStr">
        <is>
          <t>Passive loss</t>
        </is>
      </c>
      <c r="S6" s="4" t="inlineStr"/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No</t>
        </is>
      </c>
      <c r="N7" s="4" t="inlineStr">
        <is>
          <t>Portfolio</t>
        </is>
      </c>
      <c r="O7" s="4" t="inlineStr">
        <is>
          <t>No</t>
        </is>
      </c>
      <c r="P7" s="4" t="inlineStr">
        <is>
          <t>3b</t>
        </is>
      </c>
      <c r="Q7" s="4" t="inlineStr">
        <is>
          <t>QUAL_DIV</t>
        </is>
      </c>
      <c r="R7" s="4" t="inlineStr">
        <is>
          <t>All non-qualified</t>
        </is>
      </c>
      <c r="S7" s="4" t="inlineStr"/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No</t>
        </is>
      </c>
      <c r="N8" s="4" t="inlineStr">
        <is>
          <t>Portfolio</t>
        </is>
      </c>
      <c r="O8" s="4" t="inlineStr">
        <is>
          <t>No</t>
        </is>
      </c>
      <c r="P8" s="4" t="inlineStr">
        <is>
          <t>7</t>
        </is>
      </c>
      <c r="Q8" s="4" t="inlineStr">
        <is>
          <t>LTCG_SPLIT</t>
        </is>
      </c>
      <c r="R8" s="4" t="inlineStr">
        <is>
          <t>All long-term</t>
        </is>
      </c>
      <c r="S8" s="4" t="inlineStr"/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No</t>
        </is>
      </c>
      <c r="N9" s="4" t="inlineStr">
        <is>
          <t>Active</t>
        </is>
      </c>
      <c r="O9" s="4" t="inlineStr">
        <is>
          <t>No</t>
        </is>
      </c>
      <c r="P9" s="4" t="inlineStr">
        <is>
          <t>1z</t>
        </is>
      </c>
      <c r="Q9" s="4" t="inlineStr">
        <is>
          <t>OWNER_PAY</t>
        </is>
      </c>
      <c r="R9" s="4" t="inlineStr">
        <is>
          <t>Owner reasonable comp</t>
        </is>
      </c>
      <c r="S9" s="4" t="inlineStr"/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No</t>
        </is>
      </c>
      <c r="N10" s="4" t="inlineStr">
        <is>
          <t>Active</t>
        </is>
      </c>
      <c r="O10" s="4" t="inlineStr">
        <is>
          <t>Yes</t>
        </is>
      </c>
      <c r="P10" s="4" t="inlineStr">
        <is>
          <t>8</t>
        </is>
      </c>
      <c r="Q10" s="4" t="inlineStr">
        <is>
          <t>K1_SPLIT</t>
        </is>
      </c>
      <c r="R10" s="4" t="inlineStr">
        <is>
          <t>Active S-corp K-1</t>
        </is>
      </c>
      <c r="S10" s="4" t="inlineStr"/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No</t>
        </is>
      </c>
      <c r="N11" s="4" t="inlineStr">
        <is>
          <t>Portfolio</t>
        </is>
      </c>
      <c r="O11" s="4" t="inlineStr">
        <is>
          <t>No</t>
        </is>
      </c>
      <c r="P11" s="4" t="inlineStr">
        <is>
          <t>3b</t>
        </is>
      </c>
      <c r="Q11" s="4" t="inlineStr">
        <is>
          <t>QUAL_DIV</t>
        </is>
      </c>
      <c r="R11" s="4" t="inlineStr">
        <is>
          <t>$7K qualified</t>
        </is>
      </c>
      <c r="S11" s="4" t="inlineStr"/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</t>
        </is>
      </c>
      <c r="N12" s="4" t="inlineStr">
        <is>
          <t>Portfolio</t>
        </is>
      </c>
      <c r="O12" s="4" t="inlineStr">
        <is>
          <t>No</t>
        </is>
      </c>
      <c r="P12" s="4" t="inlineStr">
        <is>
          <t>2b</t>
        </is>
      </c>
      <c r="Q12" s="4" t="inlineStr">
        <is>
          <t>TAX_EXEMPT</t>
        </is>
      </c>
      <c r="R12" s="4" t="inlineStr">
        <is>
          <t>All taxable</t>
        </is>
      </c>
      <c r="S12" s="4" t="inlineStr"/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No</t>
        </is>
      </c>
      <c r="N13" s="4" t="inlineStr">
        <is>
          <t>Portfolio</t>
        </is>
      </c>
      <c r="O13" s="4" t="inlineStr">
        <is>
          <t>No</t>
        </is>
      </c>
      <c r="P13" s="4" t="inlineStr">
        <is>
          <t>7</t>
        </is>
      </c>
      <c r="Q13" s="4" t="inlineStr">
        <is>
          <t>LTCG_SPLIT</t>
        </is>
      </c>
      <c r="R13" s="4" t="inlineStr">
        <is>
          <t>All long-term</t>
        </is>
      </c>
      <c r="S13" s="4" t="inlineStr"/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inlineStr"/>
      <c r="K14" s="4" t="n">
        <v>10000</v>
      </c>
      <c r="L14" s="4" t="n">
        <v>0</v>
      </c>
      <c r="M14" s="4" t="inlineStr">
        <is>
          <t>No</t>
        </is>
      </c>
      <c r="N14" s="4" t="inlineStr">
        <is>
          <t>N/A</t>
        </is>
      </c>
      <c r="O14" s="4" t="inlineStr">
        <is>
          <t>No</t>
        </is>
      </c>
      <c r="P14" s="4" t="inlineStr">
        <is>
          <t>12</t>
        </is>
      </c>
      <c r="Q14" s="4" t="inlineStr">
        <is>
          <t>SALT</t>
        </is>
      </c>
      <c r="R14" s="4" t="inlineStr">
        <is>
          <t>SALT cap</t>
        </is>
      </c>
      <c r="S14" s="4" t="inlineStr"/>
    </row>
    <row r="15">
      <c r="A15" s="4" t="inlineStr">
        <is>
          <t>SAM|2025|Strategy|CostSeg|01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Business Income</t>
        </is>
      </c>
      <c r="F15" s="4" t="inlineStr">
        <is>
          <t>SchE_Rental</t>
        </is>
      </c>
      <c r="G15" s="4" t="inlineStr"/>
      <c r="H15" s="4" t="inlineStr">
        <is>
          <t>Strategy</t>
        </is>
      </c>
      <c r="I15" s="4" t="inlineStr">
        <is>
          <t>Estimate - Preparer</t>
        </is>
      </c>
      <c r="J15" s="4" t="inlineStr"/>
      <c r="K15" s="4" t="n">
        <v>-80000</v>
      </c>
      <c r="L15" s="4" t="n">
        <v>0</v>
      </c>
      <c r="M15" s="4" t="inlineStr">
        <is>
          <t>No</t>
        </is>
      </c>
      <c r="N15" s="4" t="inlineStr">
        <is>
          <t>Passive</t>
        </is>
      </c>
      <c r="O15" s="4" t="inlineStr">
        <is>
          <t>No</t>
        </is>
      </c>
      <c r="P15" s="4" t="inlineStr">
        <is>
          <t>8</t>
        </is>
      </c>
      <c r="Q15" s="4" t="inlineStr">
        <is>
          <t>PASSIVE</t>
        </is>
      </c>
      <c r="R15" s="4" t="inlineStr">
        <is>
          <t>Cost Seg accelerated depreciation</t>
        </is>
      </c>
      <c r="S15" s="4" t="inlineStr">
        <is>
          <t>STD-012 Committed</t>
        </is>
      </c>
    </row>
  </sheetData>
  <dataValidations count="8">
    <dataValidation sqref="E5:E500" showDropDown="0" showInputMessage="0" showErrorMessage="0" allowBlank="1" type="list">
      <formula1>=Bucket</formula1>
    </dataValidation>
    <dataValidation sqref="F5:F500" showDropDown="0" showInputMessage="0" showErrorMessage="0" allowBlank="1" type="list">
      <formula1>=INDIRECT(SUBSTITUTE($E5," ","")&amp;"_Profiles")</formula1>
    </dataValidation>
    <dataValidation sqref="G5:G500" showDropDown="0" showInputMessage="0" showErrorMessage="0" allowBlank="1" type="list">
      <formula1>=INDIRECT(SUBSTITUTE($E5," ","")&amp;"_Docs")</formula1>
    </dataValidation>
    <dataValidation sqref="H5:H500" showDropDown="0" showInputMessage="0" showErrorMessage="0" allowBlank="1" type="list">
      <formula1>=Activity_Type</formula1>
    </dataValidation>
    <dataValidation sqref="I5:I500" showDropDown="0" showInputMessage="0" showErrorMessage="0" allowBlank="1" type="list">
      <formula1>=Provenance</formula1>
    </dataValidation>
    <dataValidation sqref="M5:M500" showDropDown="0" showInputMessage="0" showErrorMessage="0" allowBlank="1" type="list">
      <formula1>=Yes_No</formula1>
    </dataValidation>
    <dataValidation sqref="N5:N500" showDropDown="0" showInputMessage="0" showErrorMessage="0" allowBlank="1" type="list">
      <formula1>=NIIT_Class</formula1>
    </dataValidation>
    <dataValidation sqref="O5:O500" showDropDown="0" showInputMessage="0" showErrorMessage="0" allowBlank="1" type="list">
      <formula1>=Yes_No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"1z")</f>
        <v/>
      </c>
      <c r="D5">
        <f>SUMIFS(tblMaster_Inputs[Baseline_Amount], tblMaster_Inputs[Year], 2024, tblMaster_Inputs[Primary_Line], "1z")</f>
        <v/>
      </c>
      <c r="E5">
        <f>SUMIFS(tblMaster_Inputs[Baseline_Amount], tblMaster_Inputs[Year], 2025, tblMaster_Inputs[Primary_Line], "1z")</f>
        <v/>
      </c>
      <c r="F5">
        <f>SUMIFS(tblMaster_Inputs[Baseline_Amount], tblMaster_Inputs[Year], 2026, tblMaster_Inputs[Primary_Line], "1z")</f>
        <v/>
      </c>
      <c r="G5">
        <f>SUMIFS(tblMaster_Inputs[Baseline_Amount], tblMaster_Inputs[Year], 2027, tblMaster_Inputs[Primary_Line], "1z")</f>
        <v/>
      </c>
      <c r="H5">
        <f>SUMIFS(tblMaster_Inputs[Baseline_Amount], tblMaster_Inputs[Year], 2028, tblMaster_Inputs[Primary_Line], "1z")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"2b")</f>
        <v/>
      </c>
      <c r="D6">
        <f>SUMIFS(tblMaster_Inputs[Baseline_Amount], tblMaster_Inputs[Year], 2024, tblMaster_Inputs[Primary_Line], "2b")</f>
        <v/>
      </c>
      <c r="E6">
        <f>SUMIFS(tblMaster_Inputs[Baseline_Amount], tblMaster_Inputs[Year], 2025, tblMaster_Inputs[Primary_Line], "2b")</f>
        <v/>
      </c>
      <c r="F6">
        <f>SUMIFS(tblMaster_Inputs[Baseline_Amount], tblMaster_Inputs[Year], 2026, tblMaster_Inputs[Primary_Line], "2b")</f>
        <v/>
      </c>
      <c r="G6">
        <f>SUMIFS(tblMaster_Inputs[Baseline_Amount], tblMaster_Inputs[Year], 2027, tblMaster_Inputs[Primary_Line], "2b")</f>
        <v/>
      </c>
      <c r="H6">
        <f>SUMIFS(tblMaster_Inputs[Baseline_Amount], tblMaster_Inputs[Year], 2028, tblMaster_Inputs[Primary_Line], "2b")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"3b")</f>
        <v/>
      </c>
      <c r="D7">
        <f>SUMIFS(tblMaster_Inputs[Baseline_Amount], tblMaster_Inputs[Year], 2024, tblMaster_Inputs[Primary_Line], "3b")</f>
        <v/>
      </c>
      <c r="E7">
        <f>SUMIFS(tblMaster_Inputs[Baseline_Amount], tblMaster_Inputs[Year], 2025, tblMaster_Inputs[Primary_Line], "3b")</f>
        <v/>
      </c>
      <c r="F7">
        <f>SUMIFS(tblMaster_Inputs[Baseline_Amount], tblMaster_Inputs[Year], 2026, tblMaster_Inputs[Primary_Line], "3b")</f>
        <v/>
      </c>
      <c r="G7">
        <f>SUMIFS(tblMaster_Inputs[Baseline_Amount], tblMaster_Inputs[Year], 2027, tblMaster_Inputs[Primary_Line], "3b")</f>
        <v/>
      </c>
      <c r="H7">
        <f>SUMIFS(tblMaster_Inputs[Baseline_Amount], tblMaster_Inputs[Year], 2028, tblMaster_Inputs[Primary_Line], "3b")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"7")</f>
        <v/>
      </c>
      <c r="D8">
        <f>SUMIFS(tblMaster_Inputs[Baseline_Amount], tblMaster_Inputs[Year], 2024, tblMaster_Inputs[Primary_Line], "7")</f>
        <v/>
      </c>
      <c r="E8">
        <f>SUMIFS(tblMaster_Inputs[Baseline_Amount], tblMaster_Inputs[Year], 2025, tblMaster_Inputs[Primary_Line], "7")</f>
        <v/>
      </c>
      <c r="F8">
        <f>SUMIFS(tblMaster_Inputs[Baseline_Amount], tblMaster_Inputs[Year], 2026, tblMaster_Inputs[Primary_Line], "7")</f>
        <v/>
      </c>
      <c r="G8">
        <f>SUMIFS(tblMaster_Inputs[Baseline_Amount], tblMaster_Inputs[Year], 2027, tblMaster_Inputs[Primary_Line], "7")</f>
        <v/>
      </c>
      <c r="H8">
        <f>SUMIFS(tblMaster_Inputs[Baseline_Amount], tblMaster_Inputs[Year], 2028, tblMaster_Inputs[Primary_Line], "7")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"8")</f>
        <v/>
      </c>
      <c r="D9">
        <f>SUMIFS(tblMaster_Inputs[Baseline_Amount], tblMaster_Inputs[Year], 2024, tblMaster_Inputs[Primary_Line], "8")</f>
        <v/>
      </c>
      <c r="E9">
        <f>SUMIFS(tblMaster_Inputs[Baseline_Amount], tblMaster_Inputs[Year], 2025, tblMaster_Inputs[Primary_Line], "8")</f>
        <v/>
      </c>
      <c r="F9">
        <f>SUMIFS(tblMaster_Inputs[Baseline_Amount], tblMaster_Inputs[Year], 2026, tblMaster_Inputs[Primary_Line], "8")</f>
        <v/>
      </c>
      <c r="G9">
        <f>SUMIFS(tblMaster_Inputs[Baseline_Amount], tblMaster_Inputs[Year], 2027, tblMaster_Inputs[Primary_Line], "8")</f>
        <v/>
      </c>
      <c r="H9">
        <f>SUMIFS(tblMaster_Inputs[Baseline_Amount], tblMaster_Inputs[Year], 2028, tblMaster_Inputs[Primary_Line], "8")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"10")</f>
        <v/>
      </c>
      <c r="D11">
        <f>SUMIFS(tblMaster_Inputs[Baseline_Amount], tblMaster_Inputs[Year], 2024, tblMaster_Inputs[Primary_Line], "10")</f>
        <v/>
      </c>
      <c r="E11">
        <f>SUMIFS(tblMaster_Inputs[Baseline_Amount], tblMaster_Inputs[Year], 2025, tblMaster_Inputs[Primary_Line], "10")</f>
        <v/>
      </c>
      <c r="F11">
        <f>SUMIFS(tblMaster_Inputs[Baseline_Amount], tblMaster_Inputs[Year], 2026, tblMaster_Inputs[Primary_Line], "10")</f>
        <v/>
      </c>
      <c r="G11">
        <f>SUMIFS(tblMaster_Inputs[Baseline_Amount], tblMaster_Inputs[Year], 2027, tblMaster_Inputs[Primary_Line], "10")</f>
        <v/>
      </c>
      <c r="H11">
        <f>SUMIFS(tblMaster_Inputs[Baseline_Amount], tblMaster_Inputs[Year], 2028, tblMaster_Inputs[Primary_Line], "10")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"12")</f>
        <v/>
      </c>
      <c r="D13">
        <f>SUMIFS(tblMaster_Inputs[Baseline_Amount], tblMaster_Inputs[Year], 2024, tblMaster_Inputs[Primary_Line], "12")</f>
        <v/>
      </c>
      <c r="E13">
        <f>SUMIFS(tblMaster_Inputs[Baseline_Amount], tblMaster_Inputs[Year], 2025, tblMaster_Inputs[Primary_Line], "12")</f>
        <v/>
      </c>
      <c r="F13">
        <f>SUMIFS(tblMaster_Inputs[Baseline_Amount], tblMaster_Inputs[Year], 2026, tblMaster_Inputs[Primary_Line], "12")</f>
        <v/>
      </c>
      <c r="G13">
        <f>SUMIFS(tblMaster_Inputs[Baseline_Amount], tblMaster_Inputs[Year], 2027, tblMaster_Inputs[Primary_Line], "12")</f>
        <v/>
      </c>
      <c r="H13">
        <f>SUMIFS(tblMaster_Inputs[Baseline_Amount], tblMaster_Inputs[Year], 2028, tblMaster_Inputs[Primary_Line], "12")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"13")</f>
        <v/>
      </c>
      <c r="D14">
        <f>SUMIFS(tblMaster_Inputs[Baseline_Amount], tblMaster_Inputs[Year], 2024, tblMaster_Inputs[Primary_Line], "13")</f>
        <v/>
      </c>
      <c r="E14">
        <f>SUMIFS(tblMaster_Inputs[Baseline_Amount], tblMaster_Inputs[Year], 2025, tblMaster_Inputs[Primary_Line], "13")</f>
        <v/>
      </c>
      <c r="F14">
        <f>SUMIFS(tblMaster_Inputs[Baseline_Amount], tblMaster_Inputs[Year], 2026, tblMaster_Inputs[Primary_Line], "13")</f>
        <v/>
      </c>
      <c r="G14">
        <f>SUMIFS(tblMaster_Inputs[Baseline_Amount], tblMaster_Inputs[Year], 2027, tblMaster_Inputs[Primary_Line], "13")</f>
        <v/>
      </c>
      <c r="H14">
        <f>SUMIFS(tblMaster_Inputs[Baseline_Amount], tblMaster_Inputs[Year], 2028, tblMaster_Inputs[Primary_Line], "13")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"1z")</f>
        <v/>
      </c>
      <c r="D5">
        <f>SUMIFS(tblMaster_Inputs[Baseline_Amount], tblMaster_Inputs[Year], 2024, tblMaster_Inputs[Primary_Line], "1z")</f>
        <v/>
      </c>
      <c r="E5">
        <f>SUMIFS(tblMaster_Inputs[Baseline_Amount], tblMaster_Inputs[Year], 2025, tblMaster_Inputs[Primary_Line], "1z")</f>
        <v/>
      </c>
      <c r="F5">
        <f>SUMIFS(tblMaster_Inputs[Baseline_Amount], tblMaster_Inputs[Year], 2026, tblMaster_Inputs[Primary_Line], "1z")</f>
        <v/>
      </c>
      <c r="G5">
        <f>SUMIFS(tblMaster_Inputs[Baseline_Amount], tblMaster_Inputs[Year], 2027, tblMaster_Inputs[Primary_Line], "1z")</f>
        <v/>
      </c>
      <c r="H5">
        <f>SUMIFS(tblMaster_Inputs[Baseline_Amount], tblMaster_Inputs[Year], 2028, tblMaster_Inputs[Primary_Line], "1z")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"2b")</f>
        <v/>
      </c>
      <c r="D6">
        <f>SUMIFS(tblMaster_Inputs[Baseline_Amount], tblMaster_Inputs[Year], 2024, tblMaster_Inputs[Primary_Line], "2b")</f>
        <v/>
      </c>
      <c r="E6">
        <f>SUMIFS(tblMaster_Inputs[Baseline_Amount], tblMaster_Inputs[Year], 2025, tblMaster_Inputs[Primary_Line], "2b")</f>
        <v/>
      </c>
      <c r="F6">
        <f>SUMIFS(tblMaster_Inputs[Baseline_Amount], tblMaster_Inputs[Year], 2026, tblMaster_Inputs[Primary_Line], "2b")</f>
        <v/>
      </c>
      <c r="G6">
        <f>SUMIFS(tblMaster_Inputs[Baseline_Amount], tblMaster_Inputs[Year], 2027, tblMaster_Inputs[Primary_Line], "2b")</f>
        <v/>
      </c>
      <c r="H6">
        <f>SUMIFS(tblMaster_Inputs[Baseline_Amount], tblMaster_Inputs[Year], 2028, tblMaster_Inputs[Primary_Line], "2b")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"3b")</f>
        <v/>
      </c>
      <c r="D7">
        <f>SUMIFS(tblMaster_Inputs[Baseline_Amount], tblMaster_Inputs[Year], 2024, tblMaster_Inputs[Primary_Line], "3b")</f>
        <v/>
      </c>
      <c r="E7">
        <f>SUMIFS(tblMaster_Inputs[Baseline_Amount], tblMaster_Inputs[Year], 2025, tblMaster_Inputs[Primary_Line], "3b")</f>
        <v/>
      </c>
      <c r="F7">
        <f>SUMIFS(tblMaster_Inputs[Baseline_Amount], tblMaster_Inputs[Year], 2026, tblMaster_Inputs[Primary_Line], "3b")</f>
        <v/>
      </c>
      <c r="G7">
        <f>SUMIFS(tblMaster_Inputs[Baseline_Amount], tblMaster_Inputs[Year], 2027, tblMaster_Inputs[Primary_Line], "3b")</f>
        <v/>
      </c>
      <c r="H7">
        <f>SUMIFS(tblMaster_Inputs[Baseline_Amount], tblMaster_Inputs[Year], 2028, tblMaster_Inputs[Primary_Line], "3b")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"7")</f>
        <v/>
      </c>
      <c r="D8">
        <f>SUMIFS(tblMaster_Inputs[Baseline_Amount], tblMaster_Inputs[Year], 2024, tblMaster_Inputs[Primary_Line], "7")</f>
        <v/>
      </c>
      <c r="E8">
        <f>SUMIFS(tblMaster_Inputs[Baseline_Amount], tblMaster_Inputs[Year], 2025, tblMaster_Inputs[Primary_Line], "7")</f>
        <v/>
      </c>
      <c r="F8">
        <f>SUMIFS(tblMaster_Inputs[Baseline_Amount], tblMaster_Inputs[Year], 2026, tblMaster_Inputs[Primary_Line], "7")</f>
        <v/>
      </c>
      <c r="G8">
        <f>SUMIFS(tblMaster_Inputs[Baseline_Amount], tblMaster_Inputs[Year], 2027, tblMaster_Inputs[Primary_Line], "7")</f>
        <v/>
      </c>
      <c r="H8">
        <f>SUMIFS(tblMaster_Inputs[Baseline_Amount], tblMaster_Inputs[Year], 2028, tblMaster_Inputs[Primary_Line], "7")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"SchC_Active")</f>
        <v/>
      </c>
      <c r="D9">
        <f>SUMIFS(tblMaster_Inputs[Baseline_Amount], tblMaster_Inputs[Year], 2024, tblMaster_Inputs[Treatment_Profile], "SchC_Active")</f>
        <v/>
      </c>
      <c r="E9">
        <f>SUMIFS(tblMaster_Inputs[Baseline_Amount], tblMaster_Inputs[Year], 2025, tblMaster_Inputs[Treatment_Profile], "SchC_Active")</f>
        <v/>
      </c>
      <c r="F9">
        <f>SUMIFS(tblMaster_Inputs[Baseline_Amount], tblMaster_Inputs[Year], 2026, tblMaster_Inputs[Treatment_Profile], "SchC_Active")</f>
        <v/>
      </c>
      <c r="G9">
        <f>SUMIFS(tblMaster_Inputs[Baseline_Amount], tblMaster_Inputs[Year], 2027, tblMaster_Inputs[Treatment_Profile], "SchC_Active")</f>
        <v/>
      </c>
      <c r="H9">
        <f>SUMIFS(tblMaster_Inputs[Baseline_Amount], tblMaster_Inputs[Year], 2028, tblMaster_Inputs[Treatment_Profile], "SchC_Active")</f>
        <v/>
      </c>
    </row>
    <row r="10">
      <c r="A10" t="inlineStr">
        <is>
          <t>8.SchE</t>
        </is>
      </c>
      <c r="B10" t="inlineStr">
        <is>
          <t>Schedule E rental</t>
        </is>
      </c>
      <c r="C10">
        <f>SUMIFS(tblMaster_Inputs[Baseline_Amount], tblMaster_Inputs[Year], 2023, tblMaster_Inputs[Bucket], "Business Income", tblMaster_Inputs[NIIT_Class], "Passive")</f>
        <v/>
      </c>
      <c r="D10">
        <f>SUMIFS(tblMaster_Inputs[Baseline_Amount], tblMaster_Inputs[Year], 2024, tblMaster_Inputs[Bucket], "Business Income", tblMaster_Inputs[NIIT_Class], "Passive")</f>
        <v/>
      </c>
      <c r="E10">
        <f>SUMIFS(tblMaster_Inputs[Baseline_Amount], tblMaster_Inputs[Year], 2025, tblMaster_Inputs[Bucket], "Business Income", tblMaster_Inputs[NIIT_Class], "Passive")</f>
        <v/>
      </c>
      <c r="F10">
        <f>SUMIFS(tblMaster_Inputs[Baseline_Amount], tblMaster_Inputs[Year], 2026, tblMaster_Inputs[Bucket], "Business Income", tblMaster_Inputs[NIIT_Class], "Passive")</f>
        <v/>
      </c>
      <c r="G10">
        <f>SUMIFS(tblMaster_Inputs[Baseline_Amount], tblMaster_Inputs[Year], 2027, tblMaster_Inputs[Bucket], "Business Income", tblMaster_Inputs[NIIT_Class], "Passive")</f>
        <v/>
      </c>
      <c r="H10">
        <f>SUMIFS(tblMaster_Inputs[Baseline_Amount], tblMaster_Inputs[Year], 2028, tblMaster_Inputs[Bucket], "Business Income", tblMaster_Inputs[NIIT_Class], "Passive")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"K1_PTP_Active") + SUMIFS(tblMaster_Inputs[Baseline_Amount], tblMaster_Inputs[Year], 2023, tblMaster_Inputs[Treatment_Profile], "K1_PTP_Passive")</f>
        <v/>
      </c>
      <c r="D11">
        <f>SUMIFS(tblMaster_Inputs[Baseline_Amount], tblMaster_Inputs[Year], 2024, tblMaster_Inputs[Treatment_Profile], "K1_PTP_Active") + SUMIFS(tblMaster_Inputs[Baseline_Amount], tblMaster_Inputs[Year], 2024, tblMaster_Inputs[Treatment_Profile], "K1_PTP_Passive")</f>
        <v/>
      </c>
      <c r="E11">
        <f>SUMIFS(tblMaster_Inputs[Baseline_Amount], tblMaster_Inputs[Year], 2025, tblMaster_Inputs[Treatment_Profile], "K1_PTP_Active") + SUMIFS(tblMaster_Inputs[Baseline_Amount], tblMaster_Inputs[Year], 2025, tblMaster_Inputs[Treatment_Profile], "K1_PTP_Passive")</f>
        <v/>
      </c>
      <c r="F11">
        <f>SUMIFS(tblMaster_Inputs[Baseline_Amount], tblMaster_Inputs[Year], 2026, tblMaster_Inputs[Treatment_Profile], "K1_PTP_Active") + SUMIFS(tblMaster_Inputs[Baseline_Amount], tblMaster_Inputs[Year], 2026, tblMaster_Inputs[Treatment_Profile], "K1_PTP_Passive")</f>
        <v/>
      </c>
      <c r="G11">
        <f>SUMIFS(tblMaster_Inputs[Baseline_Amount], tblMaster_Inputs[Year], 2027, tblMaster_Inputs[Treatment_Profile], "K1_PTP_Active") + SUMIFS(tblMaster_Inputs[Baseline_Amount], tblMaster_Inputs[Year], 2027, tblMaster_Inputs[Treatment_Profile], "K1_PTP_Passive")</f>
        <v/>
      </c>
      <c r="H11">
        <f>SUMIFS(tblMaster_Inputs[Baseline_Amount], tblMaster_Inputs[Year], 2028, tblMaster_Inputs[Treatment_Profile], "K1_PTP_Active") + SUMIFS(tblMaster_Inputs[Baseline_Amount], tblMaster_Inputs[Year], 2028, tblMaster_Inputs[Treatment_Profile], "K1_PTP_Passive")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"K1_SCorp_Active") + SUMIFS(tblMaster_Inputs[Baseline_Amount], tblMaster_Inputs[Year], 2023, tblMaster_Inputs[Treatment_Profile], "K1_SCorp_Passive")</f>
        <v/>
      </c>
      <c r="D12">
        <f>SUMIFS(tblMaster_Inputs[Baseline_Amount], tblMaster_Inputs[Year], 2024, tblMaster_Inputs[Treatment_Profile], "K1_SCorp_Active") + SUMIFS(tblMaster_Inputs[Baseline_Amount], tblMaster_Inputs[Year], 2024, tblMaster_Inputs[Treatment_Profile], "K1_SCorp_Passive")</f>
        <v/>
      </c>
      <c r="E12">
        <f>SUMIFS(tblMaster_Inputs[Baseline_Amount], tblMaster_Inputs[Year], 2025, tblMaster_Inputs[Treatment_Profile], "K1_SCorp_Active") + SUMIFS(tblMaster_Inputs[Baseline_Amount], tblMaster_Inputs[Year], 2025, tblMaster_Inputs[Treatment_Profile], "K1_SCorp_Passive")</f>
        <v/>
      </c>
      <c r="F12">
        <f>SUMIFS(tblMaster_Inputs[Baseline_Amount], tblMaster_Inputs[Year], 2026, tblMaster_Inputs[Treatment_Profile], "K1_SCorp_Active") + SUMIFS(tblMaster_Inputs[Baseline_Amount], tblMaster_Inputs[Year], 2026, tblMaster_Inputs[Treatment_Profile], "K1_SCorp_Passive")</f>
        <v/>
      </c>
      <c r="G12">
        <f>SUMIFS(tblMaster_Inputs[Baseline_Amount], tblMaster_Inputs[Year], 2027, tblMaster_Inputs[Treatment_Profile], "K1_SCorp_Active") + SUMIFS(tblMaster_Inputs[Baseline_Amount], tblMaster_Inputs[Year], 2027, tblMaster_Inputs[Treatment_Profile], "K1_SCorp_Passive")</f>
        <v/>
      </c>
      <c r="H12">
        <f>SUMIFS(tblMaster_Inputs[Baseline_Amount], tblMaster_Inputs[Year], 2028, tblMaster_Inputs[Treatment_Profile], "K1_SCorp_Active") + SUMIFS(tblMaster_Inputs[Baseline_Amount], tblMaster_Inputs[Year], 2028, tblMaster_Inputs[Treatment_Profile], "K1_SCorp_Passive")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"SchF_Active")</f>
        <v/>
      </c>
      <c r="D13">
        <f>SUMIFS(tblMaster_Inputs[Baseline_Amount], tblMaster_Inputs[Year], 2024, tblMaster_Inputs[Treatment_Profile], "SchF_Active")</f>
        <v/>
      </c>
      <c r="E13">
        <f>SUMIFS(tblMaster_Inputs[Baseline_Amount], tblMaster_Inputs[Year], 2025, tblMaster_Inputs[Treatment_Profile], "SchF_Active")</f>
        <v/>
      </c>
      <c r="F13">
        <f>SUMIFS(tblMaster_Inputs[Baseline_Amount], tblMaster_Inputs[Year], 2026, tblMaster_Inputs[Treatment_Profile], "SchF_Active")</f>
        <v/>
      </c>
      <c r="G13">
        <f>SUMIFS(tblMaster_Inputs[Baseline_Amount], tblMaster_Inputs[Year], 2027, tblMaster_Inputs[Treatment_Profile], "SchF_Active")</f>
        <v/>
      </c>
      <c r="H13">
        <f>SUMIFS(tblMaster_Inputs[Baseline_Amount], tblMaster_Inputs[Year], 2028, tblMaster_Inputs[Treatment_Profile], "SchF_Active")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"Trust_K1")</f>
        <v/>
      </c>
      <c r="D14">
        <f>SUMIFS(tblMaster_Inputs[Baseline_Amount], tblMaster_Inputs[Year], 2024, tblMaster_Inputs[Treatment_Profile], "Trust_K1")</f>
        <v/>
      </c>
      <c r="E14">
        <f>SUMIFS(tblMaster_Inputs[Baseline_Amount], tblMaster_Inputs[Year], 2025, tblMaster_Inputs[Treatment_Profile], "Trust_K1")</f>
        <v/>
      </c>
      <c r="F14">
        <f>SUMIFS(tblMaster_Inputs[Baseline_Amount], tblMaster_Inputs[Year], 2026, tblMaster_Inputs[Treatment_Profile], "Trust_K1")</f>
        <v/>
      </c>
      <c r="G14">
        <f>SUMIFS(tblMaster_Inputs[Baseline_Amount], tblMaster_Inputs[Year], 2027, tblMaster_Inputs[Treatment_Profile], "Trust_K1")</f>
        <v/>
      </c>
      <c r="H14">
        <f>SUMIFS(tblMaster_Inputs[Baseline_Amount], tblMaster_Inputs[Year], 2028, tblMaster_Inputs[Treatment_Profile], "Trust_K1")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"10")</f>
        <v/>
      </c>
      <c r="D17">
        <f>SUMIFS(tblMaster_Inputs[Baseline_Amount], tblMaster_Inputs[Year], 2024, tblMaster_Inputs[Primary_Line], "10")</f>
        <v/>
      </c>
      <c r="E17">
        <f>SUMIFS(tblMaster_Inputs[Baseline_Amount], tblMaster_Inputs[Year], 2025, tblMaster_Inputs[Primary_Line], "10")</f>
        <v/>
      </c>
      <c r="F17">
        <f>SUMIFS(tblMaster_Inputs[Baseline_Amount], tblMaster_Inputs[Year], 2026, tblMaster_Inputs[Primary_Line], "10")</f>
        <v/>
      </c>
      <c r="G17">
        <f>SUMIFS(tblMaster_Inputs[Baseline_Amount], tblMaster_Inputs[Year], 2027, tblMaster_Inputs[Primary_Line], "10")</f>
        <v/>
      </c>
      <c r="H17">
        <f>SUMIFS(tblMaster_Inputs[Baseline_Amount], tblMaster_Inputs[Year], 2028, tblMaster_Inputs[Primary_Line], "10")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"12")</f>
        <v/>
      </c>
      <c r="D19">
        <f>SUMIFS(tblMaster_Inputs[Baseline_Amount], tblMaster_Inputs[Year], 2024, tblMaster_Inputs[Primary_Line], "12")</f>
        <v/>
      </c>
      <c r="E19">
        <f>SUMIFS(tblMaster_Inputs[Baseline_Amount], tblMaster_Inputs[Year], 2025, tblMaster_Inputs[Primary_Line], "12")</f>
        <v/>
      </c>
      <c r="F19">
        <f>SUMIFS(tblMaster_Inputs[Baseline_Amount], tblMaster_Inputs[Year], 2026, tblMaster_Inputs[Primary_Line], "12")</f>
        <v/>
      </c>
      <c r="G19">
        <f>SUMIFS(tblMaster_Inputs[Baseline_Amount], tblMaster_Inputs[Year], 2027, tblMaster_Inputs[Primary_Line], "12")</f>
        <v/>
      </c>
      <c r="H19">
        <f>SUMIFS(tblMaster_Inputs[Baseline_Amount], tblMaster_Inputs[Year], 2028, tblMaster_Inputs[Primary_Line], "12")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"13")</f>
        <v/>
      </c>
      <c r="D20">
        <f>SUMIFS(tblMaster_Inputs[Baseline_Amount], tblMaster_Inputs[Year], 2024, tblMaster_Inputs[Primary_Line], "13")</f>
        <v/>
      </c>
      <c r="E20">
        <f>SUMIFS(tblMaster_Inputs[Baseline_Amount], tblMaster_Inputs[Year], 2025, tblMaster_Inputs[Primary_Line], "13")</f>
        <v/>
      </c>
      <c r="F20">
        <f>SUMIFS(tblMaster_Inputs[Baseline_Amount], tblMaster_Inputs[Year], 2026, tblMaster_Inputs[Primary_Line], "13")</f>
        <v/>
      </c>
      <c r="G20">
        <f>SUMIFS(tblMaster_Inputs[Baseline_Amount], tblMaster_Inputs[Year], 2027, tblMaster_Inputs[Primary_Line], "13")</f>
        <v/>
      </c>
      <c r="H20">
        <f>SUMIFS(tblMaster_Inputs[Baseline_Amount], tblMaster_Inputs[Year], 2028, tblMaster_Inputs[Primary_Line], "13")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"1z")</f>
        <v/>
      </c>
      <c r="D5">
        <f>SUMIFS(tblMaster_Inputs[Baseline_Amount], tblMaster_Inputs[Year], 2024, tblMaster_Inputs[Primary_Line], "1z")</f>
        <v/>
      </c>
      <c r="E5">
        <f>SUMIFS(tblMaster_Inputs[Baseline_Amount], tblMaster_Inputs[Year], 2025, tblMaster_Inputs[Primary_Line], "1z")</f>
        <v/>
      </c>
      <c r="F5">
        <f>SUMIFS(tblMaster_Inputs[Baseline_Amount], tblMaster_Inputs[Year], 2026, tblMaster_Inputs[Primary_Line], "1z")</f>
        <v/>
      </c>
      <c r="G5">
        <f>SUMIFS(tblMaster_Inputs[Baseline_Amount], tblMaster_Inputs[Year], 2027, tblMaster_Inputs[Primary_Line], "1z")</f>
        <v/>
      </c>
      <c r="H5">
        <f>SUMIFS(tblMaster_Inputs[Baseline_Amount], tblMaster_Inputs[Year], 2028, tblMaster_Inputs[Primary_Line], "1z")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"TAX_EXEMPT")</f>
        <v/>
      </c>
      <c r="D6">
        <f>SUMIFS(tblMaster_Inputs[Helper_Amount], tblMaster_Inputs[Year], 2024, tblMaster_Inputs[Helper_Treatment], "TAX_EXEMPT")</f>
        <v/>
      </c>
      <c r="E6">
        <f>SUMIFS(tblMaster_Inputs[Helper_Amount], tblMaster_Inputs[Year], 2025, tblMaster_Inputs[Helper_Treatment], "TAX_EXEMPT")</f>
        <v/>
      </c>
      <c r="F6">
        <f>SUMIFS(tblMaster_Inputs[Helper_Amount], tblMaster_Inputs[Year], 2026, tblMaster_Inputs[Helper_Treatment], "TAX_EXEMPT")</f>
        <v/>
      </c>
      <c r="G6">
        <f>SUMIFS(tblMaster_Inputs[Helper_Amount], tblMaster_Inputs[Year], 2027, tblMaster_Inputs[Helper_Treatment], "TAX_EXEMPT")</f>
        <v/>
      </c>
      <c r="H6">
        <f>SUMIFS(tblMaster_Inputs[Helper_Amount], tblMaster_Inputs[Year], 2028, tblMaster_Inputs[Helper_Treatment], "TAX_EXEMPT")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"2b")</f>
        <v/>
      </c>
      <c r="D7">
        <f>SUMIFS(tblMaster_Inputs[Baseline_Amount], tblMaster_Inputs[Year], 2024, tblMaster_Inputs[Primary_Line], "2b")</f>
        <v/>
      </c>
      <c r="E7">
        <f>SUMIFS(tblMaster_Inputs[Baseline_Amount], tblMaster_Inputs[Year], 2025, tblMaster_Inputs[Primary_Line], "2b")</f>
        <v/>
      </c>
      <c r="F7">
        <f>SUMIFS(tblMaster_Inputs[Baseline_Amount], tblMaster_Inputs[Year], 2026, tblMaster_Inputs[Primary_Line], "2b")</f>
        <v/>
      </c>
      <c r="G7">
        <f>SUMIFS(tblMaster_Inputs[Baseline_Amount], tblMaster_Inputs[Year], 2027, tblMaster_Inputs[Primary_Line], "2b")</f>
        <v/>
      </c>
      <c r="H7">
        <f>SUMIFS(tblMaster_Inputs[Baseline_Amount], tblMaster_Inputs[Year], 2028, tblMaster_Inputs[Primary_Line], "2b")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"QUAL_DIV")</f>
        <v/>
      </c>
      <c r="D8">
        <f>SUMIFS(tblMaster_Inputs[Helper_Amount], tblMaster_Inputs[Year], 2024, tblMaster_Inputs[Helper_Treatment], "QUAL_DIV")</f>
        <v/>
      </c>
      <c r="E8">
        <f>SUMIFS(tblMaster_Inputs[Helper_Amount], tblMaster_Inputs[Year], 2025, tblMaster_Inputs[Helper_Treatment], "QUAL_DIV")</f>
        <v/>
      </c>
      <c r="F8">
        <f>SUMIFS(tblMaster_Inputs[Helper_Amount], tblMaster_Inputs[Year], 2026, tblMaster_Inputs[Helper_Treatment], "QUAL_DIV")</f>
        <v/>
      </c>
      <c r="G8">
        <f>SUMIFS(tblMaster_Inputs[Helper_Amount], tblMaster_Inputs[Year], 2027, tblMaster_Inputs[Helper_Treatment], "QUAL_DIV")</f>
        <v/>
      </c>
      <c r="H8">
        <f>SUMIFS(tblMaster_Inputs[Helper_Amount], tblMaster_Inputs[Year], 2028, tblMaster_Inputs[Helper_Treatment], "QUAL_DIV")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"3b")</f>
        <v/>
      </c>
      <c r="D9">
        <f>SUMIFS(tblMaster_Inputs[Baseline_Amount], tblMaster_Inputs[Year], 2024, tblMaster_Inputs[Primary_Line], "3b")</f>
        <v/>
      </c>
      <c r="E9">
        <f>SUMIFS(tblMaster_Inputs[Baseline_Amount], tblMaster_Inputs[Year], 2025, tblMaster_Inputs[Primary_Line], "3b")</f>
        <v/>
      </c>
      <c r="F9">
        <f>SUMIFS(tblMaster_Inputs[Baseline_Amount], tblMaster_Inputs[Year], 2026, tblMaster_Inputs[Primary_Line], "3b")</f>
        <v/>
      </c>
      <c r="G9">
        <f>SUMIFS(tblMaster_Inputs[Baseline_Amount], tblMaster_Inputs[Year], 2027, tblMaster_Inputs[Primary_Line], "3b")</f>
        <v/>
      </c>
      <c r="H9">
        <f>SUMIFS(tblMaster_Inputs[Baseline_Amount], tblMaster_Inputs[Year], 2028, tblMaster_Inputs[Primary_Line], "3b")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"7")</f>
        <v/>
      </c>
      <c r="D10">
        <f>SUMIFS(tblMaster_Inputs[Baseline_Amount], tblMaster_Inputs[Year], 2024, tblMaster_Inputs[Primary_Line], "7")</f>
        <v/>
      </c>
      <c r="E10">
        <f>SUMIFS(tblMaster_Inputs[Baseline_Amount], tblMaster_Inputs[Year], 2025, tblMaster_Inputs[Primary_Line], "7")</f>
        <v/>
      </c>
      <c r="F10">
        <f>SUMIFS(tblMaster_Inputs[Baseline_Amount], tblMaster_Inputs[Year], 2026, tblMaster_Inputs[Primary_Line], "7")</f>
        <v/>
      </c>
      <c r="G10">
        <f>SUMIFS(tblMaster_Inputs[Baseline_Amount], tblMaster_Inputs[Year], 2027, tblMaster_Inputs[Primary_Line], "7")</f>
        <v/>
      </c>
      <c r="H10">
        <f>SUMIFS(tblMaster_Inputs[Baseline_Amount], tblMaster_Inputs[Year], 2028, tblMaster_Inputs[Primary_Line], "7")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"8")</f>
        <v/>
      </c>
      <c r="D11">
        <f>SUMIFS(tblMaster_Inputs[Baseline_Amount], tblMaster_Inputs[Year], 2024, tblMaster_Inputs[Primary_Line], "8")</f>
        <v/>
      </c>
      <c r="E11">
        <f>SUMIFS(tblMaster_Inputs[Baseline_Amount], tblMaster_Inputs[Year], 2025, tblMaster_Inputs[Primary_Line], "8")</f>
        <v/>
      </c>
      <c r="F11">
        <f>SUMIFS(tblMaster_Inputs[Baseline_Amount], tblMaster_Inputs[Year], 2026, tblMaster_Inputs[Primary_Line], "8")</f>
        <v/>
      </c>
      <c r="G11">
        <f>SUMIFS(tblMaster_Inputs[Baseline_Amount], tblMaster_Inputs[Year], 2027, tblMaster_Inputs[Primary_Line], "8")</f>
        <v/>
      </c>
      <c r="H11">
        <f>SUMIFS(tblMaster_Inputs[Baseline_Amount], tblMaster_Inputs[Year], 2028, tblMaster_Inputs[Primary_Line], "8")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"10")</f>
        <v/>
      </c>
      <c r="D13">
        <f>SUMIFS(tblMaster_Inputs[Baseline_Amount], tblMaster_Inputs[Year], 2024, tblMaster_Inputs[Primary_Line], "10")</f>
        <v/>
      </c>
      <c r="E13">
        <f>SUMIFS(tblMaster_Inputs[Baseline_Amount], tblMaster_Inputs[Year], 2025, tblMaster_Inputs[Primary_Line], "10")</f>
        <v/>
      </c>
      <c r="F13">
        <f>SUMIFS(tblMaster_Inputs[Baseline_Amount], tblMaster_Inputs[Year], 2026, tblMaster_Inputs[Primary_Line], "10")</f>
        <v/>
      </c>
      <c r="G13">
        <f>SUMIFS(tblMaster_Inputs[Baseline_Amount], tblMaster_Inputs[Year], 2027, tblMaster_Inputs[Primary_Line], "10")</f>
        <v/>
      </c>
      <c r="H13">
        <f>SUMIFS(tblMaster_Inputs[Baseline_Amount], tblMaster_Inputs[Year], 2028, tblMaster_Inputs[Primary_Line], "10")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"12")</f>
        <v/>
      </c>
      <c r="D15">
        <f>SUMIFS(tblMaster_Inputs[Baseline_Amount], tblMaster_Inputs[Year], 2024, tblMaster_Inputs[Primary_Line], "12")</f>
        <v/>
      </c>
      <c r="E15">
        <f>SUMIFS(tblMaster_Inputs[Baseline_Amount], tblMaster_Inputs[Year], 2025, tblMaster_Inputs[Primary_Line], "12")</f>
        <v/>
      </c>
      <c r="F15">
        <f>SUMIFS(tblMaster_Inputs[Baseline_Amount], tblMaster_Inputs[Year], 2026, tblMaster_Inputs[Primary_Line], "12")</f>
        <v/>
      </c>
      <c r="G15">
        <f>SUMIFS(tblMaster_Inputs[Baseline_Amount], tblMaster_Inputs[Year], 2027, tblMaster_Inputs[Primary_Line], "12")</f>
        <v/>
      </c>
      <c r="H15">
        <f>SUMIFS(tblMaster_Inputs[Baseline_Amount], tblMaster_Inputs[Year], 2028, tblMaster_Inputs[Primary_Line], "12")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"13")</f>
        <v/>
      </c>
      <c r="D16">
        <f>SUMIFS(tblMaster_Inputs[Baseline_Amount], tblMaster_Inputs[Year], 2024, tblMaster_Inputs[Primary_Line], "13")</f>
        <v/>
      </c>
      <c r="E16">
        <f>SUMIFS(tblMaster_Inputs[Baseline_Amount], tblMaster_Inputs[Year], 2025, tblMaster_Inputs[Primary_Line], "13")</f>
        <v/>
      </c>
      <c r="F16">
        <f>SUMIFS(tblMaster_Inputs[Baseline_Amount], tblMaster_Inputs[Year], 2026, tblMaster_Inputs[Primary_Line], "13")</f>
        <v/>
      </c>
      <c r="G16">
        <f>SUMIFS(tblMaster_Inputs[Baseline_Amount], tblMaster_Inputs[Year], 2027, tblMaster_Inputs[Primary_Line], "13")</f>
        <v/>
      </c>
      <c r="H16">
        <f>SUMIFS(tblMaster_Inputs[Baseline_Amount], tblMaster_Inputs[Year], 2028, tblMaster_Inputs[Primary_Line], "13")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"W2_SCorpOwner")</f>
        <v/>
      </c>
      <c r="D5">
        <f>SUMIFS(tblMaster_Inputs[Baseline_Amount], tblMaster_Inputs[Year], 2024, tblMaster_Inputs[Treatment_Profile], "W2_SCorpOwner")</f>
        <v/>
      </c>
      <c r="E5">
        <f>SUMIFS(tblMaster_Inputs[Baseline_Amount], tblMaster_Inputs[Year], 2025, tblMaster_Inputs[Treatment_Profile], "W2_SCorpOwner")</f>
        <v/>
      </c>
      <c r="F5">
        <f>SUMIFS(tblMaster_Inputs[Baseline_Amount], tblMaster_Inputs[Year], 2026, tblMaster_Inputs[Treatment_Profile], "W2_SCorpOwner")</f>
        <v/>
      </c>
      <c r="G5">
        <f>SUMIFS(tblMaster_Inputs[Baseline_Amount], tblMaster_Inputs[Year], 2027, tblMaster_Inputs[Treatment_Profile], "W2_SCorpOwner")</f>
        <v/>
      </c>
      <c r="H5">
        <f>SUMIFS(tblMaster_Inputs[Baseline_Amount], tblMaster_Inputs[Year], 2028, tblMaster_Inputs[Treatment_Profile], "W2_SCorpOwner")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"W2_Employee")</f>
        <v/>
      </c>
      <c r="D6">
        <f>SUMIFS(tblMaster_Inputs[Baseline_Amount], tblMaster_Inputs[Year], 2024, tblMaster_Inputs[Treatment_Profile], "W2_Employee")</f>
        <v/>
      </c>
      <c r="E6">
        <f>SUMIFS(tblMaster_Inputs[Baseline_Amount], tblMaster_Inputs[Year], 2025, tblMaster_Inputs[Treatment_Profile], "W2_Employee")</f>
        <v/>
      </c>
      <c r="F6">
        <f>SUMIFS(tblMaster_Inputs[Baseline_Amount], tblMaster_Inputs[Year], 2026, tblMaster_Inputs[Treatment_Profile], "W2_Employee")</f>
        <v/>
      </c>
      <c r="G6">
        <f>SUMIFS(tblMaster_Inputs[Baseline_Amount], tblMaster_Inputs[Year], 2027, tblMaster_Inputs[Treatment_Profile], "W2_Employee")</f>
        <v/>
      </c>
      <c r="H6">
        <f>SUMIFS(tblMaster_Inputs[Baseline_Amount], tblMaster_Inputs[Year], 2028, tblMaster_Inputs[Treatment_Profile], "W2_Employee")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"Yes")</f>
        <v/>
      </c>
      <c r="D8">
        <f>SUMIFS(tblMaster_Inputs[Baseline_Amount], tblMaster_Inputs[Year], 2024, tblMaster_Inputs[Bucket], "Business Income", tblMaster_Inputs[SE_Subject], "Yes")</f>
        <v/>
      </c>
      <c r="E8">
        <f>SUMIFS(tblMaster_Inputs[Baseline_Amount], tblMaster_Inputs[Year], 2025, tblMaster_Inputs[Bucket], "Business Income", tblMaster_Inputs[SE_Subject], "Yes")</f>
        <v/>
      </c>
      <c r="F8">
        <f>SUMIFS(tblMaster_Inputs[Baseline_Amount], tblMaster_Inputs[Year], 2026, tblMaster_Inputs[Bucket], "Business Income", tblMaster_Inputs[SE_Subject], "Yes")</f>
        <v/>
      </c>
      <c r="G8">
        <f>SUMIFS(tblMaster_Inputs[Baseline_Amount], tblMaster_Inputs[Year], 2027, tblMaster_Inputs[Bucket], "Business Income", tblMaster_Inputs[SE_Subject], "Yes")</f>
        <v/>
      </c>
      <c r="H8">
        <f>SUMIFS(tblMaster_Inputs[Baseline_Amount], tblMaster_Inputs[Year], 2028, tblMaster_Inputs[Bucket], "Business Income", tblMaster_Inputs[SE_Subject], "Yes")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"Active")</f>
        <v/>
      </c>
      <c r="D9">
        <f>SUMIFS(tblMaster_Inputs[Baseline_Amount], tblMaster_Inputs[Year], 2024, tblMaster_Inputs[Bucket], "Business Income", tblMaster_Inputs[SE_Subject], "No", tblMaster_Inputs[NIIT_Class], "Active")</f>
        <v/>
      </c>
      <c r="E9">
        <f>SUMIFS(tblMaster_Inputs[Baseline_Amount], tblMaster_Inputs[Year], 2025, tblMaster_Inputs[Bucket], "Business Income", tblMaster_Inputs[SE_Subject], "No", tblMaster_Inputs[NIIT_Class], "Active")</f>
        <v/>
      </c>
      <c r="F9">
        <f>SUMIFS(tblMaster_Inputs[Baseline_Amount], tblMaster_Inputs[Year], 2026, tblMaster_Inputs[Bucket], "Business Income", tblMaster_Inputs[SE_Subject], "No", tblMaster_Inputs[NIIT_Class], "Active")</f>
        <v/>
      </c>
      <c r="G9">
        <f>SUMIFS(tblMaster_Inputs[Baseline_Amount], tblMaster_Inputs[Year], 2027, tblMaster_Inputs[Bucket], "Business Income", tblMaster_Inputs[SE_Subject], "No", tblMaster_Inputs[NIIT_Class], "Active")</f>
        <v/>
      </c>
      <c r="H9">
        <f>SUMIFS(tblMaster_Inputs[Baseline_Amount], tblMaster_Inputs[Year], 2028, tblMaster_Inputs[Bucket], "Business Income", tblMaster_Inputs[SE_Subject], "No", tblMaster_Inputs[NIIT_Class], "Active")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"Passive")</f>
        <v/>
      </c>
      <c r="D10">
        <f>SUMIFS(tblMaster_Inputs[Baseline_Amount], tblMaster_Inputs[Year], 2024, tblMaster_Inputs[Bucket], "Business Income", tblMaster_Inputs[NIIT_Class], "Passive")</f>
        <v/>
      </c>
      <c r="E10">
        <f>SUMIFS(tblMaster_Inputs[Baseline_Amount], tblMaster_Inputs[Year], 2025, tblMaster_Inputs[Bucket], "Business Income", tblMaster_Inputs[NIIT_Class], "Passive")</f>
        <v/>
      </c>
      <c r="F10">
        <f>SUMIFS(tblMaster_Inputs[Baseline_Amount], tblMaster_Inputs[Year], 2026, tblMaster_Inputs[Bucket], "Business Income", tblMaster_Inputs[NIIT_Class], "Passive")</f>
        <v/>
      </c>
      <c r="G10">
        <f>SUMIFS(tblMaster_Inputs[Baseline_Amount], tblMaster_Inputs[Year], 2027, tblMaster_Inputs[Bucket], "Business Income", tblMaster_Inputs[NIIT_Class], "Passive")</f>
        <v/>
      </c>
      <c r="H10">
        <f>SUMIFS(tblMaster_Inputs[Baseline_Amount], tblMaster_Inputs[Year], 2028, tblMaster_Inputs[Bucket], "Business Income", tblMaster_Inputs[NIIT_Class], "Passive")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"TAX_EXEMPT")</f>
        <v/>
      </c>
      <c r="D11">
        <f>SUMIFS(tblMaster_Inputs[Helper_Amount], tblMaster_Inputs[Year], 2024, tblMaster_Inputs[Helper_Treatment], "TAX_EXEMPT")</f>
        <v/>
      </c>
      <c r="E11">
        <f>SUMIFS(tblMaster_Inputs[Helper_Amount], tblMaster_Inputs[Year], 2025, tblMaster_Inputs[Helper_Treatment], "TAX_EXEMPT")</f>
        <v/>
      </c>
      <c r="F11">
        <f>SUMIFS(tblMaster_Inputs[Helper_Amount], tblMaster_Inputs[Year], 2026, tblMaster_Inputs[Helper_Treatment], "TAX_EXEMPT")</f>
        <v/>
      </c>
      <c r="G11">
        <f>SUMIFS(tblMaster_Inputs[Helper_Amount], tblMaster_Inputs[Year], 2027, tblMaster_Inputs[Helper_Treatment], "TAX_EXEMPT")</f>
        <v/>
      </c>
      <c r="H11">
        <f>SUMIFS(tblMaster_Inputs[Helper_Amount], tblMaster_Inputs[Year], 2028, tblMaster_Inputs[Helper_Treatment], "TAX_EXEMPT")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"QUAL_DIV")</f>
        <v/>
      </c>
      <c r="D12">
        <f>SUMIFS(tblMaster_Inputs[Helper_Amount], tblMaster_Inputs[Year], 2024, tblMaster_Inputs[Helper_Treatment], "QUAL_DIV")</f>
        <v/>
      </c>
      <c r="E12">
        <f>SUMIFS(tblMaster_Inputs[Helper_Amount], tblMaster_Inputs[Year], 2025, tblMaster_Inputs[Helper_Treatment], "QUAL_DIV")</f>
        <v/>
      </c>
      <c r="F12">
        <f>SUMIFS(tblMaster_Inputs[Helper_Amount], tblMaster_Inputs[Year], 2026, tblMaster_Inputs[Helper_Treatment], "QUAL_DIV")</f>
        <v/>
      </c>
      <c r="G12">
        <f>SUMIFS(tblMaster_Inputs[Helper_Amount], tblMaster_Inputs[Year], 2027, tblMaster_Inputs[Helper_Treatment], "QUAL_DIV")</f>
        <v/>
      </c>
      <c r="H12">
        <f>SUMIFS(tblMaster_Inputs[Helper_Amount], tblMaster_Inputs[Year], 2028, tblMaster_Inputs[Helper_Treatment], "QUAL_DIV")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"Sec1250_Recap")</f>
        <v/>
      </c>
      <c r="D13">
        <f>SUMIFS(tblMaster_Inputs[Baseline_Amount], tblMaster_Inputs[Year], 2024, tblMaster_Inputs[Treatment_Profile], "LTCG_Stock") + SUMIFS(tblMaster_Inputs[Baseline_Amount], tblMaster_Inputs[Year], 2024, tblMaster_Inputs[Treatment_Profile], "LTCG_RE") + SUMIFS(tblMaster_Inputs[Baseline_Amount], tblMaster_Inputs[Year], 2024, tblMaster_Inputs[Treatment_Profile], "LTCG_K1_Passthrough") + SUMIFS(tblMaster_Inputs[Baseline_Amount], tblMaster_Inputs[Year], 2024, tblMaster_Inputs[Treatment_Profile], "Sec1250_Recap")</f>
        <v/>
      </c>
      <c r="E13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"Sec1250_Recap")</f>
        <v/>
      </c>
      <c r="F13">
        <f>SUMIFS(tblMaster_Inputs[Baseline_Amount], tblMaster_Inputs[Year], 2026, tblMaster_Inputs[Treatment_Profile], "LTCG_Stock") + SUMIFS(tblMaster_Inputs[Baseline_Amount], tblMaster_Inputs[Year], 2026, tblMaster_Inputs[Treatment_Profile], "LTCG_RE") + SUMIFS(tblMaster_Inputs[Baseline_Amount], tblMaster_Inputs[Year], 2026, tblMaster_Inputs[Treatment_Profile], "LTCG_K1_Passthrough") + SUMIFS(tblMaster_Inputs[Baseline_Amount], tblMaster_Inputs[Year], 2026, tblMaster_Inputs[Treatment_Profile], "Sec1250_Recap")</f>
        <v/>
      </c>
      <c r="G13">
        <f>SUMIFS(tblMaster_Inputs[Baseline_Amount], tblMaster_Inputs[Year], 2027, tblMaster_Inputs[Treatment_Profile], "LTCG_Stock") + SUMIFS(tblMaster_Inputs[Baseline_Amount], tblMaster_Inputs[Year], 2027, tblMaster_Inputs[Treatment_Profile], "LTCG_RE") + SUMIFS(tblMaster_Inputs[Baseline_Amount], tblMaster_Inputs[Year], 2027, tblMaster_Inputs[Treatment_Profile], "LTCG_K1_Passthrough") + SUMIFS(tblMaster_Inputs[Baseline_Amount], tblMaster_Inputs[Year], 2027, tblMaster_Inputs[Treatment_Profile], "Sec1250_Recap")</f>
        <v/>
      </c>
      <c r="H13">
        <f>SUMIFS(tblMaster_Inputs[Baseline_Amount], tblMaster_Inputs[Year], 2028, tblMaster_Inputs[Treatment_Profile], "LTCG_Stock") + SUMIFS(tblMaster_Inputs[Baseline_Amount], tblMaster_Inputs[Year], 2028, tblMaster_Inputs[Treatment_Profile], "LTCG_RE") + SUMIFS(tblMaster_Inputs[Baseline_Amount], tblMaster_Inputs[Year], 2028, tblMaster_Inputs[Treatment_Profile], "LTCG_K1_Passthrough") + SUMIFS(tblMaster_Inputs[Baseline_Amount], tblMaster_Inputs[Year], 2028, tblMaster_Inputs[Treatment_Profile], "Sec1250_Recap")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"STCG_Stock")</f>
        <v/>
      </c>
      <c r="D14">
        <f>SUMIFS(tblMaster_Inputs[Baseline_Amount], tblMaster_Inputs[Year], 2024, tblMaster_Inputs[Treatment_Profile], "STCG_Stock")</f>
        <v/>
      </c>
      <c r="E14">
        <f>SUMIFS(tblMaster_Inputs[Baseline_Amount], tblMaster_Inputs[Year], 2025, tblMaster_Inputs[Treatment_Profile], "STCG_Stock")</f>
        <v/>
      </c>
      <c r="F14">
        <f>SUMIFS(tblMaster_Inputs[Baseline_Amount], tblMaster_Inputs[Year], 2026, tblMaster_Inputs[Treatment_Profile], "STCG_Stock")</f>
        <v/>
      </c>
      <c r="G14">
        <f>SUMIFS(tblMaster_Inputs[Baseline_Amount], tblMaster_Inputs[Year], 2027, tblMaster_Inputs[Treatment_Profile], "STCG_Stock")</f>
        <v/>
      </c>
      <c r="H14">
        <f>SUMIFS(tblMaster_Inputs[Baseline_Amount], tblMaster_Inputs[Year], 2028, tblMaster_Inputs[Treatment_Profile], "STCG_Stock")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"SEC1250")</f>
        <v/>
      </c>
      <c r="D15">
        <f>SUMIFS(tblMaster_Inputs[Helper_Amount], tblMaster_Inputs[Year], 2024, tblMaster_Inputs[Helper_Treatment], "SEC1250")</f>
        <v/>
      </c>
      <c r="E15">
        <f>SUMIFS(tblMaster_Inputs[Helper_Amount], tblMaster_Inputs[Year], 2025, tblMaster_Inputs[Helper_Treatment], "SEC1250")</f>
        <v/>
      </c>
      <c r="F15">
        <f>SUMIFS(tblMaster_Inputs[Helper_Amount], tblMaster_Inputs[Year], 2026, tblMaster_Inputs[Helper_Treatment], "SEC1250")</f>
        <v/>
      </c>
      <c r="G15">
        <f>SUMIFS(tblMaster_Inputs[Helper_Amount], tblMaster_Inputs[Year], 2027, tblMaster_Inputs[Helper_Treatment], "SEC1250")</f>
        <v/>
      </c>
      <c r="H15">
        <f>SUMIFS(tblMaster_Inputs[Helper_Amount], tblMaster_Inputs[Year], 2028, tblMaster_Inputs[Helper_Treatment], "SEC1250")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4" customWidth="1" min="4" max="4"/>
    <col width="14" customWidth="1" min="5" max="5"/>
    <col width="32" customWidth="1" min="6" max="6"/>
    <col width="3" customWidth="1" min="7" max="7"/>
    <col width="8" customWidth="1" min="8" max="8"/>
    <col width="36" customWidth="1" min="9" max="9"/>
    <col width="16" customWidth="1" min="10" max="10"/>
    <col width="16" customWidth="1" min="11" max="11"/>
    <col width="14" customWidth="1" min="12" max="12"/>
    <col width="16" customWidth="1" min="13" max="13"/>
    <col width="9" customWidth="1" min="14" max="14"/>
  </cols>
  <sheetData>
    <row r="1">
      <c r="A1" s="1" t="inlineStr">
        <is>
          <t>Y2025 — strategies schedule + rollup (master baseline + S1 manual override + strategies)</t>
        </is>
      </c>
    </row>
    <row r="2">
      <c r="A2" s="2" t="inlineStr">
        <is>
          <t>Strategies entered here flow into the Strategies column of the rollup (committed-tier status only).</t>
        </is>
      </c>
    </row>
    <row r="4">
      <c r="A4" s="7" t="inlineStr">
        <is>
          <t>▸ STRATEGIES — tblY2025_Strategies</t>
        </is>
      </c>
      <c r="H4" s="7" t="inlineStr">
        <is>
          <t>▸ 2025 ROLLUP — 1040 LINES</t>
        </is>
      </c>
    </row>
    <row r="5">
      <c r="A5" s="3" t="inlineStr">
        <is>
          <t>StrategyID</t>
        </is>
      </c>
      <c r="B5" s="3" t="inlineStr">
        <is>
          <t>Strategy Name</t>
        </is>
      </c>
      <c r="C5" s="3" t="inlineStr">
        <is>
          <t>TargetLine</t>
        </is>
      </c>
      <c r="D5" s="3" t="inlineStr">
        <is>
          <t>Amount</t>
        </is>
      </c>
      <c r="E5" s="3" t="inlineStr">
        <is>
          <t>Status</t>
        </is>
      </c>
      <c r="F5" s="3" t="inlineStr">
        <is>
          <t>Notes</t>
        </is>
      </c>
      <c r="H5" s="3" t="inlineStr">
        <is>
          <t>Line</t>
        </is>
      </c>
      <c r="I5" s="3" t="inlineStr">
        <is>
          <t>Description</t>
        </is>
      </c>
      <c r="J5" s="3" t="inlineStr">
        <is>
          <t>Baseline (Master)</t>
        </is>
      </c>
      <c r="K5" s="3" t="inlineStr">
        <is>
          <t>S1 Override (manual)</t>
        </is>
      </c>
      <c r="L5" s="3" t="inlineStr">
        <is>
          <t>Strategies</t>
        </is>
      </c>
      <c r="M5" s="3" t="inlineStr">
        <is>
          <t>Effective</t>
        </is>
      </c>
      <c r="N5" s="3" t="inlineStr">
        <is>
          <t>Drill</t>
        </is>
      </c>
    </row>
    <row r="6">
      <c r="A6" s="4" t="inlineStr">
        <is>
          <t>STR-001</t>
        </is>
      </c>
      <c r="B6" s="4" t="inlineStr">
        <is>
          <t>S-Corp Wage Optimization (STD-008)</t>
        </is>
      </c>
      <c r="C6" s="4" t="inlineStr">
        <is>
          <t>1z</t>
        </is>
      </c>
      <c r="D6" s="4" t="n">
        <v>-25000</v>
      </c>
      <c r="E6" s="4" t="inlineStr">
        <is>
          <t>Committed</t>
        </is>
      </c>
      <c r="F6" s="4" t="inlineStr">
        <is>
          <t>Reduce W-2 by $25K</t>
        </is>
      </c>
      <c r="H6" t="inlineStr">
        <is>
          <t>1z</t>
        </is>
      </c>
      <c r="I6" t="inlineStr">
        <is>
          <t>Wages</t>
        </is>
      </c>
      <c r="J6">
        <f>SUMIFS(tblMaster_Inputs[Baseline_Amount], tblMaster_Inputs[Year], 2025, tblMaster_Inputs[Primary_Line], $H6)</f>
        <v/>
      </c>
      <c r="K6" s="4" t="n"/>
      <c r="L6">
        <f>SUMIFS(tblY2025_Strategies[Amount], tblY2025_Strategies[TargetLine], $H6, tblY2025_Strategies[Status], "Committed") + SUMIFS(tblY2025_Strategies[Amount], tblY2025_Strategies[TargetLine], $H6, tblY2025_Strategies[Status], "Implemented")</f>
        <v/>
      </c>
      <c r="M6">
        <f>IF(ISBLANK(K6),J6,K6)+L6</f>
        <v/>
      </c>
      <c r="N6" s="8">
        <f>HYPERLINK("#Y2025!I49", "↗ drill")</f>
        <v/>
      </c>
    </row>
    <row r="7">
      <c r="A7" s="4" t="inlineStr">
        <is>
          <t>STR-002</t>
        </is>
      </c>
      <c r="B7" s="4" t="inlineStr">
        <is>
          <t>HSA Family Max (Retirement-adjacent)</t>
        </is>
      </c>
      <c r="C7" s="4" t="inlineStr">
        <is>
          <t>10</t>
        </is>
      </c>
      <c r="D7" s="4" t="n">
        <v>-8550</v>
      </c>
      <c r="E7" s="4" t="inlineStr">
        <is>
          <t>Committed</t>
        </is>
      </c>
      <c r="F7" s="4" t="inlineStr">
        <is>
          <t>Family HSA contribution</t>
        </is>
      </c>
      <c r="H7" t="inlineStr">
        <is>
          <t>2a</t>
        </is>
      </c>
      <c r="I7" t="inlineStr">
        <is>
          <t>Tax-exempt interest (informational — Helper)</t>
        </is>
      </c>
      <c r="J7">
        <f>TAX_EXEMPT</f>
        <v/>
      </c>
      <c r="K7" s="4" t="n"/>
      <c r="L7" t="n">
        <v>0</v>
      </c>
      <c r="M7">
        <f>IF(ISBLANK(K7),J7,K7)</f>
        <v/>
      </c>
      <c r="N7" s="8">
        <f>HYPERLINK("#Y2025!I49", "↗ drill")</f>
        <v/>
      </c>
    </row>
    <row r="8">
      <c r="A8" s="4" t="inlineStr">
        <is>
          <t>STR-003</t>
        </is>
      </c>
      <c r="B8" s="4" t="inlineStr">
        <is>
          <t>DAF Stack (ADV-002 Charitable)</t>
        </is>
      </c>
      <c r="C8" s="4" t="inlineStr">
        <is>
          <t>12</t>
        </is>
      </c>
      <c r="D8" s="4" t="n">
        <v>15000</v>
      </c>
      <c r="E8" s="4" t="inlineStr">
        <is>
          <t>Proposed</t>
        </is>
      </c>
      <c r="F8" s="4" t="inlineStr">
        <is>
          <t>Bunching strategy — pending decision</t>
        </is>
      </c>
      <c r="H8" t="inlineStr">
        <is>
          <t>2b</t>
        </is>
      </c>
      <c r="I8" t="inlineStr">
        <is>
          <t>Taxable interest</t>
        </is>
      </c>
      <c r="J8">
        <f>SUMIFS(tblMaster_Inputs[Baseline_Amount], tblMaster_Inputs[Year], 2025, tblMaster_Inputs[Primary_Line], $H8)</f>
        <v/>
      </c>
      <c r="K8" s="4" t="n"/>
      <c r="L8">
        <f>SUMIFS(tblY2025_Strategies[Amount], tblY2025_Strategies[TargetLine], $H8, tblY2025_Strategies[Status], "Committed") + SUMIFS(tblY2025_Strategies[Amount], tblY2025_Strategies[TargetLine], $H8, tblY2025_Strategies[Status], "Implemented")</f>
        <v/>
      </c>
      <c r="M8">
        <f>IF(ISBLANK(K8),J8,K8)+L8</f>
        <v/>
      </c>
      <c r="N8" s="8">
        <f>HYPERLINK("#Y2025!I49", "↗ drill")</f>
        <v/>
      </c>
    </row>
    <row r="9">
      <c r="A9" s="4" t="inlineStr">
        <is>
          <t>STR-004</t>
        </is>
      </c>
      <c r="B9" s="4" t="inlineStr">
        <is>
          <t>SEP-IRA Contribution (STD-001)</t>
        </is>
      </c>
      <c r="C9" s="4" t="inlineStr">
        <is>
          <t>10</t>
        </is>
      </c>
      <c r="D9" s="4" t="n">
        <v>-7000</v>
      </c>
      <c r="E9" s="4" t="inlineStr">
        <is>
          <t>Approved</t>
        </is>
      </c>
      <c r="F9" s="4" t="inlineStr">
        <is>
          <t>Pending commitment</t>
        </is>
      </c>
      <c r="H9" t="inlineStr">
        <is>
          <t>3a</t>
        </is>
      </c>
      <c r="I9" t="inlineStr">
        <is>
          <t>Qualified dividends (informational — Helper)</t>
        </is>
      </c>
      <c r="J9">
        <f>QUAL_DIV</f>
        <v/>
      </c>
      <c r="K9" s="4" t="n"/>
      <c r="L9" t="n">
        <v>0</v>
      </c>
      <c r="M9">
        <f>IF(ISBLANK(K9),J9,K9)</f>
        <v/>
      </c>
      <c r="N9" s="8">
        <f>HYPERLINK("#Y2025!I49", "↗ drill")</f>
        <v/>
      </c>
    </row>
    <row r="10">
      <c r="A10" s="4" t="inlineStr">
        <is>
          <t>STR-005</t>
        </is>
      </c>
      <c r="B10" s="4" t="inlineStr">
        <is>
          <t>Cost Seg Study (STD-012)</t>
        </is>
      </c>
      <c r="C10" s="4" t="inlineStr">
        <is>
          <t>10</t>
        </is>
      </c>
      <c r="D10" s="4" t="n">
        <v>-80000</v>
      </c>
      <c r="E10" s="4" t="inlineStr">
        <is>
          <t>Proposed</t>
        </is>
      </c>
      <c r="F10" s="4" t="inlineStr">
        <is>
          <t>Real estate accelerated depreciation</t>
        </is>
      </c>
      <c r="H10" t="inlineStr">
        <is>
          <t>3b</t>
        </is>
      </c>
      <c r="I10" t="inlineStr">
        <is>
          <t>Ordinary dividends (total — incl qualified)</t>
        </is>
      </c>
      <c r="J10">
        <f>SUMIFS(tblMaster_Inputs[Baseline_Amount], tblMaster_Inputs[Year], 2025, tblMaster_Inputs[Primary_Line], $H10)</f>
        <v/>
      </c>
      <c r="K10" s="4" t="n"/>
      <c r="L10">
        <f>SUMIFS(tblY2025_Strategies[Amount], tblY2025_Strategies[TargetLine], $H10, tblY2025_Strategies[Status], "Committed") + SUMIFS(tblY2025_Strategies[Amount], tblY2025_Strategies[TargetLine], $H10, tblY2025_Strategies[Status], "Implemented")</f>
        <v/>
      </c>
      <c r="M10">
        <f>IF(ISBLANK(K10),J10,K10)+L10</f>
        <v/>
      </c>
      <c r="N10" s="8">
        <f>HYPERLINK("#Y2025!I49", "↗ drill")</f>
        <v/>
      </c>
    </row>
    <row r="11">
      <c r="H11" t="inlineStr">
        <is>
          <t>7</t>
        </is>
      </c>
      <c r="I11" t="inlineStr">
        <is>
          <t>Capital gain or (loss)</t>
        </is>
      </c>
      <c r="J11">
        <f>SUMIFS(tblMaster_Inputs[Baseline_Amount], tblMaster_Inputs[Year], 2025, tblMaster_Inputs[Primary_Line], $H11)</f>
        <v/>
      </c>
      <c r="K11" s="4" t="n"/>
      <c r="L11">
        <f>SUMIFS(tblY2025_Strategies[Amount], tblY2025_Strategies[TargetLine], $H11, tblY2025_Strategies[Status], "Committed") + SUMIFS(tblY2025_Strategies[Amount], tblY2025_Strategies[TargetLine], $H11, tblY2025_Strategies[Status], "Implemented")</f>
        <v/>
      </c>
      <c r="M11">
        <f>IF(ISBLANK(K11),J11,K11)+L11</f>
        <v/>
      </c>
      <c r="N11" s="8">
        <f>HYPERLINK("#Y2025!I49", "↗ drill")</f>
        <v/>
      </c>
    </row>
    <row r="12">
      <c r="H12" t="inlineStr">
        <is>
          <t>8</t>
        </is>
      </c>
      <c r="I12" t="inlineStr">
        <is>
          <t>Other income (incl business income via Sch 1)</t>
        </is>
      </c>
      <c r="J12">
        <f>SUMIFS(tblMaster_Inputs[Baseline_Amount], tblMaster_Inputs[Year], 2025, tblMaster_Inputs[Primary_Line], $H12)</f>
        <v/>
      </c>
      <c r="K12" s="4" t="n"/>
      <c r="L12">
        <f>SUMIFS(tblY2025_Strategies[Amount], tblY2025_Strategies[TargetLine], $H12, tblY2025_Strategies[Status], "Committed") + SUMIFS(tblY2025_Strategies[Amount], tblY2025_Strategies[TargetLine], $H12, tblY2025_Strategies[Status], "Implemented")</f>
        <v/>
      </c>
      <c r="M12">
        <f>IF(ISBLANK(K12),J12,K12)+L12</f>
        <v/>
      </c>
      <c r="N12" s="8">
        <f>HYPERLINK("#Y2025!I49", "↗ drill")</f>
        <v/>
      </c>
    </row>
    <row r="13">
      <c r="H13" t="inlineStr">
        <is>
          <t>9</t>
        </is>
      </c>
      <c r="I13" t="inlineStr">
        <is>
          <t>TOTAL INCOME</t>
        </is>
      </c>
      <c r="J13">
        <f>M6+M8+M10+M11+M12</f>
        <v/>
      </c>
      <c r="K13" s="4" t="n"/>
      <c r="L13" t="n">
        <v>0</v>
      </c>
      <c r="M13">
        <f>IF(ISBLANK(K13),J13,K13)</f>
        <v/>
      </c>
      <c r="N13" s="8">
        <f>HYPERLINK("#Y2025!I49", "↗ drill")</f>
        <v/>
      </c>
    </row>
    <row r="14">
      <c r="H14" t="inlineStr">
        <is>
          <t>10</t>
        </is>
      </c>
      <c r="I14" t="inlineStr">
        <is>
          <t>Adjustments to income</t>
        </is>
      </c>
      <c r="J14">
        <f>SUMIFS(tblMaster_Inputs[Baseline_Amount], tblMaster_Inputs[Year], 2025, tblMaster_Inputs[Primary_Line], $H14)</f>
        <v/>
      </c>
      <c r="K14" s="4" t="n"/>
      <c r="L14">
        <f>SUMIFS(tblY2025_Strategies[Amount], tblY2025_Strategies[TargetLine], $H14, tblY2025_Strategies[Status], "Committed") + SUMIFS(tblY2025_Strategies[Amount], tblY2025_Strategies[TargetLine], $H14, tblY2025_Strategies[Status], "Implemented")</f>
        <v/>
      </c>
      <c r="M14">
        <f>IF(ISBLANK(K14),J14,K14)+L14</f>
        <v/>
      </c>
      <c r="N14" s="8">
        <f>HYPERLINK("#Y2025!I49", "↗ drill")</f>
        <v/>
      </c>
    </row>
    <row r="15">
      <c r="H15" t="inlineStr">
        <is>
          <t>11</t>
        </is>
      </c>
      <c r="I15" t="inlineStr">
        <is>
          <t>AGI</t>
        </is>
      </c>
      <c r="J15">
        <f>M13+M14</f>
        <v/>
      </c>
      <c r="K15" s="4" t="n"/>
      <c r="L15" t="n">
        <v>0</v>
      </c>
      <c r="M15">
        <f>IF(ISBLANK(K15),J15,K15)</f>
        <v/>
      </c>
      <c r="N15" s="8">
        <f>HYPERLINK("#Y2025!I49", "↗ drill")</f>
        <v/>
      </c>
    </row>
    <row r="16">
      <c r="H16" t="inlineStr">
        <is>
          <t>12</t>
        </is>
      </c>
      <c r="I16" t="inlineStr">
        <is>
          <t>Std/Itemized deduction</t>
        </is>
      </c>
      <c r="J16">
        <f>SUMIFS(tblMaster_Inputs[Baseline_Amount], tblMaster_Inputs[Year], 2025, tblMaster_Inputs[Primary_Line], $H16)</f>
        <v/>
      </c>
      <c r="K16" s="4" t="n"/>
      <c r="L16">
        <f>SUMIFS(tblY2025_Strategies[Amount], tblY2025_Strategies[TargetLine], $H16, tblY2025_Strategies[Status], "Committed") + SUMIFS(tblY2025_Strategies[Amount], tblY2025_Strategies[TargetLine], $H16, tblY2025_Strategies[Status], "Implemented")</f>
        <v/>
      </c>
      <c r="M16">
        <f>IF(ISBLANK(K16),J16,K16)+L16</f>
        <v/>
      </c>
      <c r="N16" s="8">
        <f>HYPERLINK("#Y2025!I49", "↗ drill")</f>
        <v/>
      </c>
    </row>
    <row r="17">
      <c r="H17" t="inlineStr">
        <is>
          <t>13</t>
        </is>
      </c>
      <c r="I17" t="inlineStr">
        <is>
          <t>QBI deduction</t>
        </is>
      </c>
      <c r="J17">
        <f>SUMIFS(tblMaster_Inputs[Baseline_Amount], tblMaster_Inputs[Year], 2025, tblMaster_Inputs[Primary_Line], $H17)</f>
        <v/>
      </c>
      <c r="K17" s="4" t="n"/>
      <c r="L17">
        <f>SUMIFS(tblY2025_Strategies[Amount], tblY2025_Strategies[TargetLine], $H17, tblY2025_Strategies[Status], "Committed") + SUMIFS(tblY2025_Strategies[Amount], tblY2025_Strategies[TargetLine], $H17, tblY2025_Strategies[Status], "Implemented")</f>
        <v/>
      </c>
      <c r="M17">
        <f>IF(ISBLANK(K17),J17,K17)+L17</f>
        <v/>
      </c>
      <c r="N17" s="8">
        <f>HYPERLINK("#Y2025!I49", "↗ drill")</f>
        <v/>
      </c>
    </row>
    <row r="18">
      <c r="H18" t="inlineStr">
        <is>
          <t>15</t>
        </is>
      </c>
      <c r="I18" t="inlineStr">
        <is>
          <t>TAXABLE INCOME</t>
        </is>
      </c>
      <c r="J18">
        <f>M15+M16+M17</f>
        <v/>
      </c>
      <c r="K18" s="4" t="n"/>
      <c r="L18" t="n">
        <v>0</v>
      </c>
      <c r="M18">
        <f>IF(ISBLANK(K18),J18,K18)</f>
        <v/>
      </c>
      <c r="N18" s="8">
        <f>HYPERLINK("#Y2025!I49", "↗ drill")</f>
        <v/>
      </c>
    </row>
    <row r="21">
      <c r="H21" s="7" t="inlineStr">
        <is>
          <t>▸ HELPER / TAX-CALC INPUTS — does NOT add to income; reference values for future LAMBDAs</t>
        </is>
      </c>
    </row>
    <row r="22">
      <c r="H22" s="3" t="inlineStr">
        <is>
          <t>Helper Label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Used by</t>
        </is>
      </c>
    </row>
    <row r="23">
      <c r="H23" s="9" t="inlineStr">
        <is>
          <t>W2_OWNER</t>
        </is>
      </c>
      <c r="I23" t="inlineStr">
        <is>
          <t>Owner W-2 wages (S-Corp reasonable comp; Treatment_Profile=W2_SCorpOwner)</t>
        </is>
      </c>
      <c r="J23">
        <f>SUMIFS(tblMaster_Inputs[Baseline_Amount], tblMaster_Inputs[Year], 2025, tblMaster_Inputs[Treatment_Profile], "W2_SCorpOwner")</f>
        <v/>
      </c>
      <c r="K23" s="2" t="inlineStr">
        <is>
          <t>FICA_Employer/Employee — True Tax Burden box</t>
        </is>
      </c>
    </row>
    <row r="24">
      <c r="H24" s="9" t="inlineStr">
        <is>
          <t>W2_THIRD_PARTY</t>
        </is>
      </c>
      <c r="I24" t="inlineStr">
        <is>
          <t>Third-party W-2 wages (Treatment_Profile=W2_Employee)</t>
        </is>
      </c>
      <c r="J24">
        <f>SUMIFS(tblMaster_Inputs[Baseline_Amount], tblMaster_Inputs[Year], 2025, tblMaster_Inputs[Treatment_Profile], "W2_Employee")</f>
        <v/>
      </c>
      <c r="K24" s="2" t="inlineStr">
        <is>
          <t>Calc_SE_Tax (SS-base sharing) · AddlMedicareTax_FN</t>
        </is>
      </c>
    </row>
    <row r="25">
      <c r="H25" s="9" t="inlineStr">
        <is>
          <t>W2_TOTAL</t>
        </is>
      </c>
      <c r="I25" t="inlineStr">
        <is>
          <t>Total W-2 wages (owner + third-party)</t>
        </is>
      </c>
      <c r="J25">
        <f>W2_OWNER+W2_THIRD_PARTY</f>
        <v/>
      </c>
      <c r="K25" s="2" t="inlineStr">
        <is>
          <t>Calc_SE_Tax (SS-base sharing) · AddlMedicareTax_FN</t>
        </is>
      </c>
    </row>
    <row r="26">
      <c r="H26" s="9" t="inlineStr">
        <is>
          <t>BI_SE_SUBJECT</t>
        </is>
      </c>
      <c r="I26" t="inlineStr">
        <is>
          <t>Business income subject to SE tax (Sch C, Sch F, active K-1 PTP)</t>
        </is>
      </c>
      <c r="J26">
        <f>SUMIFS(tblMaster_Inputs[Baseline_Amount], tblMaster_Inputs[Year], 2025, tblMaster_Inputs[Bucket], "Business Income", tblMaster_Inputs[SE_Subject], "Yes")</f>
        <v/>
      </c>
      <c r="K26" s="2" t="inlineStr">
        <is>
          <t>Calc_SE_Tax base · AddlMedicareTax_FN</t>
        </is>
      </c>
    </row>
    <row r="27">
      <c r="H27" s="9" t="inlineStr">
        <is>
          <t>BI_ACTIVE_NONSE</t>
        </is>
      </c>
      <c r="I27" t="inlineStr">
        <is>
          <t>Active business income NOT subject to SE (active S-Corp K-1, etc.)</t>
        </is>
      </c>
      <c r="J27">
        <f>SUMIFS(tblMaster_Inputs[Baseline_Amount], tblMaster_Inputs[Year], 2025, tblMaster_Inputs[Bucket], "Business Income", tblMaster_Inputs[SE_Subject], "No", tblMaster_Inputs[NIIT_Class], "Active")</f>
        <v/>
      </c>
      <c r="K27" s="2" t="inlineStr">
        <is>
          <t>NIIT exclusion (active) · QBI eligible</t>
        </is>
      </c>
    </row>
    <row r="28">
      <c r="H28" s="9" t="inlineStr">
        <is>
          <t>BI_PASSIVE</t>
        </is>
      </c>
      <c r="I28" t="inlineStr">
        <is>
          <t>Passive business income / loss (passive K-1s, Sch E rental)</t>
        </is>
      </c>
      <c r="J28">
        <f>SUMIFS(tblMaster_Inputs[Baseline_Amount], tblMaster_Inputs[Year], 2025, tblMaster_Inputs[Bucket], "Business Income", tblMaster_Inputs[NIIT_Class], "Passive")</f>
        <v/>
      </c>
      <c r="K28" s="2" t="inlineStr">
        <is>
          <t>PassiveLossAllowed_FN · NIIT inclusion</t>
        </is>
      </c>
    </row>
    <row r="29">
      <c r="H29" s="9" t="inlineStr">
        <is>
          <t>TAX_EXEMPT</t>
        </is>
      </c>
      <c r="I29" t="inlineStr">
        <is>
          <t>Tax-exempt interest (Line 2a; reported but not taxed)</t>
        </is>
      </c>
      <c r="J29">
        <f>SUMIFS(tblMaster_Inputs[Helper_Amount], tblMaster_Inputs[Year], 2025, tblMaster_Inputs[Helper_Treatment], "TAX_EXEMPT")</f>
        <v/>
      </c>
      <c r="K29" s="2" t="inlineStr">
        <is>
          <t>NIIT_FN (MAGI base)</t>
        </is>
      </c>
    </row>
    <row r="30">
      <c r="H30" s="9" t="inlineStr">
        <is>
          <t>QUAL_DIV</t>
        </is>
      </c>
      <c r="I30" t="inlineStr">
        <is>
          <t>Qualified dividends (carve-out of Line 3b; LTCG stack)</t>
        </is>
      </c>
      <c r="J30">
        <f>SUMIFS(tblMaster_Inputs[Helper_Amount], tblMaster_Inputs[Year], 2025, tblMaster_Inputs[Helper_Treatment], "QUAL_DIV")</f>
        <v/>
      </c>
      <c r="K30" s="2" t="inlineStr">
        <is>
          <t>Calc_CapGainsTax stacking</t>
        </is>
      </c>
    </row>
    <row r="31">
      <c r="H31" s="9" t="inlineStr">
        <is>
          <t>CG_LT</t>
        </is>
      </c>
      <c r="I31" t="inlineStr">
        <is>
          <t>Long-term capital gains (LT preferential rate; stacks with qualified div)</t>
        </is>
      </c>
      <c r="J31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"Sec1250_Recap")</f>
        <v/>
      </c>
      <c r="K31" s="2" t="inlineStr">
        <is>
          <t>Calc_CapGainsTax</t>
        </is>
      </c>
    </row>
    <row r="32">
      <c r="H32" s="9" t="inlineStr">
        <is>
          <t>CG_ST</t>
        </is>
      </c>
      <c r="I32" t="inlineStr">
        <is>
          <t>Short-term capital gains (taxed as ordinary income)</t>
        </is>
      </c>
      <c r="J32">
        <f>SUMIFS(tblMaster_Inputs[Baseline_Amount], tblMaster_Inputs[Year], 2025, tblMaster_Inputs[Treatment_Profile], "STCG_Stock")</f>
        <v/>
      </c>
      <c r="K32" s="2" t="inlineStr">
        <is>
          <t>Calc_OrdinaryTax (ST folded into ordinary income)</t>
        </is>
      </c>
    </row>
    <row r="33">
      <c r="H33" s="9" t="inlineStr">
        <is>
          <t>SEC1250</t>
        </is>
      </c>
      <c r="I33" t="inlineStr">
        <is>
          <t>§1250 unrecaptured gain (sub-carve of CG_LT; capped at 25% rate)</t>
        </is>
      </c>
      <c r="J33">
        <f>SUMIFS(tblMaster_Inputs[Helper_Amount], tblMaster_Inputs[Year], 2025, tblMaster_Inputs[Helper_Treatment], "SEC1250")</f>
        <v/>
      </c>
      <c r="K33" s="2" t="inlineStr">
        <is>
          <t>Calc_1250Tax</t>
        </is>
      </c>
    </row>
    <row r="35">
      <c r="H35" s="7" t="inlineStr">
        <is>
          <t>▸ TAX CALC INPUTS — derived; each row is a workbook-level named range for LAMBDAs to consume</t>
        </is>
      </c>
    </row>
    <row r="36">
      <c r="H36" s="3" t="inlineStr">
        <is>
          <t>Named Range</t>
        </is>
      </c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Used by LAMBDA</t>
        </is>
      </c>
    </row>
    <row r="37">
      <c r="H37" s="9" t="inlineStr">
        <is>
          <t>OrdIncome</t>
        </is>
      </c>
      <c r="I37" t="inlineStr">
        <is>
          <t>Ordinary income (TaxableIncome - CG_LT - QUAL_DIV - SEC1250)</t>
        </is>
      </c>
      <c r="J37">
        <f>TaxableIncome-CG_LT-QUAL_DIV-SEC1250</f>
        <v/>
      </c>
      <c r="K37" s="2" t="inlineStr">
        <is>
          <t>Calc_CapGainsTax stacking base · Calc_OrdinaryTax (after carve-outs)</t>
        </is>
      </c>
    </row>
    <row r="38">
      <c r="H38" s="9" t="inlineStr">
        <is>
          <t>MAGI</t>
        </is>
      </c>
      <c r="I38" t="inlineStr">
        <is>
          <t>Modified AGI = AGI + tax-exempt interest</t>
        </is>
      </c>
      <c r="J38">
        <f>AGI+TAX_EXEMPT</f>
        <v/>
      </c>
      <c r="K38" s="2" t="inlineStr">
        <is>
          <t>Calc_NIIT · PassiveLossAllowed_FN</t>
        </is>
      </c>
    </row>
    <row r="39">
      <c r="H39" s="9" t="inlineStr">
        <is>
          <t>NII</t>
        </is>
      </c>
      <c r="I39" t="inlineStr">
        <is>
          <t>Net Investment Income = taxable int + div + cap gain + passive</t>
        </is>
      </c>
      <c r="J39">
        <f>Line_2b_TaxInt+Line_3b_OrdDiv+Line_7_CapGain+BI_PASSIVE</f>
        <v/>
      </c>
      <c r="K39" s="2" t="inlineStr">
        <is>
          <t>Calc_NIIT</t>
        </is>
      </c>
    </row>
    <row r="40">
      <c r="H40" s="9" t="inlineStr">
        <is>
          <t>QBI_Income</t>
        </is>
      </c>
      <c r="I40" t="inlineStr">
        <is>
          <t>QBI-eligible business income (active business)</t>
        </is>
      </c>
      <c r="J40">
        <f>BI_SE_SUBJECT+BI_ACTIVE_NONSE</f>
        <v/>
      </c>
      <c r="K40" s="2" t="inlineStr">
        <is>
          <t>Calc_QBI_Simple · QBI_FN</t>
        </is>
      </c>
    </row>
    <row r="41">
      <c r="H41" s="9" t="inlineStr">
        <is>
          <t>TaxableIncome_BeforeQBI</t>
        </is>
      </c>
      <c r="I41" t="inlineStr">
        <is>
          <t>Taxable Income BEFORE QBI deduction (= AGI - StdItemDed)</t>
        </is>
      </c>
      <c r="J41">
        <f>AGI+StdItemDed</f>
        <v/>
      </c>
      <c r="K41" s="2" t="inlineStr">
        <is>
          <t>Calc_QBI_Simple (cap reference)</t>
        </is>
      </c>
    </row>
    <row r="42">
      <c r="H42" s="9" t="inlineStr">
        <is>
          <t>BusinessLoss</t>
        </is>
      </c>
      <c r="I42" t="inlineStr">
        <is>
          <t>Net business loss (only when negative; for EBL limit)</t>
        </is>
      </c>
      <c r="J42">
        <f>MIN(0,BI_SE_SUBJECT+BI_ACTIVE_NONSE+BI_PASSIVE)</f>
        <v/>
      </c>
      <c r="K42" s="2" t="inlineStr">
        <is>
          <t>ExcessBusinessLossLimit_FN</t>
        </is>
      </c>
    </row>
    <row r="43">
      <c r="H43" s="9" t="inlineStr">
        <is>
          <t>NetSEIncome</t>
        </is>
      </c>
      <c r="I43" t="inlineStr">
        <is>
          <t>Net SE income (alias of BI_SE_SUBJECT for LAMBDA clarity)</t>
        </is>
      </c>
      <c r="J43">
        <f>BI_SE_SUBJECT</f>
        <v/>
      </c>
      <c r="K43" s="2" t="inlineStr">
        <is>
          <t>Calc_SE_Tax · AddlMedicareTax_FN · SETax_FN</t>
        </is>
      </c>
    </row>
    <row r="44">
      <c r="H44" s="9" t="inlineStr">
        <is>
          <t>UBIA</t>
        </is>
      </c>
      <c r="I44" t="inlineStr">
        <is>
          <t>Unadjusted Basis Immediately After Acquisition (QBI W-2/UBIA test)</t>
        </is>
      </c>
      <c r="J44" s="4" t="n">
        <v>0</v>
      </c>
      <c r="K44" s="2" t="inlineStr">
        <is>
          <t>QBI_FN</t>
        </is>
      </c>
    </row>
    <row r="45">
      <c r="H45" s="9" t="inlineStr">
        <is>
          <t>IsSSTB</t>
        </is>
      </c>
      <c r="I45" t="inlineStr">
        <is>
          <t>Is Specified Service Trade or Business? (TRUE/FALSE)</t>
        </is>
      </c>
      <c r="J45" s="4" t="b">
        <v>0</v>
      </c>
      <c r="K45" s="2" t="inlineStr">
        <is>
          <t>QBI_FN</t>
        </is>
      </c>
    </row>
    <row r="46">
      <c r="H46" s="9" t="inlineStr">
        <is>
          <t>NOL_Carryforward</t>
        </is>
      </c>
      <c r="I46" t="inlineStr">
        <is>
          <t>NOL carryforward available (from prior-year Carryovers; populate manually for now)</t>
        </is>
      </c>
      <c r="J46" s="4" t="n">
        <v>0</v>
      </c>
      <c r="K46" s="2" t="inlineStr">
        <is>
          <t>NOLDeductionAllowed_FN</t>
        </is>
      </c>
    </row>
    <row r="48">
      <c r="H48" s="7" t="inlineStr">
        <is>
          <t>▸ DRILL DETAIL — pick a line; FILTER below shows the contributing Master_Inputs rows</t>
        </is>
      </c>
    </row>
    <row r="49">
      <c r="H49" s="10" t="inlineStr">
        <is>
          <t>Drill into line:</t>
        </is>
      </c>
      <c r="I49" s="11" t="inlineStr">
        <is>
          <t>1z</t>
        </is>
      </c>
      <c r="K49" s="8">
        <f>HYPERLINK("#Master_Inputs!A1", "✏ open Master_Inputs to edit")</f>
        <v/>
      </c>
    </row>
    <row r="51">
      <c r="H51" s="3" t="inlineStr">
        <is>
          <t>InputID</t>
        </is>
      </c>
      <c r="I51" s="3" t="inlineStr">
        <is>
          <t>Bucket</t>
        </is>
      </c>
      <c r="J51" s="3" t="inlineStr">
        <is>
          <t>Treatment_Profile</t>
        </is>
      </c>
      <c r="K51" s="3" t="inlineStr">
        <is>
          <t>Payor</t>
        </is>
      </c>
      <c r="L51" s="3" t="inlineStr">
        <is>
          <t>Baseline_Amount</t>
        </is>
      </c>
      <c r="M51" s="3" t="inlineStr">
        <is>
          <t>Helper_Amount</t>
        </is>
      </c>
      <c r="N51" s="3" t="inlineStr">
        <is>
          <t>Notes</t>
        </is>
      </c>
    </row>
    <row r="52">
      <c r="H52">
        <f>IFERROR(HSTACK(FILTER(tblMaster_Inputs[InputID],          (tblMaster_Inputs[Year]=2025)*(tblMaster_Inputs[Primary_Line]=Drill_Line)),FILTER(tblMaster_Inputs[Bucket],           (tblMaster_Inputs[Year]=2025)*(tblMaster_Inputs[Primary_Line]=Drill_Line)),FILTER(tblMaster_Inputs[Treatment_Profile],(tblMaster_Inputs[Year]=2025)*(tblMaster_Inputs[Primary_Line]=Drill_Line)),FILTER(tblMaster_Inputs[Payor],            (tblMaster_Inputs[Year]=2025)*(tblMaster_Inputs[Primary_Line]=Drill_Line)),FILTER(tblMaster_Inputs[Baseline_Amount],  (tblMaster_Inputs[Year]=2025)*(tblMaster_Inputs[Primary_Line]=Drill_Line)),FILTER(tblMaster_Inputs[Helper_Amount],    (tblMaster_Inputs[Year]=2025)*(tblMaster_Inputs[Primary_Line]=Drill_Line)),FILTER(tblMaster_Inputs[Notes],            (tblMaster_Inputs[Year]=2025)*(tblMaster_Inputs[Primary_Line]=Drill_Line))), "(no rows matching this line / year)")</f>
        <v/>
      </c>
    </row>
    <row r="63">
      <c r="H63" s="2" t="inlineStr">
        <is>
          <t>FILTER output is live — change Drill_Line and the rows update. Use the hyperlink to edit in Master_Inputs.</t>
        </is>
      </c>
    </row>
  </sheetData>
  <dataValidations count="3">
    <dataValidation sqref="C6:C200" showDropDown="0" showInputMessage="0" showErrorMessage="0" allowBlank="1" type="list">
      <formula1>=TaxLines</formula1>
    </dataValidation>
    <dataValidation sqref="E6:E200" showDropDown="0" showInputMessage="0" showErrorMessage="0" allowBlank="1" type="list">
      <formula1>=Status</formula1>
    </dataValidation>
    <dataValidation sqref="I49" showDropDown="0" showInputMessage="0" showErrorMessage="0" allowBlank="0" type="list">
      <formula1>"1z,2a,2b,3a,3b,7,8,9,10,11,12,13,15"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1" customWidth="1" min="3" max="3"/>
    <col width="12" customWidth="1" min="4" max="4"/>
    <col width="13" customWidth="1" min="5" max="5"/>
    <col width="11" customWidth="1" min="6" max="6"/>
    <col width="18" customWidth="1" min="7" max="7"/>
    <col width="50" customWidth="1" min="8" max="8"/>
    <col width="35" customWidth="1" min="9" max="9"/>
  </cols>
  <sheetData>
    <row r="1">
      <c r="A1" s="1" t="inlineStr">
        <is>
          <t>TREATMENT PROFILE MAP — reference for the VBA hook that fills SE/NIIT/QBI/Primary_Line/Helper_Treatment</t>
        </is>
      </c>
    </row>
    <row r="4">
      <c r="A4" s="3" t="inlineStr">
        <is>
          <t>Profile</t>
        </is>
      </c>
      <c r="B4" s="3" t="inlineStr">
        <is>
          <t>Bucket</t>
        </is>
      </c>
      <c r="C4" s="3" t="inlineStr">
        <is>
          <t>SE_Subject</t>
        </is>
      </c>
      <c r="D4" s="3" t="inlineStr">
        <is>
          <t>NIIT_Class</t>
        </is>
      </c>
      <c r="E4" s="3" t="inlineStr">
        <is>
          <t>QBI_Eligible</t>
        </is>
      </c>
      <c r="F4" s="3" t="inlineStr">
        <is>
          <t>Primary_Line</t>
        </is>
      </c>
      <c r="G4" s="3" t="inlineStr">
        <is>
          <t>Helper_Treatment</t>
        </is>
      </c>
      <c r="H4" s="3" t="inlineStr">
        <is>
          <t>Consider_Prompt</t>
        </is>
      </c>
      <c r="I4" s="3" t="inlineStr">
        <is>
          <t>Notes</t>
        </is>
      </c>
    </row>
    <row r="5">
      <c r="A5" t="inlineStr">
        <is>
          <t>SchC_Active</t>
        </is>
      </c>
      <c r="B5" t="inlineStr">
        <is>
          <t>Business Income</t>
        </is>
      </c>
      <c r="C5" t="inlineStr">
        <is>
          <t>Yes</t>
        </is>
      </c>
      <c r="D5" t="inlineStr">
        <is>
          <t>Active</t>
        </is>
      </c>
      <c r="E5" t="inlineStr">
        <is>
          <t>Yes</t>
        </is>
      </c>
      <c r="F5" t="inlineStr">
        <is>
          <t>8</t>
        </is>
      </c>
      <c r="G5" t="inlineStr">
        <is>
          <t>SE_INCOME</t>
        </is>
      </c>
      <c r="H5" t="inlineStr">
        <is>
          <t>SE earnings?</t>
        </is>
      </c>
      <c r="I5" t="inlineStr">
        <is>
          <t>Sole prop active SE</t>
        </is>
      </c>
    </row>
    <row r="6">
      <c r="A6" t="inlineStr">
        <is>
          <t>SchE_Rental</t>
        </is>
      </c>
      <c r="B6" t="inlineStr">
        <is>
          <t>Business Income</t>
        </is>
      </c>
      <c r="C6" t="inlineStr">
        <is>
          <t>No</t>
        </is>
      </c>
      <c r="D6" t="inlineStr">
        <is>
          <t>Passive</t>
        </is>
      </c>
      <c r="E6" t="inlineStr">
        <is>
          <t>No</t>
        </is>
      </c>
      <c r="F6" t="inlineStr">
        <is>
          <t>8</t>
        </is>
      </c>
      <c r="G6" t="inlineStr">
        <is>
          <t>PASSIVE</t>
        </is>
      </c>
      <c r="H6" t="inlineStr">
        <is>
          <t>short-term rental? RE Pro election?</t>
        </is>
      </c>
      <c r="I6" t="inlineStr">
        <is>
          <t>Rental real estate default passive</t>
        </is>
      </c>
    </row>
    <row r="7">
      <c r="A7" t="inlineStr">
        <is>
          <t>SchE_REPro</t>
        </is>
      </c>
      <c r="B7" t="inlineStr">
        <is>
          <t>Business Income</t>
        </is>
      </c>
      <c r="C7" t="inlineStr">
        <is>
          <t>No</t>
        </is>
      </c>
      <c r="D7" t="inlineStr">
        <is>
          <t>Active</t>
        </is>
      </c>
      <c r="E7" t="inlineStr">
        <is>
          <t>No</t>
        </is>
      </c>
      <c r="F7" t="inlineStr">
        <is>
          <t>8</t>
        </is>
      </c>
      <c r="G7" t="inlineStr">
        <is>
          <t>ACTIVE_RE</t>
        </is>
      </c>
      <c r="H7" t="inlineStr">
        <is>
          <t>meets 750hr / &gt;50% test?</t>
        </is>
      </c>
      <c r="I7" t="inlineStr">
        <is>
          <t>RE Pro election</t>
        </is>
      </c>
    </row>
    <row r="8">
      <c r="A8" t="inlineStr">
        <is>
          <t>SchF_Active</t>
        </is>
      </c>
      <c r="B8" t="inlineStr">
        <is>
          <t>Business Income</t>
        </is>
      </c>
      <c r="C8" t="inlineStr">
        <is>
          <t>Yes</t>
        </is>
      </c>
      <c r="D8" t="inlineStr">
        <is>
          <t>Active</t>
        </is>
      </c>
      <c r="E8" t="inlineStr">
        <is>
          <t>Yes</t>
        </is>
      </c>
      <c r="F8" t="inlineStr">
        <is>
          <t>8</t>
        </is>
      </c>
      <c r="G8" t="inlineStr">
        <is>
          <t>SE_INCOME</t>
        </is>
      </c>
      <c r="H8" t="inlineStr">
        <is>
          <t>farm income averaging?</t>
        </is>
      </c>
      <c r="I8" t="inlineStr">
        <is>
          <t>Farm income</t>
        </is>
      </c>
    </row>
    <row r="9">
      <c r="A9" t="inlineStr">
        <is>
          <t>K1_PTP_Active</t>
        </is>
      </c>
      <c r="B9" t="inlineStr">
        <is>
          <t>Business Income</t>
        </is>
      </c>
      <c r="C9" t="inlineStr">
        <is>
          <t>Yes</t>
        </is>
      </c>
      <c r="D9" t="inlineStr">
        <is>
          <t>Active</t>
        </is>
      </c>
      <c r="E9" t="inlineStr">
        <is>
          <t>Yes</t>
        </is>
      </c>
      <c r="F9" t="inlineStr">
        <is>
          <t>8</t>
        </is>
      </c>
      <c r="G9" t="inlineStr">
        <is>
          <t>K1_SPLIT</t>
        </is>
      </c>
      <c r="H9" t="inlineStr">
        <is>
          <t>active vs passive?</t>
        </is>
      </c>
      <c r="I9" t="inlineStr">
        <is>
          <t>Active partnership K-1</t>
        </is>
      </c>
    </row>
    <row r="10">
      <c r="A10" t="inlineStr">
        <is>
          <t>K1_PTP_Passive</t>
        </is>
      </c>
      <c r="B10" t="inlineStr">
        <is>
          <t>Business Income</t>
        </is>
      </c>
      <c r="C10" t="inlineStr">
        <is>
          <t>No</t>
        </is>
      </c>
      <c r="D10" t="inlineStr">
        <is>
          <t>Passive</t>
        </is>
      </c>
      <c r="E10" t="inlineStr">
        <is>
          <t>Yes</t>
        </is>
      </c>
      <c r="F10" t="inlineStr">
        <is>
          <t>8</t>
        </is>
      </c>
      <c r="G10" t="inlineStr">
        <is>
          <t>K1_SPLIT</t>
        </is>
      </c>
      <c r="H10" t="inlineStr">
        <is>
          <t>PAL limits?</t>
        </is>
      </c>
      <c r="I10" t="inlineStr">
        <is>
          <t>Passive partnership K-1</t>
        </is>
      </c>
    </row>
    <row r="11">
      <c r="A11" t="inlineStr">
        <is>
          <t>K1_SCorp_Active</t>
        </is>
      </c>
      <c r="B11" t="inlineStr">
        <is>
          <t>Business Income</t>
        </is>
      </c>
      <c r="C11" t="inlineStr">
        <is>
          <t>No</t>
        </is>
      </c>
      <c r="D11" t="inlineStr">
        <is>
          <t>Active</t>
        </is>
      </c>
      <c r="E11" t="inlineStr">
        <is>
          <t>Yes</t>
        </is>
      </c>
      <c r="F11" t="inlineStr">
        <is>
          <t>8</t>
        </is>
      </c>
      <c r="G11" t="inlineStr">
        <is>
          <t>K1_SPLIT</t>
        </is>
      </c>
      <c r="H11" t="inlineStr">
        <is>
          <t>active vs passive?</t>
        </is>
      </c>
      <c r="I11" t="inlineStr">
        <is>
          <t>Active S-Corp K-1</t>
        </is>
      </c>
    </row>
    <row r="12">
      <c r="A12" t="inlineStr">
        <is>
          <t>K1_SCorp_Passive</t>
        </is>
      </c>
      <c r="B12" t="inlineStr">
        <is>
          <t>Business Income</t>
        </is>
      </c>
      <c r="C12" t="inlineStr">
        <is>
          <t>No</t>
        </is>
      </c>
      <c r="D12" t="inlineStr">
        <is>
          <t>Passive</t>
        </is>
      </c>
      <c r="E12" t="inlineStr">
        <is>
          <t>Yes</t>
        </is>
      </c>
      <c r="F12" t="inlineStr">
        <is>
          <t>8</t>
        </is>
      </c>
      <c r="G12" t="inlineStr">
        <is>
          <t>K1_SPLIT</t>
        </is>
      </c>
      <c r="H12" t="inlineStr">
        <is>
          <t>rare — confirm</t>
        </is>
      </c>
      <c r="I12" t="inlineStr">
        <is>
          <t>Passive S-Corp K-1</t>
        </is>
      </c>
    </row>
    <row r="13">
      <c r="A13" t="inlineStr">
        <is>
          <t>Trust_K1</t>
        </is>
      </c>
      <c r="B13" t="inlineStr">
        <is>
          <t>Business Income</t>
        </is>
      </c>
      <c r="C13" t="inlineStr">
        <is>
          <t>No</t>
        </is>
      </c>
      <c r="D13" t="inlineStr">
        <is>
          <t>Portfolio</t>
        </is>
      </c>
      <c r="E13" t="inlineStr">
        <is>
          <t>No</t>
        </is>
      </c>
      <c r="F13" t="inlineStr">
        <is>
          <t>8</t>
        </is>
      </c>
      <c r="G13" t="inlineStr">
        <is>
          <t>TRUST_DIST</t>
        </is>
      </c>
      <c r="H13" t="inlineStr">
        <is>
          <t>character of distribution?</t>
        </is>
      </c>
      <c r="I13" t="inlineStr">
        <is>
          <t>Trust K-1</t>
        </is>
      </c>
    </row>
    <row r="14">
      <c r="A14" t="inlineStr">
        <is>
          <t>W2_Employee</t>
        </is>
      </c>
      <c r="B14" t="inlineStr">
        <is>
          <t>Wages</t>
        </is>
      </c>
      <c r="C14" t="inlineStr">
        <is>
          <t>No</t>
        </is>
      </c>
      <c r="D14" t="inlineStr">
        <is>
          <t>Active</t>
        </is>
      </c>
      <c r="E14" t="inlineStr">
        <is>
          <t>No</t>
        </is>
      </c>
      <c r="F14" t="inlineStr">
        <is>
          <t>1z</t>
        </is>
      </c>
      <c r="G14" t="inlineStr">
        <is>
          <t>NONE</t>
        </is>
      </c>
      <c r="H14" t="inlineStr">
        <is>
          <t>(n/a)</t>
        </is>
      </c>
      <c r="I14" t="inlineStr">
        <is>
          <t>Standard W-2 wages</t>
        </is>
      </c>
    </row>
    <row r="15">
      <c r="A15" t="inlineStr">
        <is>
          <t>W2_SCorpOwner</t>
        </is>
      </c>
      <c r="B15" t="inlineStr">
        <is>
          <t>Wages</t>
        </is>
      </c>
      <c r="C15" t="inlineStr">
        <is>
          <t>No</t>
        </is>
      </c>
      <c r="D15" t="inlineStr">
        <is>
          <t>Active</t>
        </is>
      </c>
      <c r="E15" t="inlineStr">
        <is>
          <t>No</t>
        </is>
      </c>
      <c r="F15" t="inlineStr">
        <is>
          <t>1z</t>
        </is>
      </c>
      <c r="G15" t="inlineStr">
        <is>
          <t>OWNER_PAY</t>
        </is>
      </c>
      <c r="H15" t="inlineStr">
        <is>
          <t>owner pay portion?</t>
        </is>
      </c>
      <c r="I15" t="inlineStr">
        <is>
          <t>S-Corp owner reasonable comp</t>
        </is>
      </c>
    </row>
    <row r="16">
      <c r="A16" t="inlineStr">
        <is>
          <t>Int_Taxable</t>
        </is>
      </c>
      <c r="B16" t="inlineStr">
        <is>
          <t>Investment Income</t>
        </is>
      </c>
      <c r="C16" t="inlineStr">
        <is>
          <t>No</t>
        </is>
      </c>
      <c r="D16" t="inlineStr">
        <is>
          <t>Portfolio</t>
        </is>
      </c>
      <c r="E16" t="inlineStr">
        <is>
          <t>No</t>
        </is>
      </c>
      <c r="F16" t="inlineStr">
        <is>
          <t>2b</t>
        </is>
      </c>
      <c r="G16" t="inlineStr">
        <is>
          <t>TAX_EXEMPT</t>
        </is>
      </c>
      <c r="H16" t="inlineStr">
        <is>
          <t>tax-exempt portion?</t>
        </is>
      </c>
      <c r="I16" t="inlineStr">
        <is>
          <t>Taxable interest</t>
        </is>
      </c>
    </row>
    <row r="17">
      <c r="A17" t="inlineStr">
        <is>
          <t>Int_Exempt</t>
        </is>
      </c>
      <c r="B17" t="inlineStr">
        <is>
          <t>Investment Income</t>
        </is>
      </c>
      <c r="C17" t="inlineStr">
        <is>
          <t>No</t>
        </is>
      </c>
      <c r="D17" t="inlineStr">
        <is>
          <t>N/A</t>
        </is>
      </c>
      <c r="E17" t="inlineStr">
        <is>
          <t>No</t>
        </is>
      </c>
      <c r="F17" t="inlineStr">
        <is>
          <t>2a</t>
        </is>
      </c>
      <c r="G17" t="inlineStr">
        <is>
          <t>NONE</t>
        </is>
      </c>
      <c r="H17" t="inlineStr">
        <is>
          <t>(all exempt)</t>
        </is>
      </c>
      <c r="I17" t="inlineStr">
        <is>
          <t>Tax-exempt interest</t>
        </is>
      </c>
    </row>
    <row r="18">
      <c r="A18" t="inlineStr">
        <is>
          <t>Div_Qualified</t>
        </is>
      </c>
      <c r="B18" t="inlineStr">
        <is>
          <t>Investment Income</t>
        </is>
      </c>
      <c r="C18" t="inlineStr">
        <is>
          <t>No</t>
        </is>
      </c>
      <c r="D18" t="inlineStr">
        <is>
          <t>Portfolio</t>
        </is>
      </c>
      <c r="E18" t="inlineStr">
        <is>
          <t>No</t>
        </is>
      </c>
      <c r="F18" t="inlineStr">
        <is>
          <t>3b</t>
        </is>
      </c>
      <c r="G18" t="inlineStr">
        <is>
          <t>QUAL_DIV</t>
        </is>
      </c>
      <c r="H18" t="inlineStr">
        <is>
          <t>qualified portion?</t>
        </is>
      </c>
      <c r="I18" t="inlineStr">
        <is>
          <t>Qualified dividends</t>
        </is>
      </c>
    </row>
    <row r="19">
      <c r="A19" t="inlineStr">
        <is>
          <t>Div_Ordinary</t>
        </is>
      </c>
      <c r="B19" t="inlineStr">
        <is>
          <t>Investment Income</t>
        </is>
      </c>
      <c r="C19" t="inlineStr">
        <is>
          <t>No</t>
        </is>
      </c>
      <c r="D19" t="inlineStr">
        <is>
          <t>Portfolio</t>
        </is>
      </c>
      <c r="E19" t="inlineStr">
        <is>
          <t>No</t>
        </is>
      </c>
      <c r="F19" t="inlineStr">
        <is>
          <t>3b</t>
        </is>
      </c>
      <c r="G19" t="inlineStr">
        <is>
          <t>QUAL_DIV</t>
        </is>
      </c>
      <c r="H19" t="inlineStr">
        <is>
          <t>qualified portion?</t>
        </is>
      </c>
      <c r="I19" t="inlineStr">
        <is>
          <t>Ordinary dividends</t>
        </is>
      </c>
    </row>
    <row r="20">
      <c r="A20" t="inlineStr">
        <is>
          <t>LTCG_Stock</t>
        </is>
      </c>
      <c r="B20" t="inlineStr">
        <is>
          <t>Capital Gains</t>
        </is>
      </c>
      <c r="C20" t="inlineStr">
        <is>
          <t>No</t>
        </is>
      </c>
      <c r="D20" t="inlineStr">
        <is>
          <t>Portfolio</t>
        </is>
      </c>
      <c r="E20" t="inlineStr">
        <is>
          <t>No</t>
        </is>
      </c>
      <c r="F20" t="inlineStr">
        <is>
          <t>7</t>
        </is>
      </c>
      <c r="G20" t="inlineStr">
        <is>
          <t>LTCG_SPLIT</t>
        </is>
      </c>
      <c r="H20" t="inlineStr">
        <is>
          <t>wash sales? carryover?</t>
        </is>
      </c>
      <c r="I20" t="inlineStr">
        <is>
          <t>LT cap gains</t>
        </is>
      </c>
    </row>
    <row r="21">
      <c r="A21" t="inlineStr">
        <is>
          <t>STCG_Stock</t>
        </is>
      </c>
      <c r="B21" t="inlineStr">
        <is>
          <t>Capital Gains</t>
        </is>
      </c>
      <c r="C21" t="inlineStr">
        <is>
          <t>No</t>
        </is>
      </c>
      <c r="D21" t="inlineStr">
        <is>
          <t>Portfolio</t>
        </is>
      </c>
      <c r="E21" t="inlineStr">
        <is>
          <t>No</t>
        </is>
      </c>
      <c r="F21" t="inlineStr">
        <is>
          <t>7</t>
        </is>
      </c>
      <c r="G21" t="inlineStr">
        <is>
          <t>LTCG_SPLIT</t>
        </is>
      </c>
      <c r="H21" t="inlineStr">
        <is>
          <t>wash sales? carryover?</t>
        </is>
      </c>
      <c r="I21" t="inlineStr">
        <is>
          <t>ST cap gains</t>
        </is>
      </c>
    </row>
    <row r="22">
      <c r="A22" t="inlineStr">
        <is>
          <t>LTCG_RE</t>
        </is>
      </c>
      <c r="B22" t="inlineStr">
        <is>
          <t>Capital Gains</t>
        </is>
      </c>
      <c r="C22" t="inlineStr">
        <is>
          <t>No</t>
        </is>
      </c>
      <c r="D22" t="inlineStr">
        <is>
          <t>Passive</t>
        </is>
      </c>
      <c r="E22" t="inlineStr">
        <is>
          <t>No</t>
        </is>
      </c>
      <c r="F22" t="inlineStr">
        <is>
          <t>7</t>
        </is>
      </c>
      <c r="G22" t="inlineStr">
        <is>
          <t>LTCG_SPLIT</t>
        </is>
      </c>
      <c r="H22" t="inlineStr">
        <is>
          <t>§1250 portion? §1031?</t>
        </is>
      </c>
      <c r="I22" t="inlineStr">
        <is>
          <t>LT cap gain on RE</t>
        </is>
      </c>
    </row>
    <row r="23">
      <c r="A23" t="inlineStr">
        <is>
          <t>Sec1250_Recap</t>
        </is>
      </c>
      <c r="B23" t="inlineStr">
        <is>
          <t>Capital Gains</t>
        </is>
      </c>
      <c r="C23" t="inlineStr">
        <is>
          <t>No</t>
        </is>
      </c>
      <c r="D23" t="inlineStr">
        <is>
          <t>Passive</t>
        </is>
      </c>
      <c r="E23" t="inlineStr">
        <is>
          <t>No</t>
        </is>
      </c>
      <c r="F23" t="inlineStr">
        <is>
          <t>7</t>
        </is>
      </c>
      <c r="G23" t="inlineStr">
        <is>
          <t>SEC1250</t>
        </is>
      </c>
      <c r="H23" t="inlineStr">
        <is>
          <t>capped at 25%</t>
        </is>
      </c>
      <c r="I23" t="inlineStr">
        <is>
          <t>§1250 recapture</t>
        </is>
      </c>
    </row>
    <row r="24">
      <c r="A24" t="inlineStr">
        <is>
          <t>LTCG_K1_Passthrough</t>
        </is>
      </c>
      <c r="B24" t="inlineStr">
        <is>
          <t>Capital Gains</t>
        </is>
      </c>
      <c r="C24" t="inlineStr">
        <is>
          <t>No</t>
        </is>
      </c>
      <c r="D24" t="inlineStr">
        <is>
          <t>Portfolio</t>
        </is>
      </c>
      <c r="E24" t="inlineStr">
        <is>
          <t>No</t>
        </is>
      </c>
      <c r="F24" t="inlineStr">
        <is>
          <t>7</t>
        </is>
      </c>
      <c r="G24" t="inlineStr">
        <is>
          <t>LTCG_SPLIT</t>
        </is>
      </c>
      <c r="H24" t="inlineStr">
        <is>
          <t>character per K-1 box?</t>
        </is>
      </c>
      <c r="I24" t="inlineStr">
        <is>
          <t>K-1 passthrough</t>
        </is>
      </c>
    </row>
    <row r="25">
      <c r="A25" t="inlineStr">
        <is>
          <t>Adj_HSA</t>
        </is>
      </c>
      <c r="B25" t="inlineStr">
        <is>
          <t>Adjustment</t>
        </is>
      </c>
      <c r="C25" t="inlineStr">
        <is>
          <t>No</t>
        </is>
      </c>
      <c r="D25" t="inlineStr">
        <is>
          <t>N/A</t>
        </is>
      </c>
      <c r="E25" t="inlineStr">
        <is>
          <t>No</t>
        </is>
      </c>
      <c r="F25" t="inlineStr">
        <is>
          <t>10</t>
        </is>
      </c>
      <c r="G25" t="inlineStr">
        <is>
          <t>HSA</t>
        </is>
      </c>
      <c r="H25" t="inlineStr">
        <is>
          <t>family vs self?</t>
        </is>
      </c>
      <c r="I25" t="inlineStr">
        <is>
          <t>HSA</t>
        </is>
      </c>
    </row>
    <row r="26">
      <c r="A26" t="inlineStr">
        <is>
          <t>Adj_IRA</t>
        </is>
      </c>
      <c r="B26" t="inlineStr">
        <is>
          <t>Adjustment</t>
        </is>
      </c>
      <c r="C26" t="inlineStr">
        <is>
          <t>No</t>
        </is>
      </c>
      <c r="D26" t="inlineStr">
        <is>
          <t>N/A</t>
        </is>
      </c>
      <c r="E26" t="inlineStr">
        <is>
          <t>No</t>
        </is>
      </c>
      <c r="F26" t="inlineStr">
        <is>
          <t>10</t>
        </is>
      </c>
      <c r="G26" t="inlineStr">
        <is>
          <t>IRA</t>
        </is>
      </c>
      <c r="H26" t="inlineStr">
        <is>
          <t>deductible portion?</t>
        </is>
      </c>
      <c r="I26" t="inlineStr">
        <is>
          <t>IRA</t>
        </is>
      </c>
    </row>
    <row r="27">
      <c r="A27" t="inlineStr">
        <is>
          <t>Adj_Retirement</t>
        </is>
      </c>
      <c r="B27" t="inlineStr">
        <is>
          <t>Adjustment</t>
        </is>
      </c>
      <c r="C27" t="inlineStr">
        <is>
          <t>No</t>
        </is>
      </c>
      <c r="D27" t="inlineStr">
        <is>
          <t>N/A</t>
        </is>
      </c>
      <c r="E27" t="inlineStr">
        <is>
          <t>No</t>
        </is>
      </c>
      <c r="F27" t="inlineStr">
        <is>
          <t>10</t>
        </is>
      </c>
      <c r="G27" t="inlineStr">
        <is>
          <t>RETIREMENT</t>
        </is>
      </c>
      <c r="H27" t="inlineStr">
        <is>
          <t>plan type / limit?</t>
        </is>
      </c>
      <c r="I27" t="inlineStr">
        <is>
          <t>Retirement plan</t>
        </is>
      </c>
    </row>
    <row r="28">
      <c r="A28" t="inlineStr">
        <is>
          <t>Adj_SEHealth</t>
        </is>
      </c>
      <c r="B28" t="inlineStr">
        <is>
          <t>Adjustment</t>
        </is>
      </c>
      <c r="C28" t="inlineStr">
        <is>
          <t>No</t>
        </is>
      </c>
      <c r="D28" t="inlineStr">
        <is>
          <t>N/A</t>
        </is>
      </c>
      <c r="E28" t="inlineStr">
        <is>
          <t>No</t>
        </is>
      </c>
      <c r="F28" t="inlineStr">
        <is>
          <t>10</t>
        </is>
      </c>
      <c r="G28" t="inlineStr">
        <is>
          <t>SE_HEALTH</t>
        </is>
      </c>
      <c r="H28" t="inlineStr">
        <is>
          <t>SE earnings cap?</t>
        </is>
      </c>
      <c r="I28" t="inlineStr">
        <is>
          <t>SE health insurance</t>
        </is>
      </c>
    </row>
    <row r="29">
      <c r="A29" t="inlineStr">
        <is>
          <t>Adj_StudentLoan</t>
        </is>
      </c>
      <c r="B29" t="inlineStr">
        <is>
          <t>Adjustment</t>
        </is>
      </c>
      <c r="C29" t="inlineStr">
        <is>
          <t>No</t>
        </is>
      </c>
      <c r="D29" t="inlineStr">
        <is>
          <t>N/A</t>
        </is>
      </c>
      <c r="E29" t="inlineStr">
        <is>
          <t>No</t>
        </is>
      </c>
      <c r="F29" t="inlineStr">
        <is>
          <t>10</t>
        </is>
      </c>
      <c r="G29" t="inlineStr">
        <is>
          <t>STUDENT_LOAN</t>
        </is>
      </c>
      <c r="H29" t="inlineStr">
        <is>
          <t>MAGI phase-out?</t>
        </is>
      </c>
      <c r="I29" t="inlineStr">
        <is>
          <t>Student loan interest</t>
        </is>
      </c>
    </row>
    <row r="30">
      <c r="A30" t="inlineStr">
        <is>
          <t>Itm_Medical</t>
        </is>
      </c>
      <c r="B30" t="inlineStr">
        <is>
          <t>Itemized</t>
        </is>
      </c>
      <c r="C30" t="inlineStr">
        <is>
          <t>No</t>
        </is>
      </c>
      <c r="D30" t="inlineStr">
        <is>
          <t>N/A</t>
        </is>
      </c>
      <c r="E30" t="inlineStr">
        <is>
          <t>No</t>
        </is>
      </c>
      <c r="F30" t="inlineStr">
        <is>
          <t>12</t>
        </is>
      </c>
      <c r="G30" t="inlineStr">
        <is>
          <t>MEDICAL</t>
        </is>
      </c>
      <c r="H30" t="inlineStr">
        <is>
          <t>7.5% AGI floor</t>
        </is>
      </c>
      <c r="I30" t="inlineStr">
        <is>
          <t>Medical</t>
        </is>
      </c>
    </row>
    <row r="31">
      <c r="A31" t="inlineStr">
        <is>
          <t>Itm_SALT</t>
        </is>
      </c>
      <c r="B31" t="inlineStr">
        <is>
          <t>Itemized</t>
        </is>
      </c>
      <c r="C31" t="inlineStr">
        <is>
          <t>No</t>
        </is>
      </c>
      <c r="D31" t="inlineStr">
        <is>
          <t>N/A</t>
        </is>
      </c>
      <c r="E31" t="inlineStr">
        <is>
          <t>No</t>
        </is>
      </c>
      <c r="F31" t="inlineStr">
        <is>
          <t>12</t>
        </is>
      </c>
      <c r="G31" t="inlineStr">
        <is>
          <t>SALT</t>
        </is>
      </c>
      <c r="H31" t="inlineStr">
        <is>
          <t>$10K cap</t>
        </is>
      </c>
      <c r="I31" t="inlineStr">
        <is>
          <t>SALT</t>
        </is>
      </c>
    </row>
    <row r="32">
      <c r="A32" t="inlineStr">
        <is>
          <t>Itm_Mortgage</t>
        </is>
      </c>
      <c r="B32" t="inlineStr">
        <is>
          <t>Itemized</t>
        </is>
      </c>
      <c r="C32" t="inlineStr">
        <is>
          <t>No</t>
        </is>
      </c>
      <c r="D32" t="inlineStr">
        <is>
          <t>N/A</t>
        </is>
      </c>
      <c r="E32" t="inlineStr">
        <is>
          <t>No</t>
        </is>
      </c>
      <c r="F32" t="inlineStr">
        <is>
          <t>12</t>
        </is>
      </c>
      <c r="G32" t="inlineStr">
        <is>
          <t>MORTGAGE</t>
        </is>
      </c>
      <c r="H32" t="inlineStr">
        <is>
          <t>principal cap by date</t>
        </is>
      </c>
      <c r="I32" t="inlineStr">
        <is>
          <t>Mortgage int</t>
        </is>
      </c>
    </row>
    <row r="33">
      <c r="A33" t="inlineStr">
        <is>
          <t>Itm_Charity</t>
        </is>
      </c>
      <c r="B33" t="inlineStr">
        <is>
          <t>Itemized</t>
        </is>
      </c>
      <c r="C33" t="inlineStr">
        <is>
          <t>No</t>
        </is>
      </c>
      <c r="D33" t="inlineStr">
        <is>
          <t>N/A</t>
        </is>
      </c>
      <c r="E33" t="inlineStr">
        <is>
          <t>No</t>
        </is>
      </c>
      <c r="F33" t="inlineStr">
        <is>
          <t>12</t>
        </is>
      </c>
      <c r="G33" t="inlineStr">
        <is>
          <t>CHARITY</t>
        </is>
      </c>
      <c r="H33" t="inlineStr">
        <is>
          <t>60% AGI cap</t>
        </is>
      </c>
      <c r="I33" t="inlineStr">
        <is>
          <t>Charity</t>
        </is>
      </c>
    </row>
    <row r="34">
      <c r="A34" t="inlineStr">
        <is>
          <t>Cr_CTC</t>
        </is>
      </c>
      <c r="B34" t="inlineStr">
        <is>
          <t>Credit</t>
        </is>
      </c>
      <c r="C34" t="inlineStr">
        <is>
          <t>No</t>
        </is>
      </c>
      <c r="D34" t="inlineStr">
        <is>
          <t>N/A</t>
        </is>
      </c>
      <c r="E34" t="inlineStr">
        <is>
          <t>No</t>
        </is>
      </c>
      <c r="F34" t="inlineStr">
        <is>
          <t>19</t>
        </is>
      </c>
      <c r="G34" t="inlineStr">
        <is>
          <t>CTC</t>
        </is>
      </c>
      <c r="H34" t="inlineStr">
        <is>
          <t>children under 17?</t>
        </is>
      </c>
      <c r="I34" t="inlineStr">
        <is>
          <t>CTC</t>
        </is>
      </c>
    </row>
    <row r="35">
      <c r="A35" t="inlineStr">
        <is>
          <t>Cr_Education</t>
        </is>
      </c>
      <c r="B35" t="inlineStr">
        <is>
          <t>Credit</t>
        </is>
      </c>
      <c r="C35" t="inlineStr">
        <is>
          <t>No</t>
        </is>
      </c>
      <c r="D35" t="inlineStr">
        <is>
          <t>N/A</t>
        </is>
      </c>
      <c r="E35" t="inlineStr">
        <is>
          <t>No</t>
        </is>
      </c>
      <c r="F35" t="inlineStr">
        <is>
          <t>20</t>
        </is>
      </c>
      <c r="G35" t="inlineStr">
        <is>
          <t>EDUCATION</t>
        </is>
      </c>
      <c r="H35" t="inlineStr">
        <is>
          <t>AOTC vs LLC?</t>
        </is>
      </c>
      <c r="I35" t="inlineStr">
        <is>
          <t>Education credits</t>
        </is>
      </c>
    </row>
    <row r="36">
      <c r="A36" t="inlineStr">
        <is>
          <t>Cr_FTC</t>
        </is>
      </c>
      <c r="B36" t="inlineStr">
        <is>
          <t>Credit</t>
        </is>
      </c>
      <c r="C36" t="inlineStr">
        <is>
          <t>No</t>
        </is>
      </c>
      <c r="D36" t="inlineStr">
        <is>
          <t>N/A</t>
        </is>
      </c>
      <c r="E36" t="inlineStr">
        <is>
          <t>No</t>
        </is>
      </c>
      <c r="F36" t="inlineStr">
        <is>
          <t>20</t>
        </is>
      </c>
      <c r="G36" t="inlineStr">
        <is>
          <t>FTC</t>
        </is>
      </c>
      <c r="H36" t="inlineStr">
        <is>
          <t>Form 1116 required?</t>
        </is>
      </c>
      <c r="I36" t="inlineStr">
        <is>
          <t>FTC</t>
        </is>
      </c>
    </row>
    <row r="37">
      <c r="A37" t="inlineStr">
        <is>
          <t>Pmt_Withholding</t>
        </is>
      </c>
      <c r="B37" t="inlineStr">
        <is>
          <t>Payment</t>
        </is>
      </c>
      <c r="C37" t="inlineStr">
        <is>
          <t>No</t>
        </is>
      </c>
      <c r="D37" t="inlineStr">
        <is>
          <t>N/A</t>
        </is>
      </c>
      <c r="E37" t="inlineStr">
        <is>
          <t>No</t>
        </is>
      </c>
      <c r="F37" t="inlineStr">
        <is>
          <t>25</t>
        </is>
      </c>
      <c r="G37" t="inlineStr">
        <is>
          <t>NONE</t>
        </is>
      </c>
      <c r="H37" t="inlineStr">
        <is>
          <t>(n/a)</t>
        </is>
      </c>
      <c r="I37" t="inlineStr">
        <is>
          <t>Withholding</t>
        </is>
      </c>
    </row>
    <row r="38">
      <c r="A38" t="inlineStr">
        <is>
          <t>Pmt_EstTax</t>
        </is>
      </c>
      <c r="B38" t="inlineStr">
        <is>
          <t>Payment</t>
        </is>
      </c>
      <c r="C38" t="inlineStr">
        <is>
          <t>No</t>
        </is>
      </c>
      <c r="D38" t="inlineStr">
        <is>
          <t>N/A</t>
        </is>
      </c>
      <c r="E38" t="inlineStr">
        <is>
          <t>No</t>
        </is>
      </c>
      <c r="F38" t="inlineStr">
        <is>
          <t>26</t>
        </is>
      </c>
      <c r="G38" t="inlineStr">
        <is>
          <t>NONE</t>
        </is>
      </c>
      <c r="H38" t="inlineStr">
        <is>
          <t>safe harbor met?</t>
        </is>
      </c>
      <c r="I38" t="inlineStr">
        <is>
          <t>Estimated tax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DROPDOWN LISTS — top-level + per-bucket cascade named ranges</t>
        </is>
      </c>
    </row>
    <row r="3">
      <c r="A3" s="12" t="inlineStr">
        <is>
          <t>Bucket</t>
        </is>
      </c>
      <c r="B3" s="12" t="inlineStr">
        <is>
          <t>Yes_No</t>
        </is>
      </c>
      <c r="C3" s="12" t="inlineStr">
        <is>
          <t>NIIT_Class</t>
        </is>
      </c>
      <c r="D3" s="12" t="inlineStr">
        <is>
          <t>Provenance</t>
        </is>
      </c>
      <c r="E3" s="12" t="inlineStr">
        <is>
          <t>Status</t>
        </is>
      </c>
      <c r="F3" s="12" t="inlineStr">
        <is>
          <t>TaxLines</t>
        </is>
      </c>
      <c r="G3" s="12" t="inlineStr">
        <is>
          <t>Activity_Type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</row>
    <row r="12">
      <c r="D12" t="inlineStr">
        <is>
          <t>Extraction - Tied</t>
        </is>
      </c>
      <c r="F12" t="inlineStr">
        <is>
          <t>12</t>
        </is>
      </c>
    </row>
    <row r="13">
      <c r="D13" t="inlineStr">
        <is>
          <t>System Calculated</t>
        </is>
      </c>
      <c r="F13" t="inlineStr">
        <is>
          <t>13</t>
        </is>
      </c>
    </row>
    <row r="17">
      <c r="A17" s="7" t="inlineStr">
        <is>
          <t>▸ PER-BUCKET TREATMENT_PROFILE LISTS</t>
        </is>
      </c>
    </row>
    <row r="18">
      <c r="A18" s="12" t="inlineStr">
        <is>
          <t>BusinessIncome_Profiles</t>
        </is>
      </c>
      <c r="B18" s="12" t="inlineStr">
        <is>
          <t>Wages_Profiles</t>
        </is>
      </c>
      <c r="C18" s="12" t="inlineStr">
        <is>
          <t>InvestmentIncome_Profiles</t>
        </is>
      </c>
      <c r="D18" s="12" t="inlineStr">
        <is>
          <t>CapitalGains_Profiles</t>
        </is>
      </c>
      <c r="E18" s="12" t="inlineStr">
        <is>
          <t>Adjustment_Profiles</t>
        </is>
      </c>
      <c r="F18" s="12" t="inlineStr">
        <is>
          <t>Itemized_Profiles</t>
        </is>
      </c>
      <c r="G18" s="12" t="inlineStr">
        <is>
          <t>Credit_Profiles</t>
        </is>
      </c>
      <c r="H18" s="12" t="inlineStr">
        <is>
          <t>Payment_Profiles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</row>
    <row r="24">
      <c r="A24" t="inlineStr">
        <is>
          <t>K1_PTP_Passive</t>
        </is>
      </c>
    </row>
    <row r="25">
      <c r="A25" t="inlineStr">
        <is>
          <t>K1_SCorp_Active</t>
        </is>
      </c>
    </row>
    <row r="26">
      <c r="A26" t="inlineStr">
        <is>
          <t>K1_SCorp_Passive</t>
        </is>
      </c>
    </row>
    <row r="27">
      <c r="A27" t="inlineStr">
        <is>
          <t>Trust_K1</t>
        </is>
      </c>
    </row>
    <row r="33">
      <c r="A33" s="7" t="inlineStr">
        <is>
          <t>▸ PER-BUCKET SOURCE_DOCUMENT LISTS</t>
        </is>
      </c>
    </row>
    <row r="34">
      <c r="A34" s="12" t="inlineStr">
        <is>
          <t>BusinessIncome_Docs</t>
        </is>
      </c>
      <c r="B34" s="12" t="inlineStr">
        <is>
          <t>Wages_Docs</t>
        </is>
      </c>
      <c r="C34" s="12" t="inlineStr">
        <is>
          <t>InvestmentIncome_Docs</t>
        </is>
      </c>
      <c r="D34" s="12" t="inlineStr">
        <is>
          <t>CapitalGains_Docs</t>
        </is>
      </c>
      <c r="E34" s="12" t="inlineStr">
        <is>
          <t>Adjustment_Docs</t>
        </is>
      </c>
      <c r="F34" s="12" t="inlineStr">
        <is>
          <t>Itemized_Docs</t>
        </is>
      </c>
      <c r="G34" s="12" t="inlineStr">
        <is>
          <t>Credit_Docs</t>
        </is>
      </c>
      <c r="H34" s="12" t="inlineStr">
        <is>
          <t>Payment_Docs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</row>
    <row r="39">
      <c r="A39" t="inlineStr">
        <is>
          <t>Sch E Workpaper</t>
        </is>
      </c>
      <c r="E39" t="inlineStr">
        <is>
          <t>SE Health Premium</t>
        </is>
      </c>
    </row>
    <row r="40">
      <c r="A40" t="inlineStr">
        <is>
          <t>Sch F Workpaper</t>
        </is>
      </c>
    </row>
    <row r="41">
      <c r="A41" t="inlineStr">
        <is>
          <t>PY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2026-05-18T23:48:06Z</dcterms:modified>
</cp:coreProperties>
</file>
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8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1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PY_Recon" sheetId="5" state="visible" r:id="rId5"/>
    <sheet name="Pivot_GPD" sheetId="6" state="visible" r:id="rId6"/>
    <sheet name="Y2023" sheetId="7" state="visible" r:id="rId7"/>
    <sheet name="Y2024" sheetId="8" state="visible" r:id="rId8"/>
    <sheet name="Y2025" sheetId="9" state="visible" r:id="rId9"/>
    <sheet name="Y2026" sheetId="10" state="visible" r:id="rId10"/>
    <sheet name="Y2027" sheetId="11" state="visible" r:id="rId11"/>
    <sheet name="Y2028" sheetId="12" state="visible" r:id="rId12"/>
    <sheet name="Pivot_Summary" sheetId="13" state="visible" r:id="rId13"/>
    <sheet name="Pivot_Medium" sheetId="14" state="visible" r:id="rId14"/>
    <sheet name="Pivot_Detailed" sheetId="15" state="visible" r:id="rId15"/>
    <sheet name="Pivot_Helpers" sheetId="16" state="visible" r:id="rId16"/>
    <sheet name="Visual_Pivot_Income" sheetId="17" state="visible" r:id="rId17"/>
    <sheet name="Visual_Pivot_BusinessIncome" sheetId="18" state="visible" r:id="rId18"/>
    <sheet name="Visual_Pivot_ByPayor" sheetId="19" state="visible" r:id="rId19"/>
    <sheet name="Visual_Pivot_HelperCarveOuts" sheetId="20" state="visible" r:id="rId20"/>
    <sheet name="Tax_Ref" sheetId="21" state="visible" r:id="rId21"/>
    <sheet name="Dropdown_Lists" sheetId="22" state="visible" r:id="rId22"/>
    <sheet name="Framework_Ref" sheetId="23" state="visible" r:id="rId23"/>
    <sheet name="Glossary" sheetId="24" state="visible" r:id="rId24"/>
    <sheet name="Carryovers" sheetId="25" state="visible" r:id="rId25"/>
    <sheet name="Questionnaire" sheetId="26" state="visible" r:id="rId26"/>
    <sheet name="Connections" sheetId="27" state="visible" r:id="rId27"/>
    <sheet name="Projection_History" sheetId="28" state="visible" r:id="rId28"/>
    <sheet name="Change_Log" sheetId="29" state="visible" r:id="rId29"/>
    <sheet name="Setup_Guide" sheetId="30" state="visible" r:id="rId30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</definedNames>
  <calcPr calcId="191029" fullCalcOnLoad="1" iterate="1"/>
  <pivotCaches>
    <pivotCache cacheId="23" r:id="rId31"/>
  </pivotCache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\-mm\-dd"/>
    <numFmt numFmtId="167" formatCode="0.0%"/>
  </numFmts>
  <fonts count="45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</fonts>
  <fills count="18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</borders>
  <cellStyleXfs count="2">
    <xf numFmtId="0" fontId="0" fillId="0" borderId="0"/>
    <xf numFmtId="0" fontId="9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0" fontId="0" fillId="0" borderId="0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5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24" fillId="0" borderId="0" pivotButton="0" quotePrefix="0" xfId="0"/>
  </cellXfs>
  <cellStyles count="2">
    <cellStyle name="Normal" xfId="0" builtinId="0"/>
    <cellStyle name="Hyperlink" xfId="1" builtinId="8"/>
  </cellStyles>
  <dxfs count="56"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pivotCacheDefinition" Target="/xl/pivotCache/pivotCacheDefinition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200" b="1">
                <a:solidFill>
                  <a:srgbClr val="1F4E79"/>
                </a:solidFill>
              </a:defRPr>
            </a:pPr>
            <a:r>
              <a:rPr lang="en-US"/>
              <a:t>Income by 1040 Line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Tax_Plan_Dashboard!$I$6:$I$7</f>
              <strCache>
                <ptCount val="2"/>
                <pt idx="0">
                  <v>Amount</v>
                </pt>
                <pt idx="1">
                  <v>Amount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Tax_Plan_Dashboard!$I$8:$I$12</f>
              <numCache>
                <formatCode>#,##0</formatCode>
                <ptCount val="5"/>
                <pt idx="0">
                  <v>100000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120000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354047488"/>
        <axId val="1354052288"/>
      </barChart>
      <catAx>
        <axId val="1354047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crossAx val="1354052288"/>
        <crosses val="autoZero"/>
        <auto val="1"/>
        <lblAlgn val="ctr"/>
        <lblOffset val="100"/>
        <noMultiLvlLbl val="0"/>
      </catAx>
      <valAx>
        <axId val="1354052288"/>
        <scaling>
          <orientation val="minMax"/>
        </scaling>
        <delete val="0"/>
        <axPos val="b"/>
        <majorGridlines/>
        <numFmt formatCode="#,##0" sourceLinked="0"/>
        <majorTickMark val="none"/>
        <minorTickMark val="none"/>
        <tickLblPos val="nextTo"/>
        <crossAx val="1354047488"/>
        <crosses val="autoZero"/>
        <crossBetween val="between"/>
      </valAx>
    </plotArea>
    <plotVisOnly val="1"/>
    <dispBlanksAs val="gap"/>
  </chart>
  <spPr>
    <a:ln w="25400"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200" b="1">
                <a:solidFill>
                  <a:srgbClr val="1F4E79"/>
                </a:solidFill>
              </a:defRPr>
            </a:pPr>
            <a:r>
              <a:rPr lang="en-US"/>
              <a:t>Business Income by Treatment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Tax_Plan_Dashboard!$I$15:$I$16</f>
              <strCache>
                <ptCount val="2"/>
                <pt idx="0">
                  <v>Amount</v>
                </pt>
                <pt idx="1">
                  <v>Amount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Tax_Plan_Dashboard!$H$17:$H$18</f>
              <strCache>
                <ptCount val="2"/>
                <pt idx="0">
                  <v>K1_SCorp_Active</v>
                </pt>
                <pt idx="1">
                  <v>K1_PTP_Passive</v>
                </pt>
              </strCache>
            </strRef>
          </cat>
          <val>
            <numRef>
              <f>Tax_Plan_Dashboard!$I$17:$I$18</f>
              <numCache>
                <formatCode>#,##0</formatCode>
                <ptCount val="2"/>
                <pt idx="0">
                  <v>200000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354036448"/>
        <axId val="1354060928"/>
      </barChart>
      <catAx>
        <axId val="135403644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crossAx val="1354060928"/>
        <crosses val="autoZero"/>
        <auto val="1"/>
        <lblAlgn val="ctr"/>
        <lblOffset val="100"/>
        <noMultiLvlLbl val="0"/>
      </catAx>
      <valAx>
        <axId val="1354060928"/>
        <scaling>
          <orientation val="minMax"/>
        </scaling>
        <delete val="0"/>
        <axPos val="b"/>
        <majorGridlines/>
        <numFmt formatCode="#,##0" sourceLinked="0"/>
        <majorTickMark val="none"/>
        <minorTickMark val="none"/>
        <tickLblPos val="nextTo"/>
        <crossAx val="1354036448"/>
        <crosses val="autoZero"/>
        <crossBetween val="between"/>
      </valAx>
    </plotArea>
    <plotVisOnly val="1"/>
    <dispBlanksAs val="gap"/>
  </chart>
  <spPr>
    <a:ln w="2540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257174</colOff>
      <row>19</row>
      <rowOff>161925</rowOff>
    </from>
    <to>
      <col>3</col>
      <colOff>377824</colOff>
      <row>35</row>
      <rowOff>15875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257174</colOff>
      <row>35</row>
      <rowOff>25400</rowOff>
    </from>
    <to>
      <col>3</col>
      <colOff>377824</colOff>
      <row>48</row>
      <rowOff>66675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0.83311967592" createdVersion="8" refreshedVersion="8" minRefreshableVersion="3" recordCount="11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2">
        <s v="CEDILLO"/>
        <s v="SAMPLE"/>
      </sharedItems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5">
        <s v="Wages"/>
        <s v="Business Income"/>
        <s v="Investment Income"/>
        <s v="Capital Gains"/>
        <s v="Itemized"/>
      </sharedItems>
    </cacheField>
    <cacheField name="Treatment_Profile" uniqueList="1" numFmtId="0" sqlType="0" hierarchy="0" level="0" databaseField="1">
      <sharedItems count="9">
        <s v="W2_SCorpOwner"/>
        <s v="K1_PTP_Passive"/>
        <s v="Div_Ordinary"/>
        <s v="LTCG_Stock"/>
        <s v="K1_SCorp_Active"/>
        <s v="Div_Qualified"/>
        <s v="Int_Taxable"/>
        <s v="Itm_SALT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6" containsBlank="1">
        <s v="Acme S-Corp"/>
        <s v="Cedillo Partnership"/>
        <s v="Brokerage"/>
        <s v="SampleCo S-Corp"/>
        <s v="SampleCo S-Corp K-1"/>
        <m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SE_Subject" uniqueList="1" numFmtId="0" sqlType="0" hierarchy="0" level="0" databaseField="1">
      <sharedItems count="1">
        <s v="No"/>
      </sharedItems>
    </cacheField>
    <cacheField name="NIIT_Class" uniqueList="1" numFmtId="0" sqlType="0" hierarchy="0" level="0" databaseField="1">
      <sharedItems count="4">
        <s v="Active"/>
        <s v="Passive"/>
        <s v="Portfolio"/>
        <s v="N/A"/>
      </sharedItems>
    </cacheField>
    <cacheField name="QBI_Eligible" uniqueList="1" numFmtId="0" sqlType="0" hierarchy="0" level="0" databaseField="1">
      <sharedItems count="2">
        <s v="No"/>
        <s v="Yes"/>
      </sharedItems>
    </cacheField>
    <cacheField name="Primary_Line" uniqueList="1" numFmtId="0" sqlType="0" hierarchy="0" level="0" databaseField="1">
      <sharedItems count="6">
        <s v="1z"/>
        <s v="8"/>
        <s v="3b"/>
        <s v="7"/>
        <s v="2b"/>
        <s v="12"/>
      </sharedItems>
    </cacheField>
    <cacheField name="Helper_Treatment" uniqueList="1" numFmtId="0" sqlType="0" hierarchy="0" level="0" databaseField="1">
      <sharedItems count="7">
        <s v="OWNER_PAY"/>
        <s v="K1_SPLIT"/>
        <s v="QUAL_DIV"/>
        <s v="LTCG_SPLIT"/>
        <s v="TAX_EXEMPT"/>
        <s v="SALT"/>
        <s v="PASSIVE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1">
  <r>
    <s v="CED|2024|Wages|01"/>
    <x v="0"/>
    <x v="0"/>
    <s v="Ron Cedillo"/>
    <x v="0"/>
    <x v="0"/>
    <s v="W-2"/>
    <x v="0"/>
    <s v="PBC - Reviewed"/>
    <x v="0"/>
    <n v="153648"/>
    <n v="0"/>
    <x v="0"/>
    <x v="0"/>
    <x v="0"/>
    <x v="0"/>
    <x v="0"/>
    <s v="Owner reasonable comp"/>
    <m/>
  </r>
  <r>
    <s v="CED|2024|BI|01"/>
    <x v="0"/>
    <x v="0"/>
    <s v="Ron Cedillo"/>
    <x v="1"/>
    <x v="1"/>
    <s v="K-1"/>
    <x v="0"/>
    <s v="PBC - Reviewed"/>
    <x v="1"/>
    <n v="-100766"/>
    <n v="0"/>
    <x v="0"/>
    <x v="1"/>
    <x v="1"/>
    <x v="1"/>
    <x v="1"/>
    <s v="Passive loss"/>
    <m/>
  </r>
  <r>
    <s v="CED|2024|II|01"/>
    <x v="0"/>
    <x v="0"/>
    <s v="Ron Cedillo"/>
    <x v="2"/>
    <x v="2"/>
    <s v="1099-DIV"/>
    <x v="0"/>
    <s v="PBC - Reviewed"/>
    <x v="2"/>
    <n v="25922"/>
    <n v="0"/>
    <x v="0"/>
    <x v="2"/>
    <x v="0"/>
    <x v="2"/>
    <x v="2"/>
    <s v="All non-qualified"/>
    <m/>
  </r>
  <r>
    <s v="CED|2024|CG|01"/>
    <x v="0"/>
    <x v="0"/>
    <s v="Ron Cedillo"/>
    <x v="3"/>
    <x v="3"/>
    <s v="1099-B"/>
    <x v="0"/>
    <s v="PBC - Reviewed"/>
    <x v="2"/>
    <n v="14487"/>
    <n v="0"/>
    <x v="0"/>
    <x v="2"/>
    <x v="0"/>
    <x v="3"/>
    <x v="3"/>
    <s v="All long-term"/>
    <m/>
  </r>
  <r>
    <s v="SAM|2025|Wages|01"/>
    <x v="1"/>
    <x v="1"/>
    <s v="Sample Client"/>
    <x v="0"/>
    <x v="0"/>
    <s v="W-2"/>
    <x v="0"/>
    <s v="Estimate - Preparer"/>
    <x v="3"/>
    <n v="100000"/>
    <n v="100000"/>
    <x v="0"/>
    <x v="0"/>
    <x v="0"/>
    <x v="0"/>
    <x v="0"/>
    <s v="Owner reasonable comp"/>
    <m/>
  </r>
  <r>
    <s v="SAM|2025|BI|01"/>
    <x v="1"/>
    <x v="1"/>
    <s v="Sample Client"/>
    <x v="1"/>
    <x v="4"/>
    <s v="K-1"/>
    <x v="0"/>
    <s v="PY Rolled Forward"/>
    <x v="4"/>
    <n v="200000"/>
    <n v="0"/>
    <x v="0"/>
    <x v="0"/>
    <x v="1"/>
    <x v="1"/>
    <x v="1"/>
    <s v="Active S-corp K-1"/>
    <m/>
  </r>
  <r>
    <s v="SAM|2025|II_Div|01"/>
    <x v="1"/>
    <x v="1"/>
    <s v="Sample Client"/>
    <x v="2"/>
    <x v="5"/>
    <s v="1099-DIV"/>
    <x v="0"/>
    <s v="PBC - Received"/>
    <x v="2"/>
    <n v="10000"/>
    <n v="7000"/>
    <x v="0"/>
    <x v="2"/>
    <x v="0"/>
    <x v="2"/>
    <x v="2"/>
    <s v="$7K qualified"/>
    <m/>
  </r>
  <r>
    <s v="SAM|2025|II_Int|01"/>
    <x v="1"/>
    <x v="1"/>
    <s v="Sample Client"/>
    <x v="2"/>
    <x v="6"/>
    <s v="1099-INT"/>
    <x v="0"/>
    <s v="PBC - Received"/>
    <x v="2"/>
    <n v="500"/>
    <n v="0"/>
    <x v="0"/>
    <x v="2"/>
    <x v="0"/>
    <x v="4"/>
    <x v="4"/>
    <s v="All taxable"/>
    <m/>
  </r>
  <r>
    <s v="SAM|2025|CG|01"/>
    <x v="1"/>
    <x v="1"/>
    <s v="Sample Client"/>
    <x v="3"/>
    <x v="3"/>
    <s v="1099-B"/>
    <x v="0"/>
    <s v="PBC - Requested"/>
    <x v="2"/>
    <n v="25000"/>
    <n v="0"/>
    <x v="0"/>
    <x v="2"/>
    <x v="0"/>
    <x v="3"/>
    <x v="3"/>
    <s v="All long-term"/>
    <m/>
  </r>
  <r>
    <s v="SAM|2025|Itm|01"/>
    <x v="1"/>
    <x v="1"/>
    <s v="Sample Client"/>
    <x v="4"/>
    <x v="7"/>
    <s v="Property Tax Receipt"/>
    <x v="0"/>
    <s v="PBC - Received"/>
    <x v="5"/>
    <n v="10000"/>
    <n v="0"/>
    <x v="0"/>
    <x v="3"/>
    <x v="0"/>
    <x v="5"/>
    <x v="5"/>
    <s v="SALT cap"/>
    <m/>
  </r>
  <r>
    <s v="SAM|2025|Strategy|CostSeg|01"/>
    <x v="1"/>
    <x v="1"/>
    <s v="Sample Client"/>
    <x v="1"/>
    <x v="8"/>
    <m/>
    <x v="1"/>
    <s v="Estimate - Preparer"/>
    <x v="5"/>
    <n v="-80000"/>
    <n v="0"/>
    <x v="0"/>
    <x v="1"/>
    <x v="0"/>
    <x v="1"/>
    <x v="6"/>
    <s v="Cost Seg accelerated depreciation"/>
    <s v="STD-012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3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7">
        <item t="data" sd="1" x="5"/>
        <item t="data" sd="1" x="0"/>
        <item t="data" sd="1" x="4"/>
        <item t="data" sd="1" x="2"/>
        <item t="data" sd="1" x="3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5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0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6">
        <item t="data" sd="1" x="1"/>
        <item t="data" h="1" sd="1" x="3"/>
        <item t="data" h="1" sd="1" x="2"/>
        <item t="data" h="1" sd="1" x="4"/>
        <item t="data" h="1" sd="1" x="0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8"/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3"/>
        <item t="data" sd="1" x="1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5"/>
  </rowFields>
  <rowItems count="4">
    <i t="data" r="0" i="0">
      <x v="4"/>
    </i>
    <i t="data" r="0" i="0">
      <x v="5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4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29" firstHeaderRow="1" firstDataRow="2" firstDataCol="2"/>
  <pivotFields count="19">
    <pivotField showDropDowns="1" compact="0" outline="1" subtotalTop="0" dragToRow="1" dragToCol="1" dragToPage="1" dragToData="1" dragOff="1" showAll="0" topAutoShow="1" itemPageCount="10" sortType="manual" defaultSubtotal="1"/>
    <pivotField axis="axisCol" showDropDowns="1" compact="0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>
      <items count="6">
        <item t="data" sd="1" x="1"/>
        <item t="data" sd="1" x="3"/>
        <item t="data" sd="1" x="2"/>
        <item t="data" sd="1" x="4"/>
        <item t="data" sd="1" x="0"/>
        <item t="default" sd="1"/>
      </items>
    </pivotField>
    <pivotField axis="axisRow" showDropDowns="1" compact="0" outline="1" subtotalTop="0" dragToRow="1" dragToCol="1" dragToPage="1" dragToData="1" dragOff="1" showAll="0" topAutoShow="1" itemPageCount="10" sortType="manual" defaultSubtotal="1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8"/>
        <item t="data" sd="1" x="0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/>
    <pivotField axis="axisRow" showDropDowns="1" compact="0" outline="1" subtotalTop="0" dragToRow="1" dragToCol="1" dragToPage="1" dragToData="1" dragOff="1" showAll="0" topAutoShow="1" itemPageCount="10" sortType="manual" defaultSubtotal="1">
      <items count="7">
        <item t="data" sd="1" x="0"/>
        <item t="data" sd="1" x="2"/>
        <item t="data" sd="1" x="1"/>
        <item t="data" sd="1" x="3"/>
        <item t="data" sd="1" x="4"/>
        <item t="data" sd="1" x="5"/>
        <item t="default" sd="1"/>
      </items>
    </pivotField>
    <pivotField dataField="1"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</pivotFields>
  <rowFields count="2">
    <field x="9"/>
    <field x="5"/>
  </rowFields>
  <rowItems count="23">
    <i t="data" r="0" i="0">
      <x v="0"/>
    </i>
    <i t="data" r="1" i="0">
      <x v="8"/>
    </i>
    <i t="default" r="0" i="0">
      <x v="0"/>
    </i>
    <i t="data" r="0" i="0">
      <x v="1"/>
    </i>
    <i t="data" r="1" i="0">
      <x v="0"/>
    </i>
    <i t="data" r="1" i="0">
      <x v="1"/>
    </i>
    <i t="data" r="1" i="0">
      <x v="2"/>
    </i>
    <i t="data" r="1" i="0">
      <x v="6"/>
    </i>
    <i t="default" r="0" i="0">
      <x v="1"/>
    </i>
    <i t="data" r="0" i="0">
      <x v="2"/>
    </i>
    <i t="data" r="1" i="0">
      <x v="4"/>
    </i>
    <i t="default" r="0" i="0">
      <x v="2"/>
    </i>
    <i t="data" r="0" i="0">
      <x v="3"/>
    </i>
    <i t="data" r="1" i="0">
      <x v="8"/>
    </i>
    <i t="default" r="0" i="0">
      <x v="3"/>
    </i>
    <i t="data" r="0" i="0">
      <x v="4"/>
    </i>
    <i t="data" r="1" i="0">
      <x v="5"/>
    </i>
    <i t="default" r="0" i="0">
      <x v="4"/>
    </i>
    <i t="data" r="0" i="0">
      <x v="5"/>
    </i>
    <i t="data" r="1" i="0">
      <x v="3"/>
    </i>
    <i t="data" r="1" i="0">
      <x v="7"/>
    </i>
    <i t="default" r="0" i="0"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6">
        <item t="data" sd="1" x="1"/>
        <item t="data" sd="1" x="3"/>
        <item t="data" sd="1" x="2"/>
        <item t="data" sd="1" x="4"/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8">
        <item t="data" sd="1" x="1"/>
        <item t="data" sd="1" x="3"/>
        <item t="data" sd="1" x="0"/>
        <item t="data" sd="1" x="6"/>
        <item t="data" sd="1" x="2"/>
        <item t="data" sd="1" x="5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6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5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4"/>
    <tableColumn id="11" name="Helper_Amount" dataDxfId="53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G20" headerRowCount="1" totalsRowShown="0" dataDxfId="34">
  <autoFilter ref="A5:G20"/>
  <tableColumns count="7">
    <tableColumn id="1" name="StrategyID" dataDxfId="40"/>
    <tableColumn id="2" name="Strategy Name" dataDxfId="39"/>
    <tableColumn id="3" name="TargetLine" dataDxfId="38"/>
    <tableColumn id="4" name="Amount" dataDxfId="37"/>
    <tableColumn id="5" name="Status" dataDxfId="36"/>
    <tableColumn id="6" name="Notes" dataDxfId="35"/>
    <tableColumn id="7" name="CounterLin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G20" headerRowCount="1" totalsRowShown="0" dataDxfId="27">
  <autoFilter ref="A5:G20"/>
  <tableColumns count="7">
    <tableColumn id="1" name="StrategyID" dataDxfId="33"/>
    <tableColumn id="2" name="Strategy Name" dataDxfId="32"/>
    <tableColumn id="3" name="TargetLine" dataDxfId="31"/>
    <tableColumn id="4" name="Amount" dataDxfId="30"/>
    <tableColumn id="5" name="Status" dataDxfId="29"/>
    <tableColumn id="6" name="Notes" dataDxfId="28"/>
    <tableColumn id="7" name="CounterLin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G20" headerRowCount="1" totalsRowShown="0" dataDxfId="41">
  <autoFilter ref="A5:G20"/>
  <tableColumns count="7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G20" headerRowCount="1" totalsRowShown="0" dataDxfId="20">
  <autoFilter ref="A5:G20"/>
  <tableColumns count="7">
    <tableColumn id="1" name="StrategyID" dataDxfId="26"/>
    <tableColumn id="2" name="Strategy Name" dataDxfId="25"/>
    <tableColumn id="3" name="TargetLine" dataDxfId="24"/>
    <tableColumn id="4" name="Amount" dataDxfId="23"/>
    <tableColumn id="5" name="Status" dataDxfId="22"/>
    <tableColumn id="6" name="Notes" dataDxfId="21"/>
    <tableColumn id="7" name="CounterLin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G20" headerRowCount="1" totalsRowShown="0" dataDxfId="13">
  <autoFilter ref="A5:G20"/>
  <tableColumns count="7">
    <tableColumn id="1" name="StrategyID" dataDxfId="19"/>
    <tableColumn id="2" name="Strategy Name" dataDxfId="18"/>
    <tableColumn id="3" name="TargetLine" dataDxfId="17"/>
    <tableColumn id="4" name="Amount" dataDxfId="16"/>
    <tableColumn id="5" name="Status" dataDxfId="15"/>
    <tableColumn id="6" name="Notes" dataDxfId="14"/>
    <tableColumn id="7" name="CounterLine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G20" headerRowCount="1" totalsRowShown="0" dataDxfId="6">
  <autoFilter ref="A5:G20"/>
  <tableColumns count="7">
    <tableColumn id="1" name="StrategyID" dataDxfId="12"/>
    <tableColumn id="2" name="Strategy Name" dataDxfId="11"/>
    <tableColumn id="3" name="TargetLine" dataDxfId="10"/>
    <tableColumn id="4" name="Amount" dataDxfId="9"/>
    <tableColumn id="5" name="Status" dataDxfId="8"/>
    <tableColumn id="6" name="Notes" dataDxfId="7"/>
    <tableColumn id="7" name="CounterLine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50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52"/>
    <tableColumn id="2" name="FilingStatus"/>
    <tableColumn id="3" name="Amount" dataDxfId="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49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48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80"/>
  <sheetViews>
    <sheetView workbookViewId="0">
      <selection activeCell="C27" sqref="C27"/>
    </sheetView>
  </sheetViews>
  <sheetFormatPr baseColWidth="8" defaultRowHeight="14.5"/>
  <cols>
    <col width="36.36328125" customWidth="1" style="19" min="2" max="2"/>
    <col width="32.7265625" customWidth="1" style="19" min="3" max="3"/>
    <col width="45.453125" customWidth="1" style="19" min="4" max="4"/>
  </cols>
  <sheetData>
    <row r="2" ht="18.5" customHeight="1" s="19">
      <c r="B2" s="15" t="inlineStr">
        <is>
          <t>TAX WORKBOOK — CONTROL PANEL</t>
        </is>
      </c>
    </row>
    <row r="3">
      <c r="B3" s="88" t="inlineStr">
        <is>
          <t>Settings, navigation, and input reference — start here.</t>
        </is>
      </c>
    </row>
    <row r="5">
      <c r="B5" s="82" t="inlineStr">
        <is>
          <t>▸ SETTINGS</t>
        </is>
      </c>
    </row>
    <row r="6">
      <c r="C6" s="60" t="n"/>
    </row>
    <row r="7">
      <c r="B7" s="61" t="inlineStr">
        <is>
          <t>PLAN STATUS</t>
        </is>
      </c>
      <c r="C7" s="61" t="n"/>
      <c r="D7" s="62" t="n"/>
    </row>
    <row r="8">
      <c r="B8" s="83" t="inlineStr">
        <is>
          <t>Plan Year</t>
        </is>
      </c>
      <c r="C8" s="87" t="n">
        <v>2025</v>
      </c>
    </row>
    <row r="9">
      <c r="B9" s="84" t="inlineStr">
        <is>
          <t>Plan Maturity</t>
        </is>
      </c>
      <c r="C9" s="87" t="inlineStr">
        <is>
          <t>Standard Assumptions</t>
        </is>
      </c>
    </row>
    <row r="10">
      <c r="B10" s="84" t="inlineStr">
        <is>
          <t>Engagement Leader</t>
        </is>
      </c>
      <c r="C10" s="66" t="inlineStr">
        <is>
          <t>TBD</t>
        </is>
      </c>
    </row>
    <row r="11">
      <c r="B11" s="84" t="inlineStr">
        <is>
          <t>Active Client</t>
        </is>
      </c>
      <c r="C11" s="66" t="inlineStr">
        <is>
          <t>SAMPLE</t>
        </is>
      </c>
    </row>
    <row r="12">
      <c r="B12" s="84" t="inlineStr">
        <is>
          <t>Last Refresh</t>
        </is>
      </c>
      <c r="C12" s="89" t="n">
        <v>46161</v>
      </c>
    </row>
    <row r="13" ht="15.5" customHeight="1" s="19">
      <c r="B13" s="99" t="n"/>
      <c r="C13" s="65" t="n"/>
    </row>
    <row r="14">
      <c r="B14" s="61" t="inlineStr">
        <is>
          <t>TAX PROFILE</t>
        </is>
      </c>
      <c r="C14" s="61" t="n"/>
      <c r="D14" s="62" t="n"/>
    </row>
    <row r="15">
      <c r="B15" s="85" t="inlineStr">
        <is>
          <t>Filing Status</t>
        </is>
      </c>
      <c r="C15" s="66" t="inlineStr">
        <is>
          <t>MFJ</t>
        </is>
      </c>
    </row>
    <row r="16">
      <c r="B16" s="86" t="inlineStr">
        <is>
          <t>State of Residence</t>
        </is>
      </c>
      <c r="C16" s="66" t="inlineStr">
        <is>
          <t>UT</t>
        </is>
      </c>
    </row>
    <row r="17">
      <c r="B17" s="86" t="inlineStr">
        <is>
          <t>Taxpayer Age</t>
        </is>
      </c>
      <c r="C17" s="66" t="n">
        <v>42</v>
      </c>
    </row>
    <row r="18">
      <c r="B18" s="86" t="inlineStr">
        <is>
          <t>Spouse Age</t>
        </is>
      </c>
      <c r="C18" s="66" t="n">
        <v>40</v>
      </c>
    </row>
    <row r="19">
      <c r="B19" s="86" t="inlineStr">
        <is>
          <t>Dependent Children</t>
        </is>
      </c>
      <c r="C19" s="66" t="n">
        <v>2</v>
      </c>
    </row>
    <row r="20">
      <c r="B20" s="86" t="inlineStr">
        <is>
          <t>REPS Qualified</t>
        </is>
      </c>
      <c r="C20" s="66" t="inlineStr">
        <is>
          <t>No</t>
        </is>
      </c>
    </row>
    <row r="21">
      <c r="B21" s="86" t="inlineStr">
        <is>
          <t>Business is SSTB?</t>
        </is>
      </c>
      <c r="C21" s="66" t="inlineStr">
        <is>
          <t>No</t>
        </is>
      </c>
    </row>
    <row r="23">
      <c r="B23" s="67" t="inlineStr">
        <is>
          <t>▸ ACTIVE YEAR SNAPSHOT</t>
        </is>
      </c>
    </row>
    <row r="24">
      <c r="B24" s="86" t="inlineStr">
        <is>
          <t>AGI</t>
        </is>
      </c>
      <c r="C24" s="27">
        <f t="array" ref="C24">TEXT(AGI,"$#,##0")</f>
        <v/>
      </c>
    </row>
    <row r="25">
      <c r="B25" s="86" t="inlineStr">
        <is>
          <t>Taxable Income</t>
        </is>
      </c>
      <c r="C25" s="27">
        <f t="array" ref="C25">TEXT(TaxableIncome,"$#,##0")</f>
        <v/>
      </c>
    </row>
    <row r="26">
      <c r="B26" s="86" t="inlineStr">
        <is>
          <t>Effective Rate</t>
        </is>
      </c>
      <c r="C26" s="27">
        <f t="array" ref="C26">TEXT(IFERROR(INDIRECT("Y"&amp;Active_Year&amp;"!I130"),0),"0.0%")</f>
        <v/>
      </c>
    </row>
    <row r="27">
      <c r="B27" s="86" t="inlineStr">
        <is>
          <t>Total Tax</t>
        </is>
      </c>
      <c r="C27" s="27">
        <f t="array" ref="C27">TEXT(IFERROR(INDIRECT("Y"&amp;Active_Year&amp;"!I129"),0),"$#,##0")</f>
        <v/>
      </c>
    </row>
    <row r="28">
      <c r="B28" s="86" t="inlineStr">
        <is>
          <t>QBI Deduction</t>
        </is>
      </c>
      <c r="C28" s="27">
        <f t="array" ref="C28">TEXT(QBI_Deduction,"($#,##0)")</f>
        <v/>
      </c>
    </row>
    <row r="30" ht="15.5" customHeight="1" s="19">
      <c r="B30" s="68" t="inlineStr">
        <is>
          <t>▸ NAVIGATION</t>
        </is>
      </c>
    </row>
    <row r="32">
      <c r="B32" s="75" t="inlineStr">
        <is>
          <t>INPUT / CONFIG</t>
        </is>
      </c>
      <c r="C32" s="75" t="n"/>
    </row>
    <row r="33">
      <c r="B33" s="76">
        <f>HYPERLINK("#Master_Inputs!A1", "Master_Inputs")</f>
        <v/>
      </c>
      <c r="C33" s="63" t="inlineStr">
        <is>
          <t>Baseline income/deductions + committed strategies</t>
        </is>
      </c>
    </row>
    <row r="34">
      <c r="B34" s="76">
        <f>HYPERLINK("#AsFiled!A1", "AsFiled")</f>
        <v/>
      </c>
      <c r="C34" s="63" t="inlineStr">
        <is>
          <t>Filed return data by year for PY reconciliation</t>
        </is>
      </c>
    </row>
    <row r="35">
      <c r="B35" s="76">
        <f>HYPERLINK("#Carryovers!A1", "Carryovers")</f>
        <v/>
      </c>
      <c r="C35" s="63" t="inlineStr">
        <is>
          <t>PAL, CL, NOL manual inputs + calculator</t>
        </is>
      </c>
    </row>
    <row r="37">
      <c r="B37" s="48" t="inlineStr">
        <is>
          <t>YEAR SANDBOXES</t>
        </is>
      </c>
      <c r="C37" s="48" t="n"/>
    </row>
    <row r="38">
      <c r="B38" s="76">
        <f>HYPERLINK("#Y2023!A1", "Y2023")</f>
        <v/>
      </c>
      <c r="C38" s="63" t="inlineStr">
        <is>
          <t>Strategies (A5:F10), rollup, 7-calculator</t>
        </is>
      </c>
    </row>
    <row r="39">
      <c r="B39" s="76">
        <f>HYPERLINK("#Y2024!A1", "Y2024")</f>
        <v/>
      </c>
      <c r="C39" s="63" t="inlineStr">
        <is>
          <t>Strategies (A5:F10), rollup, 7-calculator</t>
        </is>
      </c>
    </row>
    <row r="40">
      <c r="B40" s="76">
        <f>HYPERLINK("#Y2025!A1", "Y2025")</f>
        <v/>
      </c>
      <c r="C40" s="63" t="inlineStr">
        <is>
          <t>Strategies (A5:F10), rollup, 7-calculator</t>
        </is>
      </c>
    </row>
    <row r="41">
      <c r="B41" s="76">
        <f>HYPERLINK("#Y2026!A1", "Y2026")</f>
        <v/>
      </c>
      <c r="C41" s="63" t="inlineStr">
        <is>
          <t>Strategies (A5:F10), rollup, 7-calculator</t>
        </is>
      </c>
    </row>
    <row r="42">
      <c r="B42" s="76">
        <f>HYPERLINK("#Y2027!A1", "Y2027")</f>
        <v/>
      </c>
      <c r="C42" s="63" t="inlineStr">
        <is>
          <t>Strategies (A5:F10), rollup, 7-calculator</t>
        </is>
      </c>
    </row>
    <row r="43">
      <c r="B43" s="76">
        <f>HYPERLINK("#Y2028!A1", "Y2028")</f>
        <v/>
      </c>
      <c r="C43" s="63" t="inlineStr">
        <is>
          <t>Strategies (A5:F10), rollup, 7-calculator</t>
        </is>
      </c>
    </row>
    <row r="45">
      <c r="B45" s="77" t="inlineStr">
        <is>
          <t>DASHBOARDS / RECON</t>
        </is>
      </c>
      <c r="C45" s="77" t="n"/>
    </row>
    <row r="46">
      <c r="B46" s="76">
        <f>HYPERLINK("#Tax_Plan_Dashboard!A1", "Tax_Plan_Dashboard")</f>
        <v/>
      </c>
      <c r="C46" s="63" t="inlineStr">
        <is>
          <t>KPIs + charts with year dropdown</t>
        </is>
      </c>
    </row>
    <row r="47">
      <c r="B47" s="76">
        <f>HYPERLINK("#PY_Recon!A1", "PY_Recon")</f>
        <v/>
      </c>
      <c r="C47" s="63" t="inlineStr">
        <is>
          <t>Prior year baseline vs AsFiled reconciliation</t>
        </is>
      </c>
    </row>
    <row r="48">
      <c r="B48" s="76">
        <f>HYPERLINK("#Pivot_GPD!A1", "Pivot_GPD")</f>
        <v/>
      </c>
      <c r="C48" s="63" t="inlineStr">
        <is>
          <t>Multi-year GETPIVOTDATA bridge + VP_ named ranges</t>
        </is>
      </c>
    </row>
    <row r="50">
      <c r="B50" s="78" t="inlineStr">
        <is>
          <t>PIVOT ENGINE (do not modify)</t>
        </is>
      </c>
      <c r="C50" s="78" t="n"/>
    </row>
    <row r="51">
      <c r="B51" s="76">
        <f>HYPERLINK("#Pivot_Summary!A1", "Pivot_Summary")</f>
        <v/>
      </c>
      <c r="C51" s="63" t="inlineStr">
        <is>
          <t>SUMIFS grid: 1040 lines × years</t>
        </is>
      </c>
    </row>
    <row r="52">
      <c r="B52" s="76">
        <f>HYPERLINK("#Pivot_Medium!A1", "Pivot_Medium")</f>
        <v/>
      </c>
      <c r="C52" s="63" t="inlineStr">
        <is>
          <t>SUMIFS grid: Line 8 breakout by treatment</t>
        </is>
      </c>
    </row>
    <row r="53">
      <c r="B53" s="76">
        <f>HYPERLINK("#Pivot_Detailed!A1", "Pivot_Detailed")</f>
        <v/>
      </c>
      <c r="C53" s="63" t="inlineStr">
        <is>
          <t>SUMIFS grid: informational lines (2a, 3a)</t>
        </is>
      </c>
    </row>
    <row r="54">
      <c r="B54" s="76">
        <f>HYPERLINK("#Pivot_Helpers!A1", "Pivot_Helpers")</f>
        <v/>
      </c>
      <c r="C54" s="63" t="inlineStr">
        <is>
          <t>SUMIFS grid: helper amounts × years</t>
        </is>
      </c>
    </row>
    <row r="56">
      <c r="B56" s="79" t="inlineStr">
        <is>
          <t>VISUAL PIVOTS</t>
        </is>
      </c>
      <c r="C56" s="79" t="n"/>
    </row>
    <row r="57">
      <c r="B57" s="76">
        <f>HYPERLINK("#Visual_Pivot_Income!A1", "Visual_Pivot_Income")</f>
        <v/>
      </c>
      <c r="C57" s="63" t="inlineStr">
        <is>
          <t>PivotTable: income by 1040 line</t>
        </is>
      </c>
    </row>
    <row r="58">
      <c r="B58" s="76">
        <f>HYPERLINK("#Visual_Pivot_BusinessIncome!A1", "Visual_Pivot_BusinessIncome")</f>
        <v/>
      </c>
      <c r="C58" s="63" t="inlineStr">
        <is>
          <t>PivotTable: business by treatment</t>
        </is>
      </c>
    </row>
    <row r="59">
      <c r="B59" s="76">
        <f>HYPERLINK("#Visual_Pivot_ByPayor!A1", "Visual_Pivot_ByPayor")</f>
        <v/>
      </c>
      <c r="C59" s="63" t="inlineStr">
        <is>
          <t>PivotTable: income by payor</t>
        </is>
      </c>
    </row>
    <row r="60">
      <c r="B60" s="76">
        <f>HYPERLINK("#Visual_Pivot_HelperCarveOuts!A1", "Visual_Pivot_HelperCarveOuts")</f>
        <v/>
      </c>
      <c r="C60" s="63" t="inlineStr">
        <is>
          <t>PivotTable: helper carve-outs</t>
        </is>
      </c>
    </row>
    <row r="62">
      <c r="B62" s="80" t="inlineStr">
        <is>
          <t>REFERENCE</t>
        </is>
      </c>
      <c r="C62" s="80" t="n"/>
    </row>
    <row r="63">
      <c r="B63" s="76">
        <f>HYPERLINK("#Tax_Ref!A1", "Tax_Ref")</f>
        <v/>
      </c>
      <c r="C63" s="63" t="inlineStr">
        <is>
          <t>Rate tables + Treatment_Profile_Map (5 tables)</t>
        </is>
      </c>
    </row>
    <row r="64">
      <c r="B64" s="76">
        <f>HYPERLINK("#Dropdown_Lists!A1", "Dropdown_Lists")</f>
        <v/>
      </c>
      <c r="C64" s="63" t="inlineStr">
        <is>
          <t>Validation source lists</t>
        </is>
      </c>
    </row>
    <row r="65">
      <c r="B65" s="76">
        <f>HYPERLINK("#Framework_Ref!A1", "Framework_Ref")</f>
        <v/>
      </c>
      <c r="C65" s="63" t="inlineStr">
        <is>
          <t>Canon v1.4 + Pecking Order + Strategies catalog</t>
        </is>
      </c>
    </row>
    <row r="66">
      <c r="B66" s="76">
        <f>HYPERLINK("#Glossary!A1", "Glossary")</f>
        <v/>
      </c>
      <c r="C66" s="63" t="inlineStr">
        <is>
          <t>100+ terms, PTET table + Tax Limitations</t>
        </is>
      </c>
    </row>
    <row r="67">
      <c r="B67" s="76">
        <f>HYPERLINK("#Questionnaire!A1", "Questionnaire")</f>
        <v/>
      </c>
      <c r="C67" s="63" t="inlineStr">
        <is>
          <t>26-question strategy intake (auto-detects from data)</t>
        </is>
      </c>
    </row>
    <row r="68">
      <c r="B68" s="76">
        <f>HYPERLINK("#Connections!A1", "Connections")</f>
        <v/>
      </c>
      <c r="C68" s="63" t="inlineStr">
        <is>
          <t>External file paths + extraction mapping</t>
        </is>
      </c>
    </row>
    <row r="69">
      <c r="B69" s="76">
        <f>HYPERLINK("#Projection_History!A1", "Projection_History")</f>
        <v/>
      </c>
      <c r="C69" s="63" t="inlineStr">
        <is>
          <t>Projected vs filed accuracy tracking</t>
        </is>
      </c>
    </row>
    <row r="70">
      <c r="B70" s="76">
        <f>HYPERLINK("#Change_Log!A1", "Change_Log")</f>
        <v/>
      </c>
      <c r="C70" s="63" t="inlineStr">
        <is>
          <t>Audit trail</t>
        </is>
      </c>
    </row>
    <row r="71">
      <c r="B71" s="76">
        <f>HYPERLINK("#Setup_Guide!A1", "Setup_Guide")</f>
        <v/>
      </c>
      <c r="C71" s="63" t="inlineStr">
        <is>
          <t>Onboarding + LAMBDA/VBA/Schema docs</t>
        </is>
      </c>
    </row>
    <row r="80">
      <c r="B80" s="76" t="n"/>
      <c r="C80" s="63" t="n"/>
    </row>
  </sheetData>
  <dataValidations count="5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J1" workbookViewId="0">
      <pane ySplit="4" topLeftCell="A5" activePane="bottomLeft" state="frozen"/>
      <selection pane="bottomLeft" activeCell="I22" sqref="I22"/>
    </sheetView>
  </sheetViews>
  <sheetFormatPr baseColWidth="8" defaultRowHeight="14.5"/>
  <cols>
    <col width="22" customWidth="1" style="19" min="1" max="1"/>
    <col width="7" customWidth="1" style="19" min="2" max="2"/>
    <col width="11" customWidth="1" style="19" min="3" max="3"/>
    <col width="18" customWidth="1" style="19" min="4" max="5"/>
    <col width="22" customWidth="1" style="19" min="6" max="7"/>
    <col width="14" customWidth="1" style="19" min="8" max="8"/>
    <col width="18" customWidth="1" style="19" min="9" max="9"/>
    <col width="22" customWidth="1" style="19" min="10" max="10"/>
    <col width="14" customWidth="1" style="19" min="11" max="13"/>
    <col width="11" customWidth="1" style="19" min="14" max="14"/>
    <col width="12" customWidth="1" style="19" min="15" max="15"/>
    <col width="13" customWidth="1" style="19" min="16" max="16"/>
    <col width="11" customWidth="1" style="19" min="17" max="17"/>
    <col width="30" customWidth="1" style="19" min="18" max="19"/>
  </cols>
  <sheetData>
    <row r="1" ht="18.5" customHeight="1" s="1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1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1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1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1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1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=TaxLines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19" min="1" max="1"/>
    <col width="27.26953125" customWidth="1" style="19" min="2" max="2"/>
    <col width="9.08984375" customWidth="1" style="19" min="3" max="3"/>
    <col width="12.7265625" customWidth="1" style="19" min="4" max="4"/>
    <col width="16.36328125" customWidth="1" style="19" min="5" max="5"/>
    <col width="18.1796875" customWidth="1" style="19" min="6" max="6"/>
    <col width="20" customWidth="1" style="19" min="7" max="7"/>
    <col width="14.54296875" customWidth="1" style="19" min="8" max="9"/>
    <col width="20" customWidth="1" style="19" min="10" max="10"/>
    <col width="18.1796875" customWidth="1" style="19" min="11" max="11"/>
    <col width="16.36328125" customWidth="1" style="19" min="12" max="12"/>
    <col width="20" customWidth="1" style="19" min="13" max="13"/>
    <col width="14.54296875" customWidth="1" style="19" min="14" max="14"/>
    <col width="36.36328125" customWidth="1" style="19" min="15" max="15"/>
  </cols>
  <sheetData>
    <row r="2" ht="18.5" customHeight="1" s="1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2" t="n">
        <v>153648</v>
      </c>
      <c r="L6" s="12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2" t="n">
        <v>-100766</v>
      </c>
      <c r="L7" s="12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2" t="n">
        <v>25922</v>
      </c>
      <c r="L8" s="12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2" t="n">
        <v>14487</v>
      </c>
      <c r="L9" s="12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2" t="n">
        <v>0</v>
      </c>
      <c r="L10" s="12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2" t="n">
        <v>0</v>
      </c>
      <c r="L11" s="12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2" t="n">
        <v>0</v>
      </c>
      <c r="L12" s="12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2" t="n">
        <v>0</v>
      </c>
      <c r="L13" s="12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2" t="n">
        <v>0</v>
      </c>
      <c r="L14" s="12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I19"/>
  <sheetViews>
    <sheetView showGridLines="0" workbookViewId="0">
      <selection activeCell="I17" sqref="I17"/>
    </sheetView>
  </sheetViews>
  <sheetFormatPr baseColWidth="8" defaultRowHeight="14.5"/>
  <cols>
    <col width="3.6328125" customWidth="1" style="19" min="1" max="1"/>
    <col width="36.36328125" customWidth="1" style="19" min="2" max="2"/>
    <col width="21.81640625" customWidth="1" style="19" min="3" max="3"/>
    <col width="5.453125" customWidth="1" style="19" min="4" max="4"/>
    <col width="29.08984375" customWidth="1" style="19" min="5" max="5"/>
    <col width="30.90625" customWidth="1" style="19" min="6" max="6"/>
    <col width="5.453125" customWidth="1" style="19" min="7" max="7"/>
    <col width="20" customWidth="1" style="19" min="8" max="8"/>
    <col width="16.36328125" customWidth="1" style="19" min="9" max="9"/>
  </cols>
  <sheetData>
    <row r="2" ht="21" customHeight="1" s="19">
      <c r="B2" s="28" t="inlineStr">
        <is>
          <t>TAX PLAN DASHBOARD</t>
        </is>
      </c>
    </row>
    <row r="3">
      <c r="B3" s="16" t="inlineStr">
        <is>
          <t>Select year below. KPIs pull baseline from visual pivots via GETPIVOTDATA.</t>
        </is>
      </c>
    </row>
    <row r="4" ht="15.5" customHeight="1" s="19">
      <c r="B4" s="17" t="inlineStr">
        <is>
          <t>Dashboard Year:</t>
        </is>
      </c>
      <c r="C4" s="47" t="n">
        <v>2025</v>
      </c>
    </row>
    <row r="5" ht="15" customHeight="1" s="19" thickBot="1">
      <c r="B5" s="18" t="inlineStr">
        <is>
          <t>HEADLINE METRICS</t>
        </is>
      </c>
      <c r="C5" s="49" t="inlineStr">
        <is>
          <t>Baseline</t>
        </is>
      </c>
      <c r="D5" s="49" t="inlineStr">
        <is>
          <t>Eff w/ Strat</t>
        </is>
      </c>
      <c r="E5" s="101" t="inlineStr">
        <is>
          <t>Δ Savings</t>
        </is>
      </c>
      <c r="F5" s="101" t="n"/>
      <c r="H5" s="33" t="inlineStr">
        <is>
          <t>CHART DATA — Income by 1040 Line</t>
        </is>
      </c>
    </row>
    <row r="6" ht="15.5" customHeight="1" s="19">
      <c r="B6" s="31" t="inlineStr">
        <is>
          <t>Total Income</t>
        </is>
      </c>
      <c r="C6" s="32">
        <f t="array" ref="C6">IFERROR(INDIRECT("Y"&amp;$C$4&amp;"!J13"),0)</f>
        <v/>
      </c>
      <c r="D6" s="12">
        <f t="array" ref="D6">IFERROR(INDIRECT("Y"&amp;$C$4&amp;"!O13"),0)</f>
        <v/>
      </c>
      <c r="E6" s="92">
        <f>C6-D6</f>
        <v/>
      </c>
      <c r="F6" s="92" t="n"/>
      <c r="H6" s="26" t="inlineStr">
        <is>
          <t>1040 Line</t>
        </is>
      </c>
      <c r="I6" s="26" t="inlineStr">
        <is>
          <t>Amount</t>
        </is>
      </c>
    </row>
    <row r="7" ht="15.5" customHeight="1" s="19">
      <c r="B7" t="inlineStr">
        <is>
          <t>Wages (Line 1z)</t>
        </is>
      </c>
      <c r="C7" s="29">
        <f t="array" ref="C7">IFERROR(INDIRECT("Y"&amp;$C$4&amp;"!J6"),0)</f>
        <v/>
      </c>
      <c r="D7" s="12">
        <f t="array" ref="D7">IFERROR(INDIRECT("Y"&amp;$C$4&amp;"!O6"),0)</f>
        <v/>
      </c>
      <c r="E7" s="92">
        <f>C7-D7</f>
        <v/>
      </c>
      <c r="F7" s="92" t="n"/>
      <c r="H7" t="inlineStr">
        <is>
          <t>1040 Line</t>
        </is>
      </c>
      <c r="I7" s="12" t="inlineStr">
        <is>
          <t>Amount</t>
        </is>
      </c>
    </row>
    <row r="8" ht="15.5" customHeight="1" s="19">
      <c r="B8" t="inlineStr">
        <is>
          <t>Business Income (Line 8)</t>
        </is>
      </c>
      <c r="C8" s="29">
        <f t="array" ref="C8">IFERROR(INDIRECT("Y"&amp;$C$4&amp;"!J12"),0)</f>
        <v/>
      </c>
      <c r="D8" s="12">
        <f t="array" ref="D8">IFERROR(INDIRECT("Y"&amp;$C$4&amp;"!O12"),0)</f>
        <v/>
      </c>
      <c r="E8" s="92">
        <f>C8-D8</f>
        <v/>
      </c>
      <c r="F8" s="92" t="n"/>
      <c r="H8" t="inlineStr">
        <is>
          <t>1z Wages</t>
        </is>
      </c>
      <c r="I8" s="12">
        <f>IFERROR(GETPIVOTDATA("Baseline_Amount",Visual_Pivot_Income!$B$5,"Primary_Line","1z","Year",$C$4),0)</f>
        <v/>
      </c>
    </row>
    <row r="9" ht="15.5" customHeight="1" s="19">
      <c r="B9" t="inlineStr">
        <is>
          <t>Capital Gains (Line 7)</t>
        </is>
      </c>
      <c r="C9" s="29">
        <f t="array" ref="C9">IFERROR(INDIRECT("Y"&amp;$C$4&amp;"!J11"),0)</f>
        <v/>
      </c>
      <c r="D9" s="12">
        <f t="array" ref="D9">IFERROR(INDIRECT("Y"&amp;$C$4&amp;"!O11"),0)</f>
        <v/>
      </c>
      <c r="E9" s="92">
        <f>C9-D9</f>
        <v/>
      </c>
      <c r="F9" s="92" t="n"/>
      <c r="H9" t="inlineStr">
        <is>
          <t>2b Tax Interest</t>
        </is>
      </c>
      <c r="I9" s="12">
        <f>IFERROR(GETPIVOTDATA("Baseline_Amount",Visual_Pivot_Income!$B$5,"Primary_Line","2b","Year",$C$4),0)</f>
        <v/>
      </c>
    </row>
    <row r="10" ht="15.5" customHeight="1" s="19">
      <c r="B10" t="inlineStr">
        <is>
          <t>Investment Income (3b)</t>
        </is>
      </c>
      <c r="C10" s="29">
        <f t="array" ref="C10">IFERROR(INDIRECT("Y"&amp;$C$4&amp;"!J10"),0)</f>
        <v/>
      </c>
      <c r="D10" s="12">
        <f t="array" ref="D10">IFERROR(INDIRECT("Y"&amp;$C$4&amp;"!O10"),0)</f>
        <v/>
      </c>
      <c r="E10" s="92">
        <f>C10-D10</f>
        <v/>
      </c>
      <c r="F10" s="92" t="n"/>
      <c r="H10" t="inlineStr">
        <is>
          <t>3b Dividends</t>
        </is>
      </c>
      <c r="I10" s="12">
        <f>IFERROR(GETPIVOTDATA("Baseline_Amount",Visual_Pivot_Income!$B$5,"Primary_Line","3b","Year",$C$4),0)</f>
        <v/>
      </c>
    </row>
    <row r="11" ht="15.5" customHeight="1" s="19">
      <c r="B11" t="inlineStr">
        <is>
          <t>Std/Itemized Ded (Line 12)</t>
        </is>
      </c>
      <c r="C11" s="29">
        <f t="array" ref="C11">IFERROR(INDIRECT("Y"&amp;$C$4&amp;"!J16"),0)</f>
        <v/>
      </c>
      <c r="D11" s="12">
        <f t="array" ref="D11">IFERROR(INDIRECT("Y"&amp;$C$4&amp;"!O16"),0)</f>
        <v/>
      </c>
      <c r="E11" s="92">
        <f>C11-D11</f>
        <v/>
      </c>
      <c r="F11" s="92" t="n"/>
      <c r="H11" t="inlineStr">
        <is>
          <t>7 Cap Gains</t>
        </is>
      </c>
      <c r="I11" s="12">
        <f>IFERROR(GETPIVOTDATA("Baseline_Amount",Visual_Pivot_Income!$B$5,"Primary_Line","7","Year",$C$4),0)</f>
        <v/>
      </c>
    </row>
    <row r="12" ht="15.5" customHeight="1" s="19">
      <c r="B12" t="inlineStr">
        <is>
          <t>Qualified Dividends</t>
        </is>
      </c>
      <c r="C12" s="29">
        <f t="array" ref="C12">IFERROR(INDIRECT("Y"&amp;$C$4&amp;"!I30"),0)</f>
        <v/>
      </c>
      <c r="D12" s="12">
        <f t="array" ref="D12">IFERROR(INDIRECT("Y"&amp;$C$4&amp;"!J30"),0)</f>
        <v/>
      </c>
      <c r="E12" s="92">
        <f>C12-D12</f>
        <v/>
      </c>
      <c r="F12" s="92" t="n"/>
      <c r="H12" t="inlineStr">
        <is>
          <t>8 Business</t>
        </is>
      </c>
      <c r="I12" s="12">
        <f>IFERROR(GETPIVOTDATA("Baseline_Amount",Visual_Pivot_Income!$B$5,"Primary_Line","8","Year",$C$4),0)</f>
        <v/>
      </c>
    </row>
    <row r="13" ht="15.5" customHeight="1" s="19">
      <c r="B13" t="inlineStr">
        <is>
          <t>Owner W-2 Wages</t>
        </is>
      </c>
      <c r="C13" s="29">
        <f t="array" ref="C13">IFERROR(INDIRECT("Y"&amp;$C$4&amp;"!I23"),0)</f>
        <v/>
      </c>
      <c r="D13" s="12">
        <f t="array" ref="D13">IFERROR(INDIRECT("Y"&amp;$C$4&amp;"!J23"),0)</f>
        <v/>
      </c>
      <c r="E13" s="92">
        <f>C13-D13</f>
        <v/>
      </c>
      <c r="F13" s="92" t="n"/>
    </row>
    <row r="14">
      <c r="H14" s="33" t="inlineStr">
        <is>
          <t>CHART DATA — Business by Treatment</t>
        </is>
      </c>
    </row>
    <row r="15" ht="15" customHeight="1" s="19" thickBot="1">
      <c r="B15" s="18" t="inlineStr">
        <is>
          <t>BUSINESS INCOME BREAKDOWN</t>
        </is>
      </c>
      <c r="C15" s="18" t="n"/>
      <c r="D15" s="18" t="n"/>
      <c r="H15" s="26" t="inlineStr">
        <is>
          <t>Treatment</t>
        </is>
      </c>
      <c r="I15" s="26" t="inlineStr">
        <is>
          <t>Amount</t>
        </is>
      </c>
    </row>
    <row r="16" ht="15.5" customHeight="1" s="19">
      <c r="B16" t="inlineStr">
        <is>
          <t>S-Corp K-1 Active</t>
        </is>
      </c>
      <c r="C16" s="29">
        <f>IFERROR(GETPIVOTDATA("Baseline_Amount",Visual_Pivot_BusinessIncome!$B$5,"Treatment_Profile","K1_SCorp_Active","Year",$C$4),0)</f>
        <v/>
      </c>
      <c r="H16" t="inlineStr">
        <is>
          <t>Treatment</t>
        </is>
      </c>
      <c r="I16" s="12" t="inlineStr">
        <is>
          <t>Amount</t>
        </is>
      </c>
    </row>
    <row r="17" ht="15.5" customHeight="1" s="19">
      <c r="B17" t="inlineStr">
        <is>
          <t>PTP K-1 Passive</t>
        </is>
      </c>
      <c r="C17" s="29">
        <f>IFERROR(GETPIVOTDATA("Baseline_Amount",Visual_Pivot_BusinessIncome!$B$5,"Treatment_Profile","K1_PTP_Passive","Year",$C$4),0)</f>
        <v/>
      </c>
      <c r="H17" t="inlineStr">
        <is>
          <t>K1_SCorp_Active</t>
        </is>
      </c>
      <c r="I17" s="12">
        <f>IFERROR(GETPIVOTDATA("Baseline_Amount",Visual_Pivot_BusinessIncome!$B$5,"Treatment_Profile","K1_SCorp_Active","Year",$C$4),0)</f>
        <v/>
      </c>
    </row>
    <row r="18" ht="15.5" customHeight="1" s="19">
      <c r="B18" t="inlineStr">
        <is>
          <t>Schedule E Rental</t>
        </is>
      </c>
      <c r="C18" s="29">
        <f>IFERROR(GETPIVOTDATA("Baseline_Amount",Visual_Pivot_BusinessIncome!$B$5,"Treatment_Profile","SchE_Rental","Year",$C$4),0)</f>
        <v/>
      </c>
      <c r="H18" t="inlineStr">
        <is>
          <t>K1_PTP_Passive</t>
        </is>
      </c>
      <c r="I18" s="12">
        <f>IFERROR(GETPIVOTDATA("Baseline_Amount",Visual_Pivot_BusinessIncome!$B$5,"Treatment_Profile","K1_PTP_Passive","Year",$C$4),0)</f>
        <v/>
      </c>
    </row>
    <row r="19" ht="15.5" customHeight="1" s="19">
      <c r="B19" s="31" t="inlineStr">
        <is>
          <t>Total Business Income</t>
        </is>
      </c>
      <c r="C19" s="32">
        <f>IFERROR(GETPIVOTDATA("Baseline_Amount",Visual_Pivot_BusinessIncome!$B$5,"Year",$C$4),0)</f>
        <v/>
      </c>
    </row>
  </sheetData>
  <dataValidations count="1">
    <dataValidation sqref="C4" showDropDown="0" showInputMessage="1" showErrorMessage="1" allowBlank="1" promptTitle="Dashboard Year" prompt="Select year to display" type="list">
      <formula1>"2023,2024,2025,2026,2027,2028"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19" min="1" max="1"/>
    <col width="13.6328125" customWidth="1" style="19" min="2" max="2"/>
    <col width="41.81640625" customWidth="1" style="19" min="3" max="3"/>
    <col width="23.6328125" customWidth="1" style="19" min="4" max="5"/>
    <col width="16.36328125" customWidth="1" style="19" min="6" max="6"/>
    <col width="18.1796875" customWidth="1" style="19" min="7" max="7"/>
  </cols>
  <sheetData>
    <row r="2" ht="18.5" customHeight="1" s="1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19">
      <c r="B5" s="17" t="inlineStr">
        <is>
          <t>Recon Year:</t>
        </is>
      </c>
      <c r="C5" s="47" t="n">
        <v>2025</v>
      </c>
      <c r="D5" s="17" t="inlineStr">
        <is>
          <t>Client:</t>
        </is>
      </c>
      <c r="E5" s="47" t="inlineStr">
        <is>
          <t>SAMPLE</t>
        </is>
      </c>
    </row>
    <row r="7">
      <c r="B7" s="37" t="inlineStr">
        <is>
          <t>1040 Line</t>
        </is>
      </c>
      <c r="C7" s="37" t="inlineStr">
        <is>
          <t>Description</t>
        </is>
      </c>
      <c r="D7" s="36" t="inlineStr">
        <is>
          <t>Computed (Baseline)</t>
        </is>
      </c>
      <c r="E7" s="36" t="inlineStr">
        <is>
          <t>Filed (AsFiled)</t>
        </is>
      </c>
      <c r="F7" s="36" t="inlineStr">
        <is>
          <t>Variance</t>
        </is>
      </c>
      <c r="G7" s="36" t="inlineStr">
        <is>
          <t>Status</t>
        </is>
      </c>
    </row>
    <row r="8">
      <c r="B8" s="22" t="inlineStr">
        <is>
          <t>1z</t>
        </is>
      </c>
      <c r="C8" t="inlineStr">
        <is>
          <t>Wages, salaries, tips</t>
        </is>
      </c>
      <c r="D8" s="12">
        <f>SUMIFS(tblMaster_Inputs[Baseline_Amount],tblMaster_Inputs[Year],$C$5,tblMaster_Inputs[ClientID],$E$5,tblMaster_Inputs[Primary_Line],"1z")</f>
        <v/>
      </c>
      <c r="E8" s="12">
        <f>SUMIFS(tblAsFiled[Filed_Amount],tblAsFiled[Year],$C$5,tblAsFiled[ClientID],$E$5,tblAsFiled[Primary_Line],"1z")</f>
        <v/>
      </c>
      <c r="F8" s="12">
        <f>D8-E8</f>
        <v/>
      </c>
      <c r="G8">
        <f>IF(ABS(F8)&lt;1,"✓ OK","⚠ CHECK")</f>
        <v/>
      </c>
    </row>
    <row r="9">
      <c r="B9" s="22" t="inlineStr">
        <is>
          <t>2b</t>
        </is>
      </c>
      <c r="C9" t="inlineStr">
        <is>
          <t>Taxable interest</t>
        </is>
      </c>
      <c r="D9" s="12">
        <f>SUMIFS(tblMaster_Inputs[Baseline_Amount],tblMaster_Inputs[Year],$C$5,tblMaster_Inputs[ClientID],$E$5,tblMaster_Inputs[Primary_Line],"2b")</f>
        <v/>
      </c>
      <c r="E9" s="12">
        <f>SUMIFS(tblAsFiled[Filed_Amount],tblAsFiled[Year],$C$5,tblAsFiled[ClientID],$E$5,tblAsFiled[Primary_Line],"2b")</f>
        <v/>
      </c>
      <c r="F9" s="12">
        <f>D9-E9</f>
        <v/>
      </c>
      <c r="G9">
        <f>IF(ABS(F9)&lt;1,"✓ OK","⚠ CHECK")</f>
        <v/>
      </c>
    </row>
    <row r="10">
      <c r="B10" s="22" t="inlineStr">
        <is>
          <t>3b</t>
        </is>
      </c>
      <c r="C10" t="inlineStr">
        <is>
          <t>Ordinary dividends</t>
        </is>
      </c>
      <c r="D10" s="12">
        <f>SUMIFS(tblMaster_Inputs[Baseline_Amount],tblMaster_Inputs[Year],$C$5,tblMaster_Inputs[ClientID],$E$5,tblMaster_Inputs[Primary_Line],"3b")</f>
        <v/>
      </c>
      <c r="E10" s="12">
        <f>SUMIFS(tblAsFiled[Filed_Amount],tblAsFiled[Year],$C$5,tblAsFiled[ClientID],$E$5,tblAsFiled[Primary_Line],"3b")</f>
        <v/>
      </c>
      <c r="F10" s="12">
        <f>D10-E10</f>
        <v/>
      </c>
      <c r="G10">
        <f>IF(ABS(F10)&lt;1,"✓ OK","⚠ CHECK")</f>
        <v/>
      </c>
    </row>
    <row r="11">
      <c r="B11" s="22" t="n">
        <v>7</v>
      </c>
      <c r="C11" t="inlineStr">
        <is>
          <t>Capital gain or (loss)</t>
        </is>
      </c>
      <c r="D11" s="12">
        <f>SUMIFS(tblMaster_Inputs[Baseline_Amount],tblMaster_Inputs[Year],$C$5,tblMaster_Inputs[ClientID],$E$5,tblMaster_Inputs[Primary_Line],"7")</f>
        <v/>
      </c>
      <c r="E11" s="12">
        <f>SUMIFS(tblAsFiled[Filed_Amount],tblAsFiled[Year],$C$5,tblAsFiled[ClientID],$E$5,tblAsFiled[Primary_Line],"7")</f>
        <v/>
      </c>
      <c r="F11" s="12">
        <f>D11-E11</f>
        <v/>
      </c>
      <c r="G11">
        <f>IF(ABS(F11)&lt;1,"✓ OK","⚠ CHECK")</f>
        <v/>
      </c>
    </row>
    <row r="12">
      <c r="B12" s="22" t="n">
        <v>8</v>
      </c>
      <c r="C12" t="inlineStr">
        <is>
          <t>Other income (Sch 1 — business)</t>
        </is>
      </c>
      <c r="D12" s="12">
        <f>SUMIFS(tblMaster_Inputs[Baseline_Amount],tblMaster_Inputs[Year],$C$5,tblMaster_Inputs[ClientID],$E$5,tblMaster_Inputs[Primary_Line],"8")</f>
        <v/>
      </c>
      <c r="E12" s="12">
        <f>SUMIFS(tblAsFiled[Filed_Amount],tblAsFiled[Year],$C$5,tblAsFiled[ClientID],$E$5,tblAsFiled[Primary_Line],"8")</f>
        <v/>
      </c>
      <c r="F12" s="12">
        <f>D12-E12</f>
        <v/>
      </c>
      <c r="G12">
        <f>IF(ABS(F12)&lt;1,"✓ OK","⚠ CHECK")</f>
        <v/>
      </c>
    </row>
    <row r="13">
      <c r="B13" s="40" t="n">
        <v>9</v>
      </c>
      <c r="C13" s="38" t="inlineStr">
        <is>
          <t>TOTAL INCOME</t>
        </is>
      </c>
      <c r="D13" s="39">
        <f>SUM(D8:D12)</f>
        <v/>
      </c>
      <c r="E13" s="39">
        <f>SUM(E8:E12)</f>
        <v/>
      </c>
      <c r="F13" s="39">
        <f>D13-E13</f>
        <v/>
      </c>
      <c r="G13" s="38">
        <f>IF(ABS(F13)&lt;1,"✓ OK","⚠ CHECK")</f>
        <v/>
      </c>
    </row>
    <row r="14">
      <c r="B14" s="22" t="n">
        <v>10</v>
      </c>
      <c r="C14" t="inlineStr">
        <is>
          <t>Adjustments to income</t>
        </is>
      </c>
      <c r="D14" s="12">
        <f>SUMIFS(tblMaster_Inputs[Baseline_Amount],tblMaster_Inputs[Year],$C$5,tblMaster_Inputs[ClientID],$E$5,tblMaster_Inputs[Primary_Line],"10")</f>
        <v/>
      </c>
      <c r="E14" s="12">
        <f>SUMIFS(tblAsFiled[Filed_Amount],tblAsFiled[Year],$C$5,tblAsFiled[ClientID],$E$5,tblAsFiled[Primary_Line],"10")</f>
        <v/>
      </c>
      <c r="F14" s="12">
        <f>D14-E14</f>
        <v/>
      </c>
      <c r="G14">
        <f>IF(ABS(F14)&lt;1,"✓ OK","⚠ CHECK")</f>
        <v/>
      </c>
    </row>
    <row r="15">
      <c r="B15" s="40" t="n">
        <v>11</v>
      </c>
      <c r="C15" s="38" t="inlineStr">
        <is>
          <t>AGI</t>
        </is>
      </c>
      <c r="D15" s="39">
        <f>D13+D14</f>
        <v/>
      </c>
      <c r="E15" s="39">
        <f>E13+E14</f>
        <v/>
      </c>
      <c r="F15" s="39">
        <f>D15-E15</f>
        <v/>
      </c>
      <c r="G15" s="38">
        <f>IF(ABS(F15)&lt;1,"✓ OK","⚠ CHECK")</f>
        <v/>
      </c>
    </row>
    <row r="16">
      <c r="B16" s="22" t="n">
        <v>12</v>
      </c>
      <c r="C16" t="inlineStr">
        <is>
          <t>Standard / Itemized deduction</t>
        </is>
      </c>
      <c r="D16" s="12">
        <f>SUMIFS(tblMaster_Inputs[Baseline_Amount],tblMaster_Inputs[Year],$C$5,tblMaster_Inputs[ClientID],$E$5,tblMaster_Inputs[Primary_Line],"12")</f>
        <v/>
      </c>
      <c r="E16" s="12">
        <f>SUMIFS(tblAsFiled[Filed_Amount],tblAsFiled[Year],$C$5,tblAsFiled[ClientID],$E$5,tblAsFiled[Primary_Line],"12")</f>
        <v/>
      </c>
      <c r="F16" s="12">
        <f>D16-E16</f>
        <v/>
      </c>
      <c r="G16">
        <f>IF(ABS(F16)&lt;1,"✓ OK","⚠ CHECK")</f>
        <v/>
      </c>
    </row>
    <row r="17">
      <c r="B17" s="41" t="n">
        <v>13</v>
      </c>
      <c r="C17" s="13" t="inlineStr">
        <is>
          <t>QBI deduction</t>
        </is>
      </c>
      <c r="D17" s="12">
        <f>SUMIFS(tblMaster_Inputs[Baseline_Amount],tblMaster_Inputs[Year],$C$5,tblMaster_Inputs[ClientID],$E$5,tblMaster_Inputs[Primary_Line],"13")</f>
        <v/>
      </c>
      <c r="E17" s="12">
        <f>SUMIFS(tblAsFiled[Filed_Amount],tblAsFiled[Year],$C$5,tblAsFiled[ClientID],$E$5,tblAsFiled[Primary_Line],"13")</f>
        <v/>
      </c>
      <c r="F17" s="12">
        <f>D17-E17</f>
        <v/>
      </c>
      <c r="G17" s="13">
        <f>IF(ABS(F17)&lt;1,"✓ OK","⚠ CHECK")</f>
        <v/>
      </c>
    </row>
    <row r="18">
      <c r="B18" s="40" t="n">
        <v>15</v>
      </c>
      <c r="C18" s="38" t="inlineStr">
        <is>
          <t>TAXABLE INCOME</t>
        </is>
      </c>
      <c r="D18" s="39">
        <f>D15+D16+D17</f>
        <v/>
      </c>
      <c r="E18" s="39">
        <f>E15+E16+E17</f>
        <v/>
      </c>
      <c r="F18" s="39">
        <f>D18-E18</f>
        <v/>
      </c>
      <c r="G18" s="38">
        <f>IF(ABS(F18)&lt;1,"✓ OK","⚠ CHECK")</f>
        <v/>
      </c>
    </row>
    <row r="20" ht="15" customHeight="1" s="1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19" min="1" max="1"/>
    <col width="27.26953125" customWidth="1" style="19" min="2" max="2"/>
    <col width="23.6328125" customWidth="1" style="19" min="3" max="3"/>
    <col width="15.453125" customWidth="1" style="19" min="4" max="9"/>
    <col width="17.26953125" customWidth="1" style="19" min="10" max="10"/>
  </cols>
  <sheetData>
    <row r="2" ht="18.5" customHeight="1" s="1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19" thickBot="1">
      <c r="B5" s="18" t="inlineStr">
        <is>
          <t>INCOME BY 1040 LINE</t>
        </is>
      </c>
      <c r="C5" s="18" t="n"/>
      <c r="D5" s="35" t="n"/>
      <c r="E5" s="35" t="n"/>
      <c r="F5" s="35" t="n"/>
      <c r="G5" s="35" t="n"/>
      <c r="H5" s="35" t="n"/>
      <c r="I5" s="35" t="n"/>
      <c r="J5" s="18" t="n"/>
    </row>
    <row r="6">
      <c r="B6" s="26" t="inlineStr">
        <is>
          <t>Named Range</t>
        </is>
      </c>
      <c r="C6" s="26" t="inlineStr">
        <is>
          <t>Description</t>
        </is>
      </c>
      <c r="D6" s="26" t="n">
        <v>2023</v>
      </c>
      <c r="E6" s="26" t="n">
        <v>2024</v>
      </c>
      <c r="F6" s="26" t="n">
        <v>2025</v>
      </c>
      <c r="G6" s="26" t="n">
        <v>2026</v>
      </c>
      <c r="H6" s="26" t="n">
        <v>2027</v>
      </c>
      <c r="I6" s="26" t="n">
        <v>2028</v>
      </c>
      <c r="J6" s="42" t="inlineStr">
        <is>
          <t>Active Year</t>
        </is>
      </c>
    </row>
    <row r="7">
      <c r="B7" s="27" t="inlineStr">
        <is>
          <t>VP_Line_1z_Wages</t>
        </is>
      </c>
      <c r="C7" t="inlineStr">
        <is>
          <t>Wages (1z)</t>
        </is>
      </c>
      <c r="D7" s="12">
        <f>IFERROR(GETPIVOTDATA("Baseline_Amount",Visual_Pivot_Income!$B$5,"Primary_Line","1z","Year",2023),0)</f>
        <v/>
      </c>
      <c r="E7" s="12">
        <f>IFERROR(GETPIVOTDATA("Baseline_Amount",Visual_Pivot_Income!$B$5,"Primary_Line","1z","Year",2024),0)</f>
        <v/>
      </c>
      <c r="F7" s="12">
        <f>IFERROR(GETPIVOTDATA("Baseline_Amount",Visual_Pivot_Income!$B$5,"Primary_Line","1z","Year",2025),0)</f>
        <v/>
      </c>
      <c r="G7" s="12">
        <f>IFERROR(GETPIVOTDATA("Baseline_Amount",Visual_Pivot_Income!$B$5,"Primary_Line","1z","Year",2026),0)</f>
        <v/>
      </c>
      <c r="H7" s="12">
        <f>IFERROR(GETPIVOTDATA("Baseline_Amount",Visual_Pivot_Income!$B$5,"Primary_Line","1z","Year",2027),0)</f>
        <v/>
      </c>
      <c r="I7" s="12">
        <f>IFERROR(GETPIVOTDATA("Baseline_Amount",Visual_Pivot_Income!$B$5,"Primary_Line","1z","Year",2028),0)</f>
        <v/>
      </c>
      <c r="J7" s="46">
        <f>IFERROR(GETPIVOTDATA("Baseline_Amount",Visual_Pivot_Income!$B$5,"Primary_Line","1z","Year",Active_Year),0)</f>
        <v/>
      </c>
    </row>
    <row r="8">
      <c r="B8" s="27" t="inlineStr">
        <is>
          <t>VP_Line_2b_TaxInt</t>
        </is>
      </c>
      <c r="C8" t="inlineStr">
        <is>
          <t>Tax Interest (2b)</t>
        </is>
      </c>
      <c r="D8" s="12">
        <f>IFERROR(GETPIVOTDATA("Baseline_Amount",Visual_Pivot_Income!$B$5,"Primary_Line","2b","Year",2023),0)</f>
        <v/>
      </c>
      <c r="E8" s="12">
        <f>IFERROR(GETPIVOTDATA("Baseline_Amount",Visual_Pivot_Income!$B$5,"Primary_Line","2b","Year",2024),0)</f>
        <v/>
      </c>
      <c r="F8" s="12">
        <f>IFERROR(GETPIVOTDATA("Baseline_Amount",Visual_Pivot_Income!$B$5,"Primary_Line","2b","Year",2025),0)</f>
        <v/>
      </c>
      <c r="G8" s="12">
        <f>IFERROR(GETPIVOTDATA("Baseline_Amount",Visual_Pivot_Income!$B$5,"Primary_Line","2b","Year",2026),0)</f>
        <v/>
      </c>
      <c r="H8" s="12">
        <f>IFERROR(GETPIVOTDATA("Baseline_Amount",Visual_Pivot_Income!$B$5,"Primary_Line","2b","Year",2027),0)</f>
        <v/>
      </c>
      <c r="I8" s="12">
        <f>IFERROR(GETPIVOTDATA("Baseline_Amount",Visual_Pivot_Income!$B$5,"Primary_Line","2b","Year",2028),0)</f>
        <v/>
      </c>
      <c r="J8" s="46">
        <f>IFERROR(GETPIVOTDATA("Baseline_Amount",Visual_Pivot_Income!$B$5,"Primary_Line","2b","Year",Active_Year),0)</f>
        <v/>
      </c>
    </row>
    <row r="9">
      <c r="B9" s="27" t="inlineStr">
        <is>
          <t>VP_Line_3b_OrdDiv</t>
        </is>
      </c>
      <c r="C9" t="inlineStr">
        <is>
          <t>Ord Dividends (3b)</t>
        </is>
      </c>
      <c r="D9" s="12">
        <f>IFERROR(GETPIVOTDATA("Baseline_Amount",Visual_Pivot_Income!$B$5,"Primary_Line","3b","Year",2023),0)</f>
        <v/>
      </c>
      <c r="E9" s="12">
        <f>IFERROR(GETPIVOTDATA("Baseline_Amount",Visual_Pivot_Income!$B$5,"Primary_Line","3b","Year",2024),0)</f>
        <v/>
      </c>
      <c r="F9" s="12">
        <f>IFERROR(GETPIVOTDATA("Baseline_Amount",Visual_Pivot_Income!$B$5,"Primary_Line","3b","Year",2025),0)</f>
        <v/>
      </c>
      <c r="G9" s="12">
        <f>IFERROR(GETPIVOTDATA("Baseline_Amount",Visual_Pivot_Income!$B$5,"Primary_Line","3b","Year",2026),0)</f>
        <v/>
      </c>
      <c r="H9" s="12">
        <f>IFERROR(GETPIVOTDATA("Baseline_Amount",Visual_Pivot_Income!$B$5,"Primary_Line","3b","Year",2027),0)</f>
        <v/>
      </c>
      <c r="I9" s="12">
        <f>IFERROR(GETPIVOTDATA("Baseline_Amount",Visual_Pivot_Income!$B$5,"Primary_Line","3b","Year",2028),0)</f>
        <v/>
      </c>
      <c r="J9" s="46">
        <f>IFERROR(GETPIVOTDATA("Baseline_Amount",Visual_Pivot_Income!$B$5,"Primary_Line","3b","Year",Active_Year),0)</f>
        <v/>
      </c>
    </row>
    <row r="10">
      <c r="B10" s="27" t="inlineStr">
        <is>
          <t>VP_Line_7_CapGain</t>
        </is>
      </c>
      <c r="C10" t="inlineStr">
        <is>
          <t>Cap Gains (7)</t>
        </is>
      </c>
      <c r="D10" s="12">
        <f>IFERROR(GETPIVOTDATA("Baseline_Amount",Visual_Pivot_Income!$B$5,"Primary_Line","7","Year",2023),0)</f>
        <v/>
      </c>
      <c r="E10" s="12">
        <f>IFERROR(GETPIVOTDATA("Baseline_Amount",Visual_Pivot_Income!$B$5,"Primary_Line","7","Year",2024),0)</f>
        <v/>
      </c>
      <c r="F10" s="12">
        <f>IFERROR(GETPIVOTDATA("Baseline_Amount",Visual_Pivot_Income!$B$5,"Primary_Line","7","Year",2025),0)</f>
        <v/>
      </c>
      <c r="G10" s="12">
        <f>IFERROR(GETPIVOTDATA("Baseline_Amount",Visual_Pivot_Income!$B$5,"Primary_Line","7","Year",2026),0)</f>
        <v/>
      </c>
      <c r="H10" s="12">
        <f>IFERROR(GETPIVOTDATA("Baseline_Amount",Visual_Pivot_Income!$B$5,"Primary_Line","7","Year",2027),0)</f>
        <v/>
      </c>
      <c r="I10" s="12">
        <f>IFERROR(GETPIVOTDATA("Baseline_Amount",Visual_Pivot_Income!$B$5,"Primary_Line","7","Year",2028),0)</f>
        <v/>
      </c>
      <c r="J10" s="46">
        <f>IFERROR(GETPIVOTDATA("Baseline_Amount",Visual_Pivot_Income!$B$5,"Primary_Line","7","Year",Active_Year),0)</f>
        <v/>
      </c>
    </row>
    <row r="11">
      <c r="B11" s="27" t="inlineStr">
        <is>
          <t>VP_Line_8_OtherInc</t>
        </is>
      </c>
      <c r="C11" t="inlineStr">
        <is>
          <t>Business/Other (8)</t>
        </is>
      </c>
      <c r="D11" s="12">
        <f>IFERROR(GETPIVOTDATA("Baseline_Amount",Visual_Pivot_Income!$B$5,"Primary_Line","8","Year",2023),0)</f>
        <v/>
      </c>
      <c r="E11" s="12">
        <f>IFERROR(GETPIVOTDATA("Baseline_Amount",Visual_Pivot_Income!$B$5,"Primary_Line","8","Year",2024),0)</f>
        <v/>
      </c>
      <c r="F11" s="12">
        <f>IFERROR(GETPIVOTDATA("Baseline_Amount",Visual_Pivot_Income!$B$5,"Primary_Line","8","Year",2025),0)</f>
        <v/>
      </c>
      <c r="G11" s="12">
        <f>IFERROR(GETPIVOTDATA("Baseline_Amount",Visual_Pivot_Income!$B$5,"Primary_Line","8","Year",2026),0)</f>
        <v/>
      </c>
      <c r="H11" s="12">
        <f>IFERROR(GETPIVOTDATA("Baseline_Amount",Visual_Pivot_Income!$B$5,"Primary_Line","8","Year",2027),0)</f>
        <v/>
      </c>
      <c r="I11" s="12">
        <f>IFERROR(GETPIVOTDATA("Baseline_Amount",Visual_Pivot_Income!$B$5,"Primary_Line","8","Year",2028),0)</f>
        <v/>
      </c>
      <c r="J11" s="46">
        <f>IFERROR(GETPIVOTDATA("Baseline_Amount",Visual_Pivot_Income!$B$5,"Primary_Line","8","Year",Active_Year),0)</f>
        <v/>
      </c>
    </row>
    <row r="12">
      <c r="B12" s="27" t="inlineStr">
        <is>
          <t>VP_Line_12_Deduction</t>
        </is>
      </c>
      <c r="C12" t="inlineStr">
        <is>
          <t>Std/Item Ded (12)</t>
        </is>
      </c>
      <c r="D12" s="12">
        <f>IFERROR(GETPIVOTDATA("Baseline_Amount",Visual_Pivot_Income!$B$5,"Primary_Line","12","Year",2023),0)</f>
        <v/>
      </c>
      <c r="E12" s="12">
        <f>IFERROR(GETPIVOTDATA("Baseline_Amount",Visual_Pivot_Income!$B$5,"Primary_Line","12","Year",2024),0)</f>
        <v/>
      </c>
      <c r="F12" s="12">
        <f>IFERROR(GETPIVOTDATA("Baseline_Amount",Visual_Pivot_Income!$B$5,"Primary_Line","12","Year",2025),0)</f>
        <v/>
      </c>
      <c r="G12" s="12">
        <f>IFERROR(GETPIVOTDATA("Baseline_Amount",Visual_Pivot_Income!$B$5,"Primary_Line","12","Year",2026),0)</f>
        <v/>
      </c>
      <c r="H12" s="12">
        <f>IFERROR(GETPIVOTDATA("Baseline_Amount",Visual_Pivot_Income!$B$5,"Primary_Line","12","Year",2027),0)</f>
        <v/>
      </c>
      <c r="I12" s="12">
        <f>IFERROR(GETPIVOTDATA("Baseline_Amount",Visual_Pivot_Income!$B$5,"Primary_Line","12","Year",2028),0)</f>
        <v/>
      </c>
      <c r="J12" s="46">
        <f>IFERROR(GETPIVOTDATA("Baseline_Amount",Visual_Pivot_Income!$B$5,"Primary_Line","12","Year",Active_Year),0)</f>
        <v/>
      </c>
    </row>
    <row r="13">
      <c r="B13" s="27" t="inlineStr">
        <is>
          <t>VP_TotalIncome</t>
        </is>
      </c>
      <c r="C13" t="inlineStr">
        <is>
          <t>Grand Total</t>
        </is>
      </c>
      <c r="D13" s="12">
        <f>IFERROR(GETPIVOTDATA("Baseline_Amount",Visual_Pivot_Income!$B$5,"Year",2023),0)</f>
        <v/>
      </c>
      <c r="E13" s="12">
        <f>IFERROR(GETPIVOTDATA("Baseline_Amount",Visual_Pivot_Income!$B$5,"Year",2024),0)</f>
        <v/>
      </c>
      <c r="F13" s="12">
        <f>IFERROR(GETPIVOTDATA("Baseline_Amount",Visual_Pivot_Income!$B$5,"Year",2025),0)</f>
        <v/>
      </c>
      <c r="G13" s="12">
        <f>IFERROR(GETPIVOTDATA("Baseline_Amount",Visual_Pivot_Income!$B$5,"Year",2026),0)</f>
        <v/>
      </c>
      <c r="H13" s="12">
        <f>IFERROR(GETPIVOTDATA("Baseline_Amount",Visual_Pivot_Income!$B$5,"Year",2027),0)</f>
        <v/>
      </c>
      <c r="I13" s="12">
        <f>IFERROR(GETPIVOTDATA("Baseline_Amount",Visual_Pivot_Income!$B$5,"Year",2028),0)</f>
        <v/>
      </c>
      <c r="J13" s="46">
        <f>IFERROR(GETPIVOTDATA("Baseline_Amount",Visual_Pivot_Income!$B$5,"Year",Active_Year),0)</f>
        <v/>
      </c>
    </row>
    <row r="14">
      <c r="D14" s="12" t="n"/>
      <c r="E14" s="12" t="n"/>
      <c r="F14" s="12" t="n"/>
      <c r="G14" s="12" t="n"/>
      <c r="H14" s="12" t="n"/>
      <c r="I14" s="12" t="n"/>
      <c r="J14" s="12" t="n"/>
    </row>
    <row r="15" ht="15" customHeight="1" s="19" thickBot="1">
      <c r="B15" s="18" t="inlineStr">
        <is>
          <t>HELPER CARVE-OUTS</t>
        </is>
      </c>
      <c r="C15" s="18" t="n"/>
      <c r="D15" s="43" t="n"/>
      <c r="E15" s="43" t="n"/>
      <c r="F15" s="43" t="n"/>
      <c r="G15" s="43" t="n"/>
      <c r="H15" s="43" t="n"/>
      <c r="I15" s="43" t="n"/>
      <c r="J15" s="43" t="n"/>
    </row>
    <row r="16">
      <c r="B16" s="26" t="inlineStr">
        <is>
          <t>Named Range</t>
        </is>
      </c>
      <c r="C16" s="26" t="inlineStr">
        <is>
          <t>Description</t>
        </is>
      </c>
      <c r="D16" s="44" t="n">
        <v>2023</v>
      </c>
      <c r="E16" s="44" t="n">
        <v>2024</v>
      </c>
      <c r="F16" s="44" t="n">
        <v>2025</v>
      </c>
      <c r="G16" s="44" t="n">
        <v>2026</v>
      </c>
      <c r="H16" s="44" t="n">
        <v>2027</v>
      </c>
      <c r="I16" s="44" t="n">
        <v>2028</v>
      </c>
      <c r="J16" s="45" t="inlineStr">
        <is>
          <t>Active Year</t>
        </is>
      </c>
    </row>
    <row r="17">
      <c r="B17" s="27" t="inlineStr">
        <is>
          <t>VP_OWNER_PAY</t>
        </is>
      </c>
      <c r="C17" t="inlineStr">
        <is>
          <t>Owner Wages</t>
        </is>
      </c>
      <c r="D17" s="12">
        <f>IFERROR(GETPIVOTDATA("Helper_Amount",Visual_Pivot_HelperCarveOuts!$B$5,"Helper_Treatment","OWNER_PAY","Year",2023),0)</f>
        <v/>
      </c>
      <c r="E17" s="12">
        <f>IFERROR(GETPIVOTDATA("Helper_Amount",Visual_Pivot_HelperCarveOuts!$B$5,"Helper_Treatment","OWNER_PAY","Year",2024),0)</f>
        <v/>
      </c>
      <c r="F17" s="12">
        <f>IFERROR(GETPIVOTDATA("Helper_Amount",Visual_Pivot_HelperCarveOuts!$B$5,"Helper_Treatment","OWNER_PAY","Year",2025),0)</f>
        <v/>
      </c>
      <c r="G17" s="12">
        <f>IFERROR(GETPIVOTDATA("Helper_Amount",Visual_Pivot_HelperCarveOuts!$B$5,"Helper_Treatment","OWNER_PAY","Year",2026),0)</f>
        <v/>
      </c>
      <c r="H17" s="12">
        <f>IFERROR(GETPIVOTDATA("Helper_Amount",Visual_Pivot_HelperCarveOuts!$B$5,"Helper_Treatment","OWNER_PAY","Year",2027),0)</f>
        <v/>
      </c>
      <c r="I17" s="12">
        <f>IFERROR(GETPIVOTDATA("Helper_Amount",Visual_Pivot_HelperCarveOuts!$B$5,"Helper_Treatment","OWNER_PAY","Year",2028),0)</f>
        <v/>
      </c>
      <c r="J17" s="46">
        <f>IFERROR(GETPIVOTDATA("Helper_Amount",Visual_Pivot_HelperCarveOuts!$B$5,"Helper_Treatment","OWNER_PAY","Year",Active_Year),0)</f>
        <v/>
      </c>
    </row>
    <row r="18">
      <c r="B18" s="27" t="inlineStr">
        <is>
          <t>VP_QUAL_DIV</t>
        </is>
      </c>
      <c r="C18" t="inlineStr">
        <is>
          <t>Qualified Dividends</t>
        </is>
      </c>
      <c r="D18" s="12">
        <f>IFERROR(GETPIVOTDATA("Helper_Amount",Visual_Pivot_HelperCarveOuts!$B$5,"Helper_Treatment","QUAL_DIV","Year",2023),0)</f>
        <v/>
      </c>
      <c r="E18" s="12">
        <f>IFERROR(GETPIVOTDATA("Helper_Amount",Visual_Pivot_HelperCarveOuts!$B$5,"Helper_Treatment","QUAL_DIV","Year",2024),0)</f>
        <v/>
      </c>
      <c r="F18" s="12">
        <f>IFERROR(GETPIVOTDATA("Helper_Amount",Visual_Pivot_HelperCarveOuts!$B$5,"Helper_Treatment","QUAL_DIV","Year",2025),0)</f>
        <v/>
      </c>
      <c r="G18" s="12">
        <f>IFERROR(GETPIVOTDATA("Helper_Amount",Visual_Pivot_HelperCarveOuts!$B$5,"Helper_Treatment","QUAL_DIV","Year",2026),0)</f>
        <v/>
      </c>
      <c r="H18" s="12">
        <f>IFERROR(GETPIVOTDATA("Helper_Amount",Visual_Pivot_HelperCarveOuts!$B$5,"Helper_Treatment","QUAL_DIV","Year",2027),0)</f>
        <v/>
      </c>
      <c r="I18" s="12">
        <f>IFERROR(GETPIVOTDATA("Helper_Amount",Visual_Pivot_HelperCarveOuts!$B$5,"Helper_Treatment","QUAL_DIV","Year",2028),0)</f>
        <v/>
      </c>
      <c r="J18" s="46">
        <f>IFERROR(GETPIVOTDATA("Helper_Amount",Visual_Pivot_HelperCarveOuts!$B$5,"Helper_Treatment","QUAL_DIV","Year",Active_Year),0)</f>
        <v/>
      </c>
    </row>
    <row r="19">
      <c r="D19" s="12" t="n"/>
      <c r="E19" s="12" t="n"/>
      <c r="F19" s="12" t="n"/>
      <c r="G19" s="12" t="n"/>
      <c r="H19" s="12" t="n"/>
      <c r="I19" s="12" t="n"/>
      <c r="J19" s="12" t="n"/>
    </row>
    <row r="20" ht="15" customHeight="1" s="19" thickBot="1">
      <c r="B20" s="18" t="inlineStr">
        <is>
          <t>BUSINESS INCOME BY TREATMENT</t>
        </is>
      </c>
      <c r="C20" s="18" t="n"/>
      <c r="D20" s="43" t="n"/>
      <c r="E20" s="43" t="n"/>
      <c r="F20" s="43" t="n"/>
      <c r="G20" s="43" t="n"/>
      <c r="H20" s="43" t="n"/>
      <c r="I20" s="43" t="n"/>
      <c r="J20" s="43" t="n"/>
    </row>
    <row r="21">
      <c r="B21" s="26" t="inlineStr">
        <is>
          <t>Named Range</t>
        </is>
      </c>
      <c r="C21" s="26" t="inlineStr">
        <is>
          <t>Description</t>
        </is>
      </c>
      <c r="D21" s="44" t="n">
        <v>2023</v>
      </c>
      <c r="E21" s="44" t="n">
        <v>2024</v>
      </c>
      <c r="F21" s="44" t="n">
        <v>2025</v>
      </c>
      <c r="G21" s="44" t="n">
        <v>2026</v>
      </c>
      <c r="H21" s="44" t="n">
        <v>2027</v>
      </c>
      <c r="I21" s="44" t="n">
        <v>2028</v>
      </c>
      <c r="J21" s="45" t="inlineStr">
        <is>
          <t>Active Year</t>
        </is>
      </c>
    </row>
    <row r="22">
      <c r="B22" s="27" t="inlineStr">
        <is>
          <t>VP_BI_K1_SCorp_Active</t>
        </is>
      </c>
      <c r="C22" t="inlineStr">
        <is>
          <t>S-Corp K-1 Active</t>
        </is>
      </c>
      <c r="D22" s="12">
        <f>IFERROR(GETPIVOTDATA("Baseline_Amount",Visual_Pivot_BusinessIncome!$B$5,"Treatment_Profile","K1_SCorp_Active","Year",2023),0)</f>
        <v/>
      </c>
      <c r="E22" s="12">
        <f>IFERROR(GETPIVOTDATA("Baseline_Amount",Visual_Pivot_BusinessIncome!$B$5,"Treatment_Profile","K1_SCorp_Active","Year",2024),0)</f>
        <v/>
      </c>
      <c r="F22" s="12">
        <f>IFERROR(GETPIVOTDATA("Baseline_Amount",Visual_Pivot_BusinessIncome!$B$5,"Treatment_Profile","K1_SCorp_Active","Year",2025),0)</f>
        <v/>
      </c>
      <c r="G22" s="12">
        <f>IFERROR(GETPIVOTDATA("Baseline_Amount",Visual_Pivot_BusinessIncome!$B$5,"Treatment_Profile","K1_SCorp_Active","Year",2026),0)</f>
        <v/>
      </c>
      <c r="H22" s="12">
        <f>IFERROR(GETPIVOTDATA("Baseline_Amount",Visual_Pivot_BusinessIncome!$B$5,"Treatment_Profile","K1_SCorp_Active","Year",2027),0)</f>
        <v/>
      </c>
      <c r="I22" s="12">
        <f>IFERROR(GETPIVOTDATA("Baseline_Amount",Visual_Pivot_BusinessIncome!$B$5,"Treatment_Profile","K1_SCorp_Active","Year",2028),0)</f>
        <v/>
      </c>
      <c r="J22" s="46">
        <f>IFERROR(GETPIVOTDATA("Baseline_Amount",Visual_Pivot_BusinessIncome!$B$5,"Treatment_Profile","K1_SCorp_Active","Year",Active_Year),0)</f>
        <v/>
      </c>
    </row>
    <row r="23">
      <c r="B23" s="27" t="inlineStr">
        <is>
          <t>VP_BI_K1_PTP_Passive</t>
        </is>
      </c>
      <c r="C23" t="inlineStr">
        <is>
          <t>PTP K-1 Passive</t>
        </is>
      </c>
      <c r="D23" s="12">
        <f>IFERROR(GETPIVOTDATA("Baseline_Amount",Visual_Pivot_BusinessIncome!$B$5,"Treatment_Profile","K1_PTP_Passive","Year",2023),0)</f>
        <v/>
      </c>
      <c r="E23" s="12">
        <f>IFERROR(GETPIVOTDATA("Baseline_Amount",Visual_Pivot_BusinessIncome!$B$5,"Treatment_Profile","K1_PTP_Passive","Year",2024),0)</f>
        <v/>
      </c>
      <c r="F23" s="12">
        <f>IFERROR(GETPIVOTDATA("Baseline_Amount",Visual_Pivot_BusinessIncome!$B$5,"Treatment_Profile","K1_PTP_Passive","Year",2025),0)</f>
        <v/>
      </c>
      <c r="G23" s="12">
        <f>IFERROR(GETPIVOTDATA("Baseline_Amount",Visual_Pivot_BusinessIncome!$B$5,"Treatment_Profile","K1_PTP_Passive","Year",2026),0)</f>
        <v/>
      </c>
      <c r="H23" s="12">
        <f>IFERROR(GETPIVOTDATA("Baseline_Amount",Visual_Pivot_BusinessIncome!$B$5,"Treatment_Profile","K1_PTP_Passive","Year",2027),0)</f>
        <v/>
      </c>
      <c r="I23" s="12">
        <f>IFERROR(GETPIVOTDATA("Baseline_Amount",Visual_Pivot_BusinessIncome!$B$5,"Treatment_Profile","K1_PTP_Passive","Year",2028),0)</f>
        <v/>
      </c>
      <c r="J23" s="46">
        <f>IFERROR(GETPIVOTDATA("Baseline_Amount",Visual_Pivot_BusinessIncome!$B$5,"Treatment_Profile","K1_PTP_Passive","Year",Active_Year),0)</f>
        <v/>
      </c>
    </row>
    <row r="24">
      <c r="B24" s="27" t="inlineStr">
        <is>
          <t>VP_BI_SchE_Rental</t>
        </is>
      </c>
      <c r="C24" t="inlineStr">
        <is>
          <t>Sch E Rental</t>
        </is>
      </c>
      <c r="D24" s="12">
        <f>IFERROR(GETPIVOTDATA("Baseline_Amount",Visual_Pivot_BusinessIncome!$B$5,"Treatment_Profile","SchE_Rental","Year",2023),0)</f>
        <v/>
      </c>
      <c r="E24" s="12">
        <f>IFERROR(GETPIVOTDATA("Baseline_Amount",Visual_Pivot_BusinessIncome!$B$5,"Treatment_Profile","SchE_Rental","Year",2024),0)</f>
        <v/>
      </c>
      <c r="F24" s="12">
        <f>IFERROR(GETPIVOTDATA("Baseline_Amount",Visual_Pivot_BusinessIncome!$B$5,"Treatment_Profile","SchE_Rental","Year",2025),0)</f>
        <v/>
      </c>
      <c r="G24" s="12">
        <f>IFERROR(GETPIVOTDATA("Baseline_Amount",Visual_Pivot_BusinessIncome!$B$5,"Treatment_Profile","SchE_Rental","Year",2026),0)</f>
        <v/>
      </c>
      <c r="H24" s="12">
        <f>IFERROR(GETPIVOTDATA("Baseline_Amount",Visual_Pivot_BusinessIncome!$B$5,"Treatment_Profile","SchE_Rental","Year",2027),0)</f>
        <v/>
      </c>
      <c r="I24" s="12">
        <f>IFERROR(GETPIVOTDATA("Baseline_Amount",Visual_Pivot_BusinessIncome!$B$5,"Treatment_Profile","SchE_Rental","Year",2028),0)</f>
        <v/>
      </c>
      <c r="J24" s="46">
        <f>IFERROR(GETPIVOTDATA("Baseline_Amount",Visual_Pivot_BusinessIncome!$B$5,"Treatment_Profile","SchE_Rental","Year",Active_Year),0)</f>
        <v/>
      </c>
    </row>
    <row r="25">
      <c r="B25" s="27" t="inlineStr">
        <is>
          <t>VP_BI_Total</t>
        </is>
      </c>
      <c r="C25" t="inlineStr">
        <is>
          <t>Business Total</t>
        </is>
      </c>
      <c r="D25" s="12">
        <f>IFERROR(GETPIVOTDATA("Baseline_Amount",Visual_Pivot_BusinessIncome!$B$5,"Year",2023),0)</f>
        <v/>
      </c>
      <c r="E25" s="12">
        <f>IFERROR(GETPIVOTDATA("Baseline_Amount",Visual_Pivot_BusinessIncome!$B$5,"Year",2024),0)</f>
        <v/>
      </c>
      <c r="F25" s="12">
        <f>IFERROR(GETPIVOTDATA("Baseline_Amount",Visual_Pivot_BusinessIncome!$B$5,"Year",2025),0)</f>
        <v/>
      </c>
      <c r="G25" s="12">
        <f>IFERROR(GETPIVOTDATA("Baseline_Amount",Visual_Pivot_BusinessIncome!$B$5,"Year",2026),0)</f>
        <v/>
      </c>
      <c r="H25" s="12">
        <f>IFERROR(GETPIVOTDATA("Baseline_Amount",Visual_Pivot_BusinessIncome!$B$5,"Year",2027),0)</f>
        <v/>
      </c>
      <c r="I25" s="12">
        <f>IFERROR(GETPIVOTDATA("Baseline_Amount",Visual_Pivot_BusinessIncome!$B$5,"Year",2028),0)</f>
        <v/>
      </c>
      <c r="J25" s="46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Y2023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 tblMaster_Inputs[Year], 2023, tblMaster_Inputs[Primary_Line], $H6, tblMaster_Inputs[Activity_Type], "Baseline")</f>
        <v/>
      </c>
      <c r="K6" s="55" t="n"/>
      <c r="L6" s="4" t="n"/>
      <c r="M6" s="12">
        <f>SUMIFS(tblY2023_Strategies[Amount],tblY2023_Strategies[TargetLine],$H6)-SUMIFS(tblY2023_Strategies[Amount],tblY2023_Strategies[CounterLine],$H6)</f>
        <v/>
      </c>
      <c r="N6" s="12">
        <f>IF(UPPER(K6)="Y",SUMIFS(tblMaster_Inputs[Baseline_Amount],tblMaster_Inputs[Year],2022,tblMaster_Inputs[Primary_Line],"1z"),IF(ISBLANK(L6),J6,L6))</f>
        <v/>
      </c>
      <c r="O6" s="12">
        <f>N6+M6</f>
        <v/>
      </c>
      <c r="P6" s="8">
        <f>HYPERLINK("#Y2023!I49", 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 (informational — Helper)</t>
        </is>
      </c>
      <c r="J7" s="12">
        <f>SUMIFS(tblMaster_Inputs[Helper_Amount], tblMaster_Inputs[Year], 2023, tblMaster_Inputs[Helper_Treatment], "TAX_EXEMPT")</f>
        <v/>
      </c>
      <c r="K7" s="55" t="n"/>
      <c r="L7" s="4" t="n"/>
      <c r="M7">
        <f>SUMIFS(tblY2023_Strategies[Amount],tblY2023_Strategies[TargetLine],"2a",tblY2023_Strategies[Status],"Committed")</f>
        <v/>
      </c>
      <c r="N7" s="12">
        <f>IF(UPPER(K7)="Y",SUMIFS(tblMaster_Inputs[Helper_Amount],tblMaster_Inputs[Year],2022,tblMaster_Inputs[Helper_Treatment],"TAX_EXEMPT"),IF(ISBLANK(L7),J7,L7))</f>
        <v/>
      </c>
      <c r="O7" s="12">
        <f>N7</f>
        <v/>
      </c>
      <c r="P7" s="8">
        <f>HYPERLINK("#Y2023!I49", 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 tblMaster_Inputs[Year], 2023, tblMaster_Inputs[Primary_Line], $H8, tblMaster_Inputs[Activity_Type], "Baseline")</f>
        <v/>
      </c>
      <c r="K8" s="55" t="n"/>
      <c r="L8" s="4" t="n"/>
      <c r="M8" s="12">
        <f>SUMIFS(tblY2023_Strategies[Amount],tblY2023_Strategies[TargetLine],$H8)-SUMIFS(tblY2023_Strategies[Amount],tblY2023_Strategies[CounterLine],$H8)</f>
        <v/>
      </c>
      <c r="N8" s="12">
        <f>IF(UPPER(K8)="Y",SUMIFS(tblMaster_Inputs[Baseline_Amount],tblMaster_Inputs[Year],2022,tblMaster_Inputs[Primary_Line],"2b"),IF(ISBLANK(L8),J8,L8))</f>
        <v/>
      </c>
      <c r="O8" s="12">
        <f>N8+M8</f>
        <v/>
      </c>
      <c r="P8" s="8">
        <f>HYPERLINK("#Y2023!I49", 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 (informational — Helper)</t>
        </is>
      </c>
      <c r="J9" s="12">
        <f>SUMIFS(tblMaster_Inputs[Helper_Amount], tblMaster_Inputs[Year], 2023, tblMaster_Inputs[Helper_Treatment], "QUAL_DIV")</f>
        <v/>
      </c>
      <c r="K9" s="55" t="n"/>
      <c r="L9" s="4" t="n"/>
      <c r="M9">
        <f>SUMIFS(tblY2023_Strategies[Amount],tblY2023_Strategies[TargetLine],"3a",tblY2023_Strategies[Status],"Committed")</f>
        <v/>
      </c>
      <c r="N9" s="12">
        <f>IF(UPPER(K9)="Y",SUMIFS(tblMaster_Inputs[Helper_Amount],tblMaster_Inputs[Year],2022,tblMaster_Inputs[Helper_Treatment],"QUAL_DIV"),IF(ISBLANK(L9),J9,L9))</f>
        <v/>
      </c>
      <c r="O9" s="12">
        <f>N9</f>
        <v/>
      </c>
      <c r="P9" s="8">
        <f>HYPERLINK("#Y2023!I49", 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 (total — incl qualified)</t>
        </is>
      </c>
      <c r="J10" s="12">
        <f>SUMIFS(tblMaster_Inputs[Baseline_Amount], tblMaster_Inputs[Year], 2023, tblMaster_Inputs[Primary_Line], $H10, tblMaster_Inputs[Activity_Type], "Baseline")</f>
        <v/>
      </c>
      <c r="K10" s="55" t="n"/>
      <c r="L10" s="4" t="n"/>
      <c r="M10" s="12">
        <f>SUMIFS(tblY2023_Strategies[Amount],tblY2023_Strategies[TargetLine],$H10)-SUMIFS(tblY2023_Strategies[Amount],tblY2023_Strategies[CounterLine],$H10)</f>
        <v/>
      </c>
      <c r="N10" s="12">
        <f>IF(UPPER(K10)="Y",SUMIFS(tblMaster_Inputs[Baseline_Amount],tblMaster_Inputs[Year],2022,tblMaster_Inputs[Primary_Line],"3b"),IF(ISBLANK(L10),J10,L10))</f>
        <v/>
      </c>
      <c r="O10" s="12">
        <f>N10+M10</f>
        <v/>
      </c>
      <c r="P10" s="8">
        <f>HYPERLINK("#Y2023!I49", 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 or (loss)</t>
        </is>
      </c>
      <c r="J11" s="12">
        <f>SUMIFS(tblMaster_Inputs[Baseline_Amount], tblMaster_Inputs[Year], 2023, tblMaster_Inputs[Primary_Line], $H11, tblMaster_Inputs[Activity_Type], "Baseline")</f>
        <v/>
      </c>
      <c r="K11" s="55" t="n"/>
      <c r="L11" s="4" t="n"/>
      <c r="M11" s="12">
        <f>SUMIFS(tblY2023_Strategies[Amount],tblY2023_Strategies[TargetLine],$H11)-SUMIFS(tblY2023_Strategies[Amount],tblY2023_Strategies[CounterLine],$H11)</f>
        <v/>
      </c>
      <c r="N11" s="12">
        <f>IF(UPPER(K11)="Y",SUMIFS(tblMaster_Inputs[Baseline_Amount],tblMaster_Inputs[Year],2022,tblMaster_Inputs[Primary_Line],"7"),IF(ISBLANK(L11),J11,L11))</f>
        <v/>
      </c>
      <c r="O11" s="12">
        <f>N11+M11</f>
        <v/>
      </c>
      <c r="P11" s="8">
        <f>HYPERLINK("#Y2023!I49", 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(incl business income via Sch 1)</t>
        </is>
      </c>
      <c r="J12" s="12">
        <f>SUMIFS(tblMaster_Inputs[Baseline_Amount], tblMaster_Inputs[Year], 2023, tblMaster_Inputs[Primary_Line], $H12, tblMaster_Inputs[Activity_Type], "Baseline")</f>
        <v/>
      </c>
      <c r="K12" s="55" t="n"/>
      <c r="L12" s="4" t="n"/>
      <c r="M12" s="12">
        <f>SUMIFS(tblY2023_Strategies[Amount],tblY2023_Strategies[TargetLine],$H12)-SUMIFS(tblY2023_Strategies[Amount],tblY2023_Strategies[CounterLine],$H12)</f>
        <v/>
      </c>
      <c r="N12" s="12">
        <f>IF(UPPER(K12)="Y",SUMIFS(tblMaster_Inputs[Baseline_Amount],tblMaster_Inputs[Year],2022,tblMaster_Inputs[Primary_Line],"8"),IF(ISBLANK(L12),J12,L12))</f>
        <v/>
      </c>
      <c r="O12" s="12">
        <f>N12+M12</f>
        <v/>
      </c>
      <c r="P12" s="8">
        <f>HYPERLINK("#Y2023!I49", 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HYPERLINK("#Y2023!I49", 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 to income</t>
        </is>
      </c>
      <c r="J14" s="12">
        <f>SUMIFS(tblMaster_Inputs[Baseline_Amount], tblMaster_Inputs[Year], 2023, tblMaster_Inputs[Primary_Line], $H14, tblMaster_Inputs[Activity_Type], "Baseline")</f>
        <v/>
      </c>
      <c r="K14" s="55" t="n"/>
      <c r="L14" s="4" t="n"/>
      <c r="M14" s="12">
        <f>SUMIFS(tblY2023_Strategies[Amount],tblY2023_Strategies[TargetLine],$H14)-SUMIFS(tblY2023_Strategies[Amount],tblY2023_Strategies[CounterLine],$H14)</f>
        <v/>
      </c>
      <c r="N14" s="12">
        <f>IF(UPPER(K14)="Y",SUMIFS(tblMaster_Inputs[Baseline_Amount],tblMaster_Inputs[Year],2022,tblMaster_Inputs[Primary_Line],"10"),IF(ISBLANK(L14),J14,L14))</f>
        <v/>
      </c>
      <c r="O14" s="12">
        <f>N14+M14</f>
        <v/>
      </c>
      <c r="P14" s="8">
        <f>HYPERLINK("#Y2023!I49", 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HYPERLINK("#Y2023!I49", 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deduction</t>
        </is>
      </c>
      <c r="J16" s="12">
        <f>SUMIFS(tblMaster_Inputs[Baseline_Amount], tblMaster_Inputs[Year], 2023, tblMaster_Inputs[Primary_Line], $H16, tblMaster_Inputs[Activity_Type], "Baseline")</f>
        <v/>
      </c>
      <c r="K16" s="55" t="n"/>
      <c r="L16" s="4" t="n"/>
      <c r="M16" s="12">
        <f>SUMIFS(tblY2023_Strategies[Amount],tblY2023_Strategies[TargetLine],$H16)-SUMIFS(tblY2023_Strategies[Amount],tblY2023_Strategies[CounterLine],$H16)</f>
        <v/>
      </c>
      <c r="N16" s="12">
        <f>IF(UPPER(K16)="Y",SUMIFS(tblMaster_Inputs[Baseline_Amount],tblMaster_Inputs[Year],2022,tblMaster_Inputs[Primary_Line],"12"),IF(ISBLANK(L16),J16,L16))</f>
        <v/>
      </c>
      <c r="O16" s="12">
        <f>N16+M16</f>
        <v/>
      </c>
      <c r="P16" s="8">
        <f>HYPERLINK("#Y2023!I49", 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 tblMaster_Inputs[Year], 2023, tblMaster_Inputs[Primary_Line], $H17, tblMaster_Inputs[Activity_Type], "Baseline")</f>
        <v/>
      </c>
      <c r="K17" s="55" t="n"/>
      <c r="L17" s="4" t="n"/>
      <c r="M17" s="12">
        <f>SUMIFS(tblY2023_Strategies[Amount],tblY2023_Strategies[TargetLine],$H17)-SUMIFS(tblY2023_Strategies[Amount],tblY2023_Strategies[CounterLine],$H17)</f>
        <v/>
      </c>
      <c r="N17" s="12">
        <f>IF(UPPER(K17)="Y",SUMIFS(tblMaster_Inputs[Baseline_Amount],tblMaster_Inputs[Year],2022,tblMaster_Inputs[Primary_Line],"13"),IF(ISBLANK(L17),J17,L17))</f>
        <v/>
      </c>
      <c r="O17" s="12">
        <f>N17+M17</f>
        <v/>
      </c>
      <c r="P17" s="8">
        <f>HYPERLINK("#Y2023!I49", 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HYPERLINK("#Y2023!I49", 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 wages</t>
        </is>
      </c>
      <c r="I23" s="12">
        <f>SUMIFS(tblMaster_Inputs[Baseline_Amount], tblMaster_Inputs[Year], 2023, tblMaster_Inputs[Treatment_Profile], "W2_SCorpOwner", tblMaster_Inputs[Activity_Type], "Baseline")</f>
        <v/>
      </c>
      <c r="J23" s="12">
        <f>I23+SUMIFS(tblY2023_Strategies[Amount],tblY2023_Strategies[TargetLine],"1z")-SUMIFS(tblY2023_Strategies[Amount],tblY2023_Strategies[CounterLine],"1z")</f>
        <v/>
      </c>
      <c r="K23" s="2" t="inlineStr">
        <is>
          <t>FICA/Employee</t>
        </is>
      </c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 wages</t>
        </is>
      </c>
      <c r="I24" s="12">
        <f>SUMIFS(tblMaster_Inputs[Baseline_Amount], tblMaster_Inputs[Year], 2023, tblMaster_Inputs[Treatment_Profile], "W2_Employee", tblMaster_Inputs[Activity_Type], "Baseline")</f>
        <v/>
      </c>
      <c r="J24" s="12">
        <f>I24</f>
        <v/>
      </c>
      <c r="K24" s="2" t="inlineStr">
        <is>
          <t>SE Tax sharing</t>
        </is>
      </c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 wages</t>
        </is>
      </c>
      <c r="I25" s="12">
        <f>I23+I24</f>
        <v/>
      </c>
      <c r="J25" s="12">
        <f>J23+J24</f>
        <v/>
      </c>
      <c r="K25" s="2" t="inlineStr">
        <is>
          <t>SE Tax sharing</t>
        </is>
      </c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Business income subject to SE</t>
        </is>
      </c>
      <c r="I26" s="12">
        <f>SUMIFS(tblMaster_Inputs[Baseline_Amount], tblMaster_Inputs[Year], 2023, tblMaster_Inputs[Bucket], "Business Income", tblMaster_Inputs[SE_Subject], "Yes", tblMaster_Inputs[Activity_Type], "Baseline")</f>
        <v/>
      </c>
      <c r="J26" s="12">
        <f>I26</f>
        <v/>
      </c>
      <c r="K26" s="2" t="inlineStr">
        <is>
          <t>SE Tax base</t>
        </is>
      </c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business income NOT SE</t>
        </is>
      </c>
      <c r="I27" s="12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J27" s="12">
        <f>I27+SUMIFS(tblY2023_Strategies[Amount],tblY2023_Strategies[TargetLine],"8")-SUMIFS(tblY2023_Strategies[Amount],tblY2023_Strategies[CounterLine],"8")</f>
        <v/>
      </c>
      <c r="K27" s="2" t="inlineStr">
        <is>
          <t>NIIT/QBI</t>
        </is>
      </c>
    </row>
    <row r="28" ht="14.5" customHeight="1" s="19">
      <c r="A28" t="inlineStr">
        <is>
          <t>Committed Strategies</t>
        </is>
      </c>
      <c r="B28" s="98">
        <f>COUNTIF(tblY2023_Strategies[Status],"Committed")</f>
        <v/>
      </c>
      <c r="C28" s="98" t="inlineStr">
        <is>
          <t>Net Strategy Impact</t>
        </is>
      </c>
      <c r="D28" s="95">
        <f>SUMIF(tblY2023_Strategies[Status],"Committed",tblY2023_Strategies[Amount])</f>
        <v/>
      </c>
      <c r="E28" s="98" t="n"/>
      <c r="H28" t="inlineStr">
        <is>
          <t>Passive business income/loss</t>
        </is>
      </c>
      <c r="I28" s="12">
        <f>SUMIFS(tblMaster_Inputs[Baseline_Amount], tblMaster_Inputs[Year], 2023, tblMaster_Inputs[Bucket], "Business Income", tblMaster_Inputs[NIIT_Class], "Passive", tblMaster_Inputs[Activity_Type], "Baseline")</f>
        <v/>
      </c>
      <c r="J28" s="12">
        <f>I28</f>
        <v/>
      </c>
      <c r="K28" s="2" t="inlineStr">
        <is>
          <t>Passive Loss/NIIT</t>
        </is>
      </c>
    </row>
    <row r="29" ht="14.5" customHeight="1" s="19">
      <c r="H29" t="inlineStr">
        <is>
          <t>Tax-exempt interest</t>
        </is>
      </c>
      <c r="I29" s="12">
        <f>SUMIFS(tblMaster_Inputs[Helper_Amount], tblMaster_Inputs[Year], 2023, tblMaster_Inputs[Helper_Treatment], "TAX_EXEMPT")</f>
        <v/>
      </c>
      <c r="J29" s="12">
        <f>I29+SUMIFS(tblY2023_Strategies[Amount],tblY2023_Strategies[TargetLine],"2a")-SUMIFS(tblY2023_Strategies[Amount],tblY2023_Strategies[CounterLine],"2a")</f>
        <v/>
      </c>
      <c r="K29" s="2" t="inlineStr">
        <is>
          <t>MAGI</t>
        </is>
      </c>
    </row>
    <row r="30" ht="14.5" customHeight="1" s="19">
      <c r="H30" t="inlineStr">
        <is>
          <t>Qualified dividends carve-out</t>
        </is>
      </c>
      <c r="I30" s="12">
        <f>SUMIFS(tblMaster_Inputs[Helper_Amount], tblMaster_Inputs[Year], 2023, tblMaster_Inputs[Helper_Treatment], "QUAL_DIV", tblMaster_Inputs[Activity_Type], "Baseline")</f>
        <v/>
      </c>
      <c r="J30" s="12">
        <f>I30</f>
        <v/>
      </c>
      <c r="K30" s="2" t="inlineStr">
        <is>
          <t>LTCG stacking</t>
        </is>
      </c>
    </row>
    <row r="31" ht="14.5" customHeight="1" s="19">
      <c r="H31" t="inlineStr">
        <is>
          <t>Long-term capital gains</t>
        </is>
      </c>
      <c r="I31" s="12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J31" s="12">
        <f>I31+SUMIFS(tblY2023_Strategies[Amount],tblY2023_Strategies[TargetLine],"7")-SUMIFS(tblY2023_Strategies[Amount],tblY2023_Strategies[CounterLine],"7")</f>
        <v/>
      </c>
      <c r="K31" s="2" t="inlineStr">
        <is>
          <t>Cap Gains Tax</t>
        </is>
      </c>
    </row>
    <row r="32" ht="14.5" customHeight="1" s="19">
      <c r="H32" t="inlineStr">
        <is>
          <t>Short-term capital gains</t>
        </is>
      </c>
      <c r="I32" s="12">
        <f>SUMIFS(tblMaster_Inputs[Baseline_Amount], tblMaster_Inputs[Year], 2023, tblMaster_Inputs[Treatment_Profile], "STCG_Stock", tblMaster_Inputs[Activity_Type], "Baseline")</f>
        <v/>
      </c>
      <c r="J32" s="12">
        <f>I32</f>
        <v/>
      </c>
      <c r="K32" s="2" t="inlineStr">
        <is>
          <t>Ordinary Tax</t>
        </is>
      </c>
    </row>
    <row r="33" ht="14.5" customHeight="1" s="19">
      <c r="H33" t="inlineStr">
        <is>
          <t>§1250 unrecaptured gain</t>
        </is>
      </c>
      <c r="I33" s="12">
        <f>SUMIFS(tblMaster_Inputs[Helper_Amount], tblMaster_Inputs[Year], 2023, tblMaster_Inputs[Helper_Treatment], "SEC1250", tblMaster_Inputs[Activity_Type], "Baseline")</f>
        <v/>
      </c>
      <c r="J33" s="12">
        <f>I33</f>
        <v/>
      </c>
      <c r="K33" s="2" t="inlineStr">
        <is>
          <t>1250 Tax</t>
        </is>
      </c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 - LTCG - QUAL_DIV - SEC1250</t>
        </is>
      </c>
      <c r="I37" s="12">
        <f>J18-I31-I30-I33</f>
        <v/>
      </c>
      <c r="J37" s="12">
        <f>O18-J31-J30-J33</f>
        <v/>
      </c>
      <c r="K37" s="2" t="inlineStr">
        <is>
          <t>Ordinary Tax</t>
        </is>
      </c>
    </row>
    <row r="38" ht="14.5" customHeight="1" s="19">
      <c r="H38" t="inlineStr">
        <is>
          <t>AGI + tax-exempt interest</t>
        </is>
      </c>
      <c r="I38" s="12">
        <f>J15+I29</f>
        <v/>
      </c>
      <c r="J38" s="12">
        <f>O15+J29</f>
        <v/>
      </c>
      <c r="K38" s="2" t="inlineStr">
        <is>
          <t>NIIT</t>
        </is>
      </c>
    </row>
    <row r="39" ht="14.5" customHeight="1" s="19">
      <c r="H39" t="inlineStr">
        <is>
          <t>Net investment income</t>
        </is>
      </c>
      <c r="I39" s="12">
        <f>J8+J10+J11+I28</f>
        <v/>
      </c>
      <c r="J39" s="12">
        <f>O8+O10+O11+J28</f>
        <v/>
      </c>
      <c r="K39" s="2" t="inlineStr">
        <is>
          <t>NIIT</t>
        </is>
      </c>
    </row>
    <row r="40" ht="14.5" customHeight="1" s="19">
      <c r="H40" t="inlineStr">
        <is>
          <t>QBI-eligible business income</t>
        </is>
      </c>
      <c r="I40" s="12">
        <f>I26+I27</f>
        <v/>
      </c>
      <c r="J40" s="12">
        <f>J26+J27</f>
        <v/>
      </c>
      <c r="K40" s="2" t="inlineStr">
        <is>
          <t>QBI</t>
        </is>
      </c>
    </row>
    <row r="41" ht="14.5" customHeight="1" s="19">
      <c r="H41" t="inlineStr">
        <is>
          <t>TI before QBI deduction</t>
        </is>
      </c>
      <c r="I41" s="12">
        <f>J15+J16</f>
        <v/>
      </c>
      <c r="J41" s="12">
        <f>O15+O16</f>
        <v/>
      </c>
      <c r="K41" s="2" t="inlineStr">
        <is>
          <t>QBI cap</t>
        </is>
      </c>
    </row>
    <row r="42" ht="14.5" customHeight="1" s="19">
      <c r="H42" t="inlineStr">
        <is>
          <t>Net business loss</t>
        </is>
      </c>
      <c r="I42" s="12">
        <f>MIN(0,I26+I27+I28)</f>
        <v/>
      </c>
      <c r="J42" s="12">
        <f>MIN(0,J26+J27+J28)</f>
        <v/>
      </c>
      <c r="K42" s="2" t="inlineStr">
        <is>
          <t>EBL</t>
        </is>
      </c>
    </row>
    <row r="43" ht="14.5" customHeight="1" s="19">
      <c r="H43" t="inlineStr">
        <is>
          <t>Net SE income</t>
        </is>
      </c>
      <c r="I43" s="12">
        <f>I26</f>
        <v/>
      </c>
      <c r="J43" s="12">
        <f>J26</f>
        <v/>
      </c>
      <c r="K43" s="2" t="inlineStr">
        <is>
          <t>SE Tax</t>
        </is>
      </c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 "✏ open Master_Inputs to edit")</f>
        <v/>
      </c>
    </row>
    <row r="50" ht="14.5" customHeight="1" s="19"/>
    <row r="51" ht="29" customHeight="1" s="19">
      <c r="H51" s="3" t="inlineStr">
        <is>
          <t>Bucket</t>
        </is>
      </c>
      <c r="I51" s="3" t="inlineStr">
        <is>
          <t>Treatment_Profile</t>
        </is>
      </c>
      <c r="J51" s="3" t="n"/>
      <c r="K51" s="3" t="inlineStr">
        <is>
          <t>Payor</t>
        </is>
      </c>
      <c r="L51" s="3" t="inlineStr">
        <is>
          <t>Baseline_Amount</t>
        </is>
      </c>
      <c r="M51" s="3" t="inlineStr">
        <is>
          <t>Helper_Amount</t>
        </is>
      </c>
      <c r="N51" s="3" t="inlineStr">
        <is>
          <t>Notes</t>
        </is>
      </c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2023, tblThresholds[FilingStatus], Filing_Status, tblThresholds[Item], "SE_Earnings_Factor")</f>
        <v/>
      </c>
      <c r="J71" s="20">
        <f>J70*SUMIFS(tblThresholds[Value], tblThresholds[Year], 2023,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2023, tblThresholds[FilingStatus], Filing_Status, tblThresholds[Item], "SS_Wage_Base")-I72)</f>
        <v/>
      </c>
      <c r="J73" s="12">
        <f>MAX(0,SUMIFS(tblThresholds[Value], tblThresholds[Year], 2023,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2023, tblThresholds[FilingStatus], Filing_Status, tblThresholds[Item], "SS_Rate_Combined")</f>
        <v/>
      </c>
      <c r="J75" s="12">
        <f>J74*SUMIFS(tblThresholds[Value], tblThresholds[Year], 2023,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2023, tblThresholds[FilingStatus], Filing_Status, tblThresholds[Item], "Medicare_Rate_Combined")</f>
        <v/>
      </c>
      <c r="J76" s="52">
        <f>J71*SUMIFS(tblThresholds[Value], tblThresholds[Year], 2023,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J77" s="12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2023, tblThresholds[FilingStatus], Filing_Status, tblThresholds[Item], "SS_Wage_Base"))*0.062</f>
        <v/>
      </c>
      <c r="J84" s="12">
        <f>MIN(J83,SUMIFS(tblThresholds[Value], tblThresholds[Year], 2023,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J86" s="12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2023)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2023)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SUMPRODUCT((Tax_Ref!$B$210:$B$281=2023)*(Tax_Ref!$C$210:$C$281=Filing_Status)*((I102&gt;Tax_Ref!$E$210:$E$281)*(Tax_Ref!$E$210:$E$281-Tax_Ref!$D$210:$D$281)+(I102&gt;Tax_Ref!$D$210:$D$281)*(I102&lt;=Tax_Ref!$E$210:$E$281)*(I102-Tax_Ref!$D$210:$D$281))*Tax_Ref!$F$210:$F$281)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2023, tblThresholds[FilingStatus], Filing_Status, tblThresholds[Item], "NIIT_Threshold")</f>
        <v/>
      </c>
      <c r="J111" s="12">
        <f>SUMIFS(tblThresholds[Value], tblThresholds[Year], 2023,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2023, tblThresholds[FilingStatus], Filing_Status, tblThresholds[Item], "NIIT_Rate")</f>
        <v/>
      </c>
      <c r="J114" s="20">
        <f>MIN(J112,J113)*SUMIFS(tblThresholds[Value], tblThresholds[Year], 2023,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2023, tblThresholds[FilingStatus], Filing_Status, tblThresholds[Item], "QBI_Threshold_Start"),"YES","NO")</f>
        <v/>
      </c>
      <c r="J121" s="12">
        <f>IF(J41&gt;SUMIFS(tblThresholds[Value], tblThresholds[Year], 2023,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2023, tblThresholds[FilingStatus], Filing_Status, tblThresholds[Item], "QBI_Threshold_End")),0,IF(I41&lt;=SUMIFS(tblThresholds[Value], tblThresholds[Year], 2023, tblThresholds[FilingStatus], Filing_Status, tblThresholds[Item], "QBI_Threshold_Start"),MIN(I118,I119),MIN(I118,I119,I120)))</f>
        <v/>
      </c>
      <c r="J122" s="20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Y2024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SUMIFS(tblMaster_Inputs[Baseline_Amount],tblMaster_Inputs[Year],2024,tblMaster_Inputs[Primary_Line],$H6, tblMaster_Inputs[Activity_Type], "Baseline")</f>
        <v/>
      </c>
      <c r="K6" s="55" t="n"/>
      <c r="L6" s="4" t="n"/>
      <c r="M6" s="12">
        <f>SUMIFS(tblY2024_Strategies[Amount],tblY2024_Strategies[TargetLine],$H6)-SUMIFS(tblY2024_Strategies[Amount],tblY2024_Strategies[CounterLine],$H6)</f>
        <v/>
      </c>
      <c r="N6" s="12">
        <f>IF(UPPER(K6)="Y",SUMIFS(tblMaster_Inputs[Baseline_Amount],tblMaster_Inputs[Year],2023,tblMaster_Inputs[Primary_Line],"1z"),IF(ISBLANK(L6),J6,L6))</f>
        <v/>
      </c>
      <c r="O6" s="12">
        <f>N6+M6</f>
        <v/>
      </c>
      <c r="P6" s="8">
        <f>HYPERLINK("#Y2024!I49", 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 (Helper)</t>
        </is>
      </c>
      <c r="J7" s="12">
        <f>SUMIFS(tblMaster_Inputs[Helper_Amount],tblMaster_Inputs[Year],2024,tblMaster_Inputs[Helper_Treatment],"TAX_EXEMPT")</f>
        <v/>
      </c>
      <c r="K7" s="55" t="n"/>
      <c r="L7" s="4" t="n"/>
      <c r="M7">
        <f>SUMIFS(tblY2024_Strategies[Amount],tblY2024_Strategies[TargetLine],"2a",tblY2024_Strategies[Status],"Committed")</f>
        <v/>
      </c>
      <c r="N7" s="12">
        <f>IF(UPPER(K7)="Y",SUMIFS(tblMaster_Inputs[Helper_Amount],tblMaster_Inputs[Year],2023,tblMaster_Inputs[Helper_Treatment],"TAX_EXEMPT"),IF(ISBLANK(L7),J7,L7))</f>
        <v/>
      </c>
      <c r="O7" s="12">
        <f>N7</f>
        <v/>
      </c>
      <c r="P7" s="8">
        <f>HYPERLINK("#Y2024!I49", 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SUMIFS(tblMaster_Inputs[Baseline_Amount],tblMaster_Inputs[Year],2024,tblMaster_Inputs[Primary_Line],$H8, tblMaster_Inputs[Activity_Type], "Baseline")</f>
        <v/>
      </c>
      <c r="K8" s="55" t="n"/>
      <c r="L8" s="4" t="n"/>
      <c r="M8" s="12">
        <f>SUMIFS(tblY2024_Strategies[Amount],tblY2024_Strategies[TargetLine],$H8)-SUMIFS(tblY2024_Strategies[Amount],tblY2024_Strategies[CounterLine],$H8)</f>
        <v/>
      </c>
      <c r="N8" s="12">
        <f>IF(UPPER(K8)="Y",SUMIFS(tblMaster_Inputs[Baseline_Amount],tblMaster_Inputs[Year],2023,tblMaster_Inputs[Primary_Line],"2b"),IF(ISBLANK(L8),J8,L8))</f>
        <v/>
      </c>
      <c r="O8" s="12">
        <f>N8+M8</f>
        <v/>
      </c>
      <c r="P8" s="8">
        <f>HYPERLINK("#Y2024!I49", 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 (Helper)</t>
        </is>
      </c>
      <c r="J9" s="12">
        <f>SUMIFS(tblMaster_Inputs[Helper_Amount],tblMaster_Inputs[Year],2024,tblMaster_Inputs[Helper_Treatment],"QUAL_DIV")</f>
        <v/>
      </c>
      <c r="K9" s="55" t="n"/>
      <c r="L9" s="4" t="n"/>
      <c r="M9">
        <f>SUMIFS(tblY2024_Strategies[Amount],tblY2024_Strategies[TargetLine],"3a",tblY2024_Strategies[Status],"Committed")</f>
        <v/>
      </c>
      <c r="N9" s="12">
        <f>IF(UPPER(K9)="Y",SUMIFS(tblMaster_Inputs[Helper_Amount],tblMaster_Inputs[Year],2023,tblMaster_Inputs[Helper_Treatment],"QUAL_DIV"),IF(ISBLANK(L9),J9,L9))</f>
        <v/>
      </c>
      <c r="O9" s="12">
        <f>N9</f>
        <v/>
      </c>
      <c r="P9" s="8">
        <f>HYPERLINK("#Y2024!I49", 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SUMIFS(tblMaster_Inputs[Baseline_Amount],tblMaster_Inputs[Year],2024,tblMaster_Inputs[Primary_Line],$H10, tblMaster_Inputs[Activity_Type], "Baseline")</f>
        <v/>
      </c>
      <c r="K10" s="55" t="n"/>
      <c r="L10" s="4" t="n"/>
      <c r="M10" s="12">
        <f>SUMIFS(tblY2024_Strategies[Amount],tblY2024_Strategies[TargetLine],$H10)-SUMIFS(tblY2024_Strategies[Amount],tblY2024_Strategies[CounterLine],$H10)</f>
        <v/>
      </c>
      <c r="N10" s="12">
        <f>IF(UPPER(K10)="Y",SUMIFS(tblMaster_Inputs[Baseline_Amount],tblMaster_Inputs[Year],2023,tblMaster_Inputs[Primary_Line],"3b"),IF(ISBLANK(L10),J10,L10))</f>
        <v/>
      </c>
      <c r="O10" s="12">
        <f>N10+M10</f>
        <v/>
      </c>
      <c r="P10" s="8">
        <f>HYPERLINK("#Y2024!I49", 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 or (loss)</t>
        </is>
      </c>
      <c r="J11" s="12">
        <f>SUMIFS(tblMaster_Inputs[Baseline_Amount],tblMaster_Inputs[Year],2024,tblMaster_Inputs[Primary_Line],$H11, tblMaster_Inputs[Activity_Type], "Baseline")</f>
        <v/>
      </c>
      <c r="K11" s="55" t="n"/>
      <c r="L11" s="4" t="n"/>
      <c r="M11" s="12">
        <f>SUMIFS(tblY2024_Strategies[Amount],tblY2024_Strategies[TargetLine],$H11)-SUMIFS(tblY2024_Strategies[Amount],tblY2024_Strategies[CounterLine],$H11)</f>
        <v/>
      </c>
      <c r="N11" s="12">
        <f>IF(UPPER(K11)="Y",SUMIFS(tblMaster_Inputs[Baseline_Amount],tblMaster_Inputs[Year],2023,tblMaster_Inputs[Primary_Line],"7"),IF(ISBLANK(L11),J11,L11))</f>
        <v/>
      </c>
      <c r="O11" s="12">
        <f>N11+M11</f>
        <v/>
      </c>
      <c r="P11" s="8">
        <f>HYPERLINK("#Y2024!I49", 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 via Sch 1)</t>
        </is>
      </c>
      <c r="J12" s="12">
        <f>SUMIFS(tblMaster_Inputs[Baseline_Amount],tblMaster_Inputs[Year],2024,tblMaster_Inputs[Primary_Line],$H12, tblMaster_Inputs[Activity_Type], "Baseline")</f>
        <v/>
      </c>
      <c r="K12" s="55" t="n"/>
      <c r="L12" s="4" t="n"/>
      <c r="M12" s="12">
        <f>SUMIFS(tblY2024_Strategies[Amount],tblY2024_Strategies[TargetLine],$H12)-SUMIFS(tblY2024_Strategies[Amount],tblY2024_Strategies[CounterLine],$H12)</f>
        <v/>
      </c>
      <c r="N12" s="12">
        <f>IF(UPPER(K12)="Y",SUMIFS(tblMaster_Inputs[Baseline_Amount],tblMaster_Inputs[Year],2023,tblMaster_Inputs[Primary_Line],"8"),IF(ISBLANK(L12),J12,L12))</f>
        <v/>
      </c>
      <c r="O12" s="12">
        <f>N12+M12</f>
        <v/>
      </c>
      <c r="P12" s="8">
        <f>HYPERLINK("#Y2024!I49", 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HYPERLINK("#Y2024!I49", 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 to income</t>
        </is>
      </c>
      <c r="J14" s="12">
        <f>SUMIFS(tblMaster_Inputs[Baseline_Amount],tblMaster_Inputs[Year],2024,tblMaster_Inputs[Primary_Line],$H14, tblMaster_Inputs[Activity_Type], "Baseline")</f>
        <v/>
      </c>
      <c r="K14" s="55" t="n"/>
      <c r="L14" s="4" t="n"/>
      <c r="M14" s="12">
        <f>SUMIFS(tblY2024_Strategies[Amount],tblY2024_Strategies[TargetLine],$H14)-SUMIFS(tblY2024_Strategies[Amount],tblY2024_Strategies[CounterLine],$H14)</f>
        <v/>
      </c>
      <c r="N14" s="12">
        <f>IF(UPPER(K14)="Y",SUMIFS(tblMaster_Inputs[Baseline_Amount],tblMaster_Inputs[Year],2023,tblMaster_Inputs[Primary_Line],"10"),IF(ISBLANK(L14),J14,L14))</f>
        <v/>
      </c>
      <c r="O14" s="12">
        <f>N14+M14</f>
        <v/>
      </c>
      <c r="P14" s="8">
        <f>HYPERLINK("#Y2024!I49", 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HYPERLINK("#Y2024!I49", 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deduction</t>
        </is>
      </c>
      <c r="J16" s="12">
        <f>SUMIFS(tblMaster_Inputs[Baseline_Amount],tblMaster_Inputs[Year],2024,tblMaster_Inputs[Primary_Line],$H16, tblMaster_Inputs[Activity_Type], "Baseline")</f>
        <v/>
      </c>
      <c r="K16" s="55" t="n"/>
      <c r="L16" s="4" t="n"/>
      <c r="M16" s="12">
        <f>SUMIFS(tblY2024_Strategies[Amount],tblY2024_Strategies[TargetLine],$H16)-SUMIFS(tblY2024_Strategies[Amount],tblY2024_Strategies[CounterLine],$H16)</f>
        <v/>
      </c>
      <c r="N16" s="12">
        <f>IF(UPPER(K16)="Y",SUMIFS(tblMaster_Inputs[Baseline_Amount],tblMaster_Inputs[Year],2023,tblMaster_Inputs[Primary_Line],"12"),IF(ISBLANK(L16),J16,L16))</f>
        <v/>
      </c>
      <c r="O16" s="12">
        <f>N16+M16</f>
        <v/>
      </c>
      <c r="P16" s="8">
        <f>HYPERLINK("#Y2024!I49", 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SUMIFS(tblMaster_Inputs[Baseline_Amount],tblMaster_Inputs[Year],2024,tblMaster_Inputs[Primary_Line],$H17, tblMaster_Inputs[Activity_Type], "Baseline")</f>
        <v/>
      </c>
      <c r="K17" s="55" t="n"/>
      <c r="L17" s="4" t="n"/>
      <c r="M17" s="12">
        <f>SUMIFS(tblY2024_Strategies[Amount],tblY2024_Strategies[TargetLine],$H17)-SUMIFS(tblY2024_Strategies[Amount],tblY2024_Strategies[CounterLine],$H17)</f>
        <v/>
      </c>
      <c r="N17" s="12">
        <f>IF(UPPER(K17)="Y",SUMIFS(tblMaster_Inputs[Baseline_Amount],tblMaster_Inputs[Year],2023,tblMaster_Inputs[Primary_Line],"13"),IF(ISBLANK(L17),J17,L17))</f>
        <v/>
      </c>
      <c r="O17" s="12">
        <f>N17+M17</f>
        <v/>
      </c>
      <c r="P17" s="8">
        <f>HYPERLINK("#Y2024!I49", 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HYPERLINK("#Y2024!I49", 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SUMIFS(tblMaster_Inputs[Baseline_Amount],tblMaster_Inputs[Year],2024,tblMaster_Inputs[Treatment_Profile],"W2_SCorpOwner", tblMaster_Inputs[Activity_Type], "Baseline")</f>
        <v/>
      </c>
      <c r="J23" s="12">
        <f>I23+SUMIFS(tblY2024_Strategies[Amount],tblY2024_Strategies[TargetLine],"1z")-SUMIFS(tblY2024_Strategies[Amount],tblY2024_Strategies[CounterLine],"1z")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SUMIFS(tblMaster_Inputs[Baseline_Amount],tblMaster_Inputs[Year],2024,tblMaster_Inputs[Treatment_Profile],"W2_Employee",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 income</t>
        </is>
      </c>
      <c r="I26" s="12">
        <f>SUMIFS(tblMaster_Inputs[Baseline_Amount],tblMaster_Inputs[Year],2024,tblMaster_Inputs[Bucket],"Business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 business</t>
        </is>
      </c>
      <c r="I27" s="12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J27" s="12">
        <f>I27+SUMIFS(tblY2024_Strategies[Amount],tblY2024_Strategies[TargetLine],"8")-SUMIFS(tblY2024_Strategies[Amount],tblY2024_Strategies[CounterLine],"8")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COUNTIF(tblY2024_Strategies[Status],"Committed")</f>
        <v/>
      </c>
      <c r="C28" s="98" t="inlineStr">
        <is>
          <t>Net Strategy Impact</t>
        </is>
      </c>
      <c r="D28" s="95">
        <f>SUMIF(tblY2024_Strategies[Status],"Committed",tblY2024_Strategies[Amount])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SUMIFS(tblMaster_Inputs[Baseline_Amount],tblMaster_Inputs[Year],2024,tblMaster_Inputs[Bucket],"Business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interest</t>
        </is>
      </c>
      <c r="I29" s="12">
        <f>SUMIFS(tblMaster_Inputs[Helper_Amount],tblMaster_Inputs[Year],2024,tblMaster_Inputs[Helper_Treatment],"TAX_EXEMPT")</f>
        <v/>
      </c>
      <c r="J29" s="12">
        <f>I29+SUMIFS(tblY2024_Strategies[Amount],tblY2024_Strategies[TargetLine],"2a")-SUMIFS(tblY2024_Strategies[Amount],tblY2024_Strategies[CounterLine],"2a")</f>
        <v/>
      </c>
      <c r="K29" s="2" t="n"/>
    </row>
    <row r="30" ht="14.5" customHeight="1" s="19">
      <c r="H30" t="inlineStr">
        <is>
          <t>Qualified dividends</t>
        </is>
      </c>
      <c r="I30" s="12">
        <f>SUMIFS(tblMaster_Inputs[Helper_Amount],tblMaster_Inputs[Year],2024,tblMaster_Inputs[Helper_Treatment],"QUAL_DIV",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Long-term cap gains</t>
        </is>
      </c>
      <c r="I31" s="12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J31" s="12">
        <f>I31+SUMIFS(tblY2024_Strategies[Amount],tblY2024_Strategies[TargetLine],"7")-SUMIFS(tblY2024_Strategies[Amount],tblY2024_Strategies[CounterLine],"7")</f>
        <v/>
      </c>
      <c r="K31" s="2" t="n"/>
    </row>
    <row r="32" ht="14.5" customHeight="1" s="19">
      <c r="H32" t="inlineStr">
        <is>
          <t>Short-term cap gains</t>
        </is>
      </c>
      <c r="I32" s="12">
        <f>SUMIFS(tblMaster_Inputs[Baseline_Amount],tblMaster_Inputs[Year],2024,tblMaster_Inputs[Treatment_Profile],"STCG_Stock",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SUMIFS(tblMaster_Inputs[Helper_Amount],tblMaster_Inputs[Year],2024,tblMaster_Inputs[Helper_Treatment],"SEC1250",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TI-LTCG-QUAL_DIV-SEC1250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 income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2024, tblThresholds[FilingStatus], Filing_Status, tblThresholds[Item], "SE_Earnings_Factor")</f>
        <v/>
      </c>
      <c r="J71" s="20">
        <f>J70*SUMIFS(tblThresholds[Value], tblThresholds[Year], 2024,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2024, tblThresholds[FilingStatus], Filing_Status, tblThresholds[Item], "SS_Wage_Base")-I72)</f>
        <v/>
      </c>
      <c r="J73" s="12">
        <f>MAX(0,SUMIFS(tblThresholds[Value], tblThresholds[Year], 2024,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2024, tblThresholds[FilingStatus], Filing_Status, tblThresholds[Item], "SS_Rate_Combined")</f>
        <v/>
      </c>
      <c r="J75" s="12">
        <f>J74*SUMIFS(tblThresholds[Value], tblThresholds[Year], 2024,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2024, tblThresholds[FilingStatus], Filing_Status, tblThresholds[Item], "Medicare_Rate_Combined")</f>
        <v/>
      </c>
      <c r="J76" s="52">
        <f>J71*SUMIFS(tblThresholds[Value], tblThresholds[Year], 2024,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J77" s="12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2024, tblThresholds[FilingStatus], Filing_Status, tblThresholds[Item], "SS_Wage_Base"))*0.062</f>
        <v/>
      </c>
      <c r="J84" s="12">
        <f>MIN(J83,SUMIFS(tblThresholds[Value], tblThresholds[Year], 2024,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J86" s="12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2024)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2024)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SUMPRODUCT((Tax_Ref!$B$210:$B$281=2024)*(Tax_Ref!$C$210:$C$281=Filing_Status)*((I102&gt;Tax_Ref!$E$210:$E$281)*(Tax_Ref!$E$210:$E$281-Tax_Ref!$D$210:$D$281)+(I102&gt;Tax_Ref!$D$210:$D$281)*(I102&lt;=Tax_Ref!$E$210:$E$281)*(I102-Tax_Ref!$D$210:$D$281))*Tax_Ref!$F$210:$F$281)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2024, tblThresholds[FilingStatus], Filing_Status, tblThresholds[Item], "NIIT_Threshold")</f>
        <v/>
      </c>
      <c r="J111" s="12">
        <f>SUMIFS(tblThresholds[Value], tblThresholds[Year], 2024,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2024, tblThresholds[FilingStatus], Filing_Status, tblThresholds[Item], "NIIT_Rate")</f>
        <v/>
      </c>
      <c r="J114" s="20">
        <f>MIN(J112,J113)*SUMIFS(tblThresholds[Value], tblThresholds[Year], 2024,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2024, tblThresholds[FilingStatus], Filing_Status, tblThresholds[Item], "QBI_Threshold_Start"),"YES","NO")</f>
        <v/>
      </c>
      <c r="J121" s="12">
        <f>IF(J41&gt;SUMIFS(tblThresholds[Value], tblThresholds[Year], 2024,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2024, tblThresholds[FilingStatus], Filing_Status, tblThresholds[Item], "QBI_Threshold_End")),0,IF(I41&lt;=SUMIFS(tblThresholds[Value], tblThresholds[Year], 2024, tblThresholds[FilingStatus], Filing_Status, tblThresholds[Item], "QBI_Threshold_Start"),MIN(I118,I119),MIN(I118,I119,I120)))</f>
        <v/>
      </c>
      <c r="J122" s="20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tabSelected="1" topLeftCell="F1" workbookViewId="0">
      <pane ySplit="5" topLeftCell="A18" activePane="bottomLeft" state="frozen"/>
      <selection pane="bottomLeft" activeCell="O27" sqref="O27"/>
    </sheetView>
  </sheetViews>
  <sheetFormatPr baseColWidth="8" defaultRowHeight="14.5"/>
  <cols>
    <col width="73.1796875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10.6328125" bestFit="1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>
      <c r="A1" s="17" t="inlineStr">
        <is>
          <t>Y2025 — standalone tax planning sandbox</t>
        </is>
      </c>
    </row>
    <row r="2">
      <c r="A2" s="90" t="inlineStr">
        <is>
          <t>Strategies: enter Amount + Status below. Committed strategies flow to rollup M column. Push to Master_Inputs when final.</t>
        </is>
      </c>
    </row>
    <row r="4">
      <c r="A4" s="101" t="inlineStr">
        <is>
          <t>▸ STRATEGIES</t>
        </is>
      </c>
    </row>
    <row r="5" ht="43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>
        <v>-25000</v>
      </c>
      <c r="E6" s="66" t="inlineStr">
        <is>
          <t>Committed</t>
        </is>
      </c>
      <c r="F6" s="66" t="inlineStr">
        <is>
          <t>Reduce W-2 $25K, offset by K-1 increase</t>
        </is>
      </c>
      <c r="G6" s="66" t="n">
        <v>8</v>
      </c>
      <c r="H6" t="inlineStr">
        <is>
          <t>1z</t>
        </is>
      </c>
      <c r="I6" t="inlineStr">
        <is>
          <t>Wages</t>
        </is>
      </c>
      <c r="J6" s="12">
        <f>SUMIFS(tblMaster_Inputs[Baseline_Amount], tblMaster_Inputs[Year], 2025, tblMaster_Inputs[Primary_Line], $H6, tblMaster_Inputs[Activity_Type], "Baseline")</f>
        <v/>
      </c>
      <c r="K6" s="55" t="n"/>
      <c r="L6" s="56" t="n"/>
      <c r="M6" s="12">
        <f>SUMIFS(tblY2025_Strategies[Amount],tblY2025_Strategies[TargetLine],$H6)-SUMIFS(tblY2025_Strategies[Amount],tblY2025_Strategies[CounterLine],$H6)</f>
        <v/>
      </c>
      <c r="N6" s="12">
        <f>IF(UPPER(K6)="Y",SUMIFS(tblMaster_Inputs[Baseline_Amount],tblMaster_Inputs[Year],2024,tblMaster_Inputs[Primary_Line],"1z"),IF(ISBLANK(L6),J6,L6))</f>
        <v/>
      </c>
      <c r="O6" s="12">
        <f>N6+M6</f>
        <v/>
      </c>
      <c r="P6" s="8">
        <f>HYPERLINK("#Y2025!I49", "↗ drill")</f>
        <v/>
      </c>
    </row>
    <row r="7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>
        <v>-8550</v>
      </c>
      <c r="E7" s="66" t="inlineStr">
        <is>
          <t>Committed</t>
        </is>
      </c>
      <c r="F7" s="66" t="inlineStr">
        <is>
          <t>Family HSA contribution</t>
        </is>
      </c>
      <c r="G7" s="66" t="n"/>
      <c r="H7" t="inlineStr">
        <is>
          <t>2a</t>
        </is>
      </c>
      <c r="I7" t="inlineStr">
        <is>
          <t>Tax-exempt interest (informational — Helper)</t>
        </is>
      </c>
      <c r="J7" s="12">
        <f>TAX_EXEMPT</f>
        <v/>
      </c>
      <c r="K7" s="55" t="n"/>
      <c r="L7" s="4" t="n"/>
      <c r="M7">
        <f>SUMIFS(tblY2025_Strategies[Amount],tblY2025_Strategies[TargetLine],"2a",tblY2025_Strategies[Status],"Committed")</f>
        <v/>
      </c>
      <c r="N7" s="12">
        <f>IF(UPPER(K7)="Y",SUMIFS(tblMaster_Inputs[Helper_Amount],tblMaster_Inputs[Year],2024,tblMaster_Inputs[Helper_Treatment],"TAX_EXEMPT"),IF(ISBLANK(L7),J7,L7))</f>
        <v/>
      </c>
      <c r="O7" s="12">
        <f>N7</f>
        <v/>
      </c>
      <c r="P7" s="8">
        <f>HYPERLINK("#Y2025!I49", "↗ drill")</f>
        <v/>
      </c>
    </row>
    <row r="8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>
        <v>15000</v>
      </c>
      <c r="E8" s="66" t="inlineStr">
        <is>
          <t>Proposed</t>
        </is>
      </c>
      <c r="F8" s="66" t="inlineStr">
        <is>
          <t>Donor-advised fund stacking</t>
        </is>
      </c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 tblMaster_Inputs[Year], 2025, tblMaster_Inputs[Primary_Line], $H8, tblMaster_Inputs[Activity_Type], "Baseline")</f>
        <v/>
      </c>
      <c r="K8" s="55" t="n"/>
      <c r="L8" s="4" t="n"/>
      <c r="M8" s="12">
        <f>SUMIFS(tblY2025_Strategies[Amount],tblY2025_Strategies[TargetLine],$H8)-SUMIFS(tblY2025_Strategies[Amount],tblY2025_Strategies[CounterLine],$H8)</f>
        <v/>
      </c>
      <c r="N8" s="12">
        <f>IF(UPPER(K8)="Y",SUMIFS(tblMaster_Inputs[Baseline_Amount],tblMaster_Inputs[Year],2024,tblMaster_Inputs[Primary_Line],"2b"),IF(ISBLANK(L8),J8,L8))</f>
        <v/>
      </c>
      <c r="O8" s="12">
        <f>N8+M8</f>
        <v/>
      </c>
      <c r="P8" s="8">
        <f>HYPERLINK("#Y2025!I49", "↗ drill")</f>
        <v/>
      </c>
    </row>
    <row r="9">
      <c r="A9" s="66" t="inlineStr">
        <is>
          <t>STR-004</t>
        </is>
      </c>
      <c r="B9" s="66" t="inlineStr">
        <is>
          <t>SEP-IRA / Solo 401(k)</t>
        </is>
      </c>
      <c r="C9" s="66" t="n">
        <v>8</v>
      </c>
      <c r="D9" s="94" t="n">
        <v>-7000</v>
      </c>
      <c r="E9" s="66" t="inlineStr">
        <is>
          <t>Approved</t>
        </is>
      </c>
      <c r="F9" s="66" t="inlineStr">
        <is>
          <t>Retirement contribution</t>
        </is>
      </c>
      <c r="G9" s="66" t="n"/>
      <c r="H9" t="inlineStr">
        <is>
          <t>3a</t>
        </is>
      </c>
      <c r="I9" t="inlineStr">
        <is>
          <t>Qualified dividends (informational — Helper)</t>
        </is>
      </c>
      <c r="J9" s="12">
        <f>QUAL_DIV</f>
        <v/>
      </c>
      <c r="K9" s="55" t="n"/>
      <c r="L9" s="4" t="n"/>
      <c r="M9">
        <f>SUMIFS(tblY2025_Strategies[Amount],tblY2025_Strategies[TargetLine],"3a",tblY2025_Strategies[Status],"Committed")</f>
        <v/>
      </c>
      <c r="N9" s="12">
        <f>IF(UPPER(K9)="Y",SUMIFS(tblMaster_Inputs[Helper_Amount],tblMaster_Inputs[Year],2024,tblMaster_Inputs[Helper_Treatment],"QUAL_DIV"),IF(ISBLANK(L9),J9,L9))</f>
        <v/>
      </c>
      <c r="O9" s="12">
        <f>N9</f>
        <v/>
      </c>
      <c r="P9" s="8">
        <f>HYPERLINK("#Y2025!I49", "↗ drill")</f>
        <v/>
      </c>
    </row>
    <row r="10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>
        <v>-80000</v>
      </c>
      <c r="E10" s="66" t="inlineStr">
        <is>
          <t>Committed</t>
        </is>
      </c>
      <c r="F10" s="66" t="inlineStr">
        <is>
          <t>123 Main St — accelerated depreciation</t>
        </is>
      </c>
      <c r="G10" s="66" t="n"/>
      <c r="H10" t="inlineStr">
        <is>
          <t>3b</t>
        </is>
      </c>
      <c r="I10" t="inlineStr">
        <is>
          <t>Ordinary dividends (total — incl qualified)</t>
        </is>
      </c>
      <c r="J10" s="12">
        <f>SUMIFS(tblMaster_Inputs[Baseline_Amount], tblMaster_Inputs[Year], 2025, tblMaster_Inputs[Primary_Line], $H10, tblMaster_Inputs[Activity_Type], "Baseline")</f>
        <v/>
      </c>
      <c r="K10" s="55" t="n"/>
      <c r="L10" s="4" t="n"/>
      <c r="M10" s="12">
        <f>SUMIFS(tblY2025_Strategies[Amount],tblY2025_Strategies[TargetLine],$H10)-SUMIFS(tblY2025_Strategies[Amount],tblY2025_Strategies[CounterLine],$H10)</f>
        <v/>
      </c>
      <c r="N10" s="12">
        <f>IF(UPPER(K10)="Y",SUMIFS(tblMaster_Inputs[Baseline_Amount],tblMaster_Inputs[Year],2024,tblMaster_Inputs[Primary_Line],"3b"),IF(ISBLANK(L10),J10,L10))</f>
        <v/>
      </c>
      <c r="O10" s="12">
        <f>N10+M10</f>
        <v/>
      </c>
      <c r="P10" s="8">
        <f>HYPERLINK("#Y2025!I49", "↗ drill")</f>
        <v/>
      </c>
    </row>
    <row r="11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inlineStr">
        <is>
          <t>Conversion amount (increases taxable income)</t>
        </is>
      </c>
      <c r="G11" s="66" t="n"/>
      <c r="H11" t="inlineStr">
        <is>
          <t>7</t>
        </is>
      </c>
      <c r="I11" t="inlineStr">
        <is>
          <t>Capital gain or (loss)</t>
        </is>
      </c>
      <c r="J11" s="12">
        <f>SUMIFS(tblMaster_Inputs[Baseline_Amount], tblMaster_Inputs[Year], 2025, tblMaster_Inputs[Primary_Line], $H11, tblMaster_Inputs[Activity_Type], "Baseline")</f>
        <v/>
      </c>
      <c r="K11" s="55" t="n"/>
      <c r="L11" s="4" t="n"/>
      <c r="M11" s="12">
        <f>SUMIFS(tblY2025_Strategies[Amount],tblY2025_Strategies[TargetLine],$H11)-SUMIFS(tblY2025_Strategies[Amount],tblY2025_Strategies[CounterLine],$H11)</f>
        <v/>
      </c>
      <c r="N11" s="12">
        <f>IF(UPPER(K11)="Y",SUMIFS(tblMaster_Inputs[Baseline_Amount],tblMaster_Inputs[Year],2024,tblMaster_Inputs[Primary_Line],"7"),IF(ISBLANK(L11),J11,L11))</f>
        <v/>
      </c>
      <c r="O11" s="12">
        <f>N11+M11</f>
        <v/>
      </c>
      <c r="P11" s="8">
        <f>HYPERLINK("#Y2025!I49", "↗ drill")</f>
        <v/>
      </c>
    </row>
    <row r="12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inlineStr">
        <is>
          <t>Home rental to S-Corp (≤14 days, tax-free)</t>
        </is>
      </c>
      <c r="G12" s="66" t="n"/>
      <c r="H12" t="inlineStr">
        <is>
          <t>8</t>
        </is>
      </c>
      <c r="I12" t="inlineStr">
        <is>
          <t>Other income (incl business income via Sch 1)</t>
        </is>
      </c>
      <c r="J12" s="12">
        <f>SUMIFS(tblMaster_Inputs[Baseline_Amount], tblMaster_Inputs[Year], 2025, tblMaster_Inputs[Primary_Line], $H12, tblMaster_Inputs[Activity_Type], "Baseline")</f>
        <v/>
      </c>
      <c r="K12" s="55" t="n"/>
      <c r="L12" s="56" t="n"/>
      <c r="M12" s="12">
        <f>SUMIFS(tblY2025_Strategies[Amount],tblY2025_Strategies[TargetLine],$H12)-SUMIFS(tblY2025_Strategies[Amount],tblY2025_Strategies[CounterLine],$H12)</f>
        <v/>
      </c>
      <c r="N12" s="12">
        <f>IF(UPPER(K12)="Y",SUMIFS(tblMaster_Inputs[Baseline_Amount],tblMaster_Inputs[Year],2024,tblMaster_Inputs[Primary_Line],"8"),IF(ISBLANK(L12),J12,L12))</f>
        <v/>
      </c>
      <c r="O12" s="12">
        <f>N12+M12</f>
        <v/>
      </c>
      <c r="P12" s="8">
        <f>HYPERLINK("#Y2025!I49", "↗ drill")</f>
        <v/>
      </c>
    </row>
    <row r="13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inlineStr">
        <is>
          <t>Business expense reimbursement</t>
        </is>
      </c>
      <c r="G13" s="66" t="n"/>
      <c r="H13" t="inlineStr">
        <is>
          <t>9</t>
        </is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HYPERLINK("#Y2025!I49", "↗ drill")</f>
        <v/>
      </c>
    </row>
    <row r="14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inlineStr">
        <is>
          <t>Wages to children under §3121(b)(3)</t>
        </is>
      </c>
      <c r="G14" s="66" t="n"/>
      <c r="H14" t="inlineStr">
        <is>
          <t>10</t>
        </is>
      </c>
      <c r="I14" t="inlineStr">
        <is>
          <t>Adjustments to income</t>
        </is>
      </c>
      <c r="J14" s="12">
        <f>SUMIFS(tblMaster_Inputs[Baseline_Amount], tblMaster_Inputs[Year], 2025, tblMaster_Inputs[Primary_Line], $H14, tblMaster_Inputs[Activity_Type], "Baseline")</f>
        <v/>
      </c>
      <c r="K14" s="55" t="n"/>
      <c r="L14" s="4" t="n"/>
      <c r="M14" s="12">
        <f>SUMIFS(tblY2025_Strategies[Amount],tblY2025_Strategies[TargetLine],$H14)-SUMIFS(tblY2025_Strategies[Amount],tblY2025_Strategies[CounterLine],$H14)</f>
        <v/>
      </c>
      <c r="N14" s="12">
        <f>IF(UPPER(K14)="Y",SUMIFS(tblMaster_Inputs[Baseline_Amount],tblMaster_Inputs[Year],2024,tblMaster_Inputs[Primary_Line],"10"),IF(ISBLANK(L14),J14,L14))</f>
        <v/>
      </c>
      <c r="O14" s="12">
        <f>N14+M14</f>
        <v/>
      </c>
      <c r="P14" s="8">
        <f>HYPERLINK("#Y2025!I49", "↗ drill")</f>
        <v/>
      </c>
    </row>
    <row r="15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inlineStr">
        <is>
          <t>Partnership → S-Corp, etc.</t>
        </is>
      </c>
      <c r="G15" s="66" t="n"/>
      <c r="H15" t="inlineStr">
        <is>
          <t>11</t>
        </is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HYPERLINK("#Y2025!I49", "↗ drill")</f>
        <v/>
      </c>
    </row>
    <row r="16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inlineStr">
        <is>
          <t>Gain deferral strategies</t>
        </is>
      </c>
      <c r="G16" s="66" t="n"/>
      <c r="H16" t="inlineStr">
        <is>
          <t>12</t>
        </is>
      </c>
      <c r="I16" t="inlineStr">
        <is>
          <t>Std/Itemized deduction</t>
        </is>
      </c>
      <c r="J16" s="12">
        <f>SUMIFS(tblMaster_Inputs[Baseline_Amount], tblMaster_Inputs[Year], 2025, tblMaster_Inputs[Primary_Line], $H16, tblMaster_Inputs[Activity_Type], "Baseline")</f>
        <v/>
      </c>
      <c r="K16" s="55" t="n"/>
      <c r="L16" s="4" t="n"/>
      <c r="M16" s="12">
        <f>SUMIFS(tblY2025_Strategies[Amount],tblY2025_Strategies[TargetLine],$H16)-SUMIFS(tblY2025_Strategies[Amount],tblY2025_Strategies[CounterLine],$H16)</f>
        <v/>
      </c>
      <c r="N16" s="12">
        <f>IF(UPPER(K16)="Y",SUMIFS(tblMaster_Inputs[Baseline_Amount],tblMaster_Inputs[Year],2024,tblMaster_Inputs[Primary_Line],"12"),IF(ISBLANK(L16),J16,L16))</f>
        <v/>
      </c>
      <c r="O16" s="12">
        <f>N16+M16</f>
        <v/>
      </c>
      <c r="P16" s="8">
        <f>HYPERLINK("#Y2025!I49", "↗ drill")</f>
        <v/>
      </c>
    </row>
    <row r="17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inlineStr">
        <is>
          <t>First-year depreciation</t>
        </is>
      </c>
      <c r="G17" s="66" t="n"/>
      <c r="H17" t="inlineStr">
        <is>
          <t>13</t>
        </is>
      </c>
      <c r="I17" t="inlineStr">
        <is>
          <t>QBI deduction</t>
        </is>
      </c>
      <c r="J17" s="12">
        <f>SUMIFS(tblMaster_Inputs[Baseline_Amount], tblMaster_Inputs[Year], 2025, tblMaster_Inputs[Primary_Line], $H17, tblMaster_Inputs[Activity_Type], "Baseline")</f>
        <v/>
      </c>
      <c r="K17" s="55" t="n"/>
      <c r="L17" s="4" t="n"/>
      <c r="M17" s="12">
        <f>SUMIFS(tblY2025_Strategies[Amount],tblY2025_Strategies[TargetLine],$H17)-SUMIFS(tblY2025_Strategies[Amount],tblY2025_Strategies[CounterLine],$H17)</f>
        <v/>
      </c>
      <c r="N17" s="12">
        <f>IF(UPPER(K17)="Y",SUMIFS(tblMaster_Inputs[Baseline_Amount],tblMaster_Inputs[Year],2024,tblMaster_Inputs[Primary_Line],"13"),IF(ISBLANK(L17),J17,L17))</f>
        <v/>
      </c>
      <c r="O17" s="12">
        <f>N17+M17</f>
        <v/>
      </c>
      <c r="P17" s="8">
        <f>HYPERLINK("#Y2025!I49", "↗ drill")</f>
        <v/>
      </c>
    </row>
    <row r="18">
      <c r="A18" s="66" t="inlineStr">
        <is>
          <t>STR-013</t>
        </is>
      </c>
      <c r="B18" s="66" t="inlineStr">
        <is>
          <t>R&amp;D Credit §41</t>
        </is>
      </c>
      <c r="C18" s="66" t="n">
        <v>20</v>
      </c>
      <c r="D18" s="94" t="n"/>
      <c r="E18" s="66" t="n"/>
      <c r="F18" s="66" t="inlineStr">
        <is>
          <t>Research credit</t>
        </is>
      </c>
      <c r="G18" s="66" t="n"/>
      <c r="H18" t="inlineStr">
        <is>
          <t>15</t>
        </is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HYPERLINK("#Y2025!I49", "↗ drill")</f>
        <v/>
      </c>
    </row>
    <row r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inlineStr">
        <is>
          <t>State pass-through entity tax</t>
        </is>
      </c>
      <c r="G19" s="66" t="n"/>
    </row>
    <row r="20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inlineStr">
        <is>
          <t>Income acceleration or deferral</t>
        </is>
      </c>
      <c r="G20" s="66" t="n"/>
    </row>
    <row r="21"/>
    <row r="22">
      <c r="A22" s="101" t="inlineStr">
        <is>
          <t>▸ TAX IMPACT SUMMARY</t>
        </is>
      </c>
      <c r="H22" s="3" t="inlineStr">
        <is>
          <t>Description</t>
        </is>
      </c>
      <c r="I22" s="3">
        <f>N5</f>
        <v/>
      </c>
      <c r="J22" s="3">
        <f>O5</f>
        <v/>
      </c>
      <c r="K22" s="3" t="inlineStr">
        <is>
          <t>Used by</t>
        </is>
      </c>
    </row>
    <row r="23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 wages (S-Corp reasonable comp; Treatment_Profile=W2_SCorpOwner)</t>
        </is>
      </c>
      <c r="I23" s="12">
        <f>SUMIFS(tblMaster_Inputs[Baseline_Amount], tblMaster_Inputs[Year], 2025, tblMaster_Inputs[Treatment_Profile], "W2_SCorpOwner", tblMaster_Inputs[Activity_Type], "Baseline")</f>
        <v/>
      </c>
      <c r="J23" s="12">
        <f>I23+SUMIFS(tblY2025_Strategies[Amount],tblY2025_Strategies[TargetLine],"1z")-SUMIFS(tblY2025_Strategies[Amount],tblY2025_Strategies[CounterLine],"1z")</f>
        <v/>
      </c>
      <c r="K23" s="2" t="inlineStr">
        <is>
          <t>FICA_Employer/Employee — True Tax Burden box</t>
        </is>
      </c>
    </row>
    <row r="24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 wages (Treatment_Profile=W2_Employee)</t>
        </is>
      </c>
      <c r="I24" s="12">
        <f>SUMIFS(tblMaster_Inputs[Baseline_Amount], tblMaster_Inputs[Year], 2025, tblMaster_Inputs[Treatment_Profile], "W2_Employee", tblMaster_Inputs[Activity_Type], "Baseline")</f>
        <v/>
      </c>
      <c r="J24" s="12">
        <f>I24</f>
        <v/>
      </c>
      <c r="K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 wages (owner + third-party)</t>
        </is>
      </c>
      <c r="I25" s="12">
        <f>I23+I24</f>
        <v/>
      </c>
      <c r="J25" s="12">
        <f>J23+J24</f>
        <v/>
      </c>
      <c r="K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Business income subject to SE tax (Sch C, Sch F, active K-1 PTP)</t>
        </is>
      </c>
      <c r="I26" s="12">
        <f>SUMIFS(tblMaster_Inputs[Baseline_Amount], tblMaster_Inputs[Year], 2025, tblMaster_Inputs[Bucket], "Business Income", tblMaster_Inputs[SE_Subject], "Yes", tblMaster_Inputs[Activity_Type], "Baseline")</f>
        <v/>
      </c>
      <c r="J26" s="12">
        <f>I26</f>
        <v/>
      </c>
      <c r="K26" s="2" t="inlineStr">
        <is>
          <t>Calc_SE_Tax base · AddlMedicareTax_FN</t>
        </is>
      </c>
    </row>
    <row r="27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business income NOT subject to SE (active S-Corp K-1, etc.)</t>
        </is>
      </c>
      <c r="I27" s="12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J27" s="12">
        <f>I27+SUMIFS(tblY2025_Strategies[Amount],tblY2025_Strategies[TargetLine],"8")-SUMIFS(tblY2025_Strategies[Amount],tblY2025_Strategies[CounterLine],"8")</f>
        <v/>
      </c>
      <c r="K27" s="2" t="inlineStr">
        <is>
          <t>NIIT exclusion (active) · QBI eligible</t>
        </is>
      </c>
    </row>
    <row r="28">
      <c r="A28" t="inlineStr">
        <is>
          <t>Committed Strategies</t>
        </is>
      </c>
      <c r="B28" s="98">
        <f>COUNTIF(tblY2025_Strategies[Status],"Committed")</f>
        <v/>
      </c>
      <c r="C28" s="98" t="inlineStr">
        <is>
          <t>Net Strategy Impact</t>
        </is>
      </c>
      <c r="D28" s="95">
        <f>SUMIF(tblY2025_Strategies[Status],"Committed",tblY2025_Strategies[Amount])</f>
        <v/>
      </c>
      <c r="E28" s="98" t="n"/>
      <c r="H28" t="inlineStr">
        <is>
          <t>Passive business income / loss (passive K-1s, Sch E rental)</t>
        </is>
      </c>
      <c r="I28" s="12">
        <f>SUMIFS(tblMaster_Inputs[Baseline_Amount], tblMaster_Inputs[Year], 2025, tblMaster_Inputs[Bucket], "Business Income", tblMaster_Inputs[NIIT_Class], "Passive", tblMaster_Inputs[Activity_Type], "Baseline")</f>
        <v/>
      </c>
      <c r="J28" s="12">
        <f>I28</f>
        <v/>
      </c>
      <c r="K28" s="2" t="inlineStr">
        <is>
          <t>PassiveLossAllowed_FN · NIIT inclusion</t>
        </is>
      </c>
    </row>
    <row r="29">
      <c r="H29" t="inlineStr">
        <is>
          <t>Tax-exempt interest (Line 2a; reported but not taxed)</t>
        </is>
      </c>
      <c r="I29" s="12">
        <f>SUMIFS(tblMaster_Inputs[Helper_Amount], tblMaster_Inputs[Year], 2025, tblMaster_Inputs[Helper_Treatment], "TAX_EXEMPT")</f>
        <v/>
      </c>
      <c r="J29" s="12">
        <f>I29+SUMIFS(tblY2025_Strategies[Amount],tblY2025_Strategies[TargetLine],"2a")-SUMIFS(tblY2025_Strategies[Amount],tblY2025_Strategies[CounterLine],"2a")</f>
        <v/>
      </c>
      <c r="K29" s="2" t="inlineStr">
        <is>
          <t>NIIT_FN (MAGI base)</t>
        </is>
      </c>
    </row>
    <row r="30">
      <c r="H30" t="inlineStr">
        <is>
          <t>Qualified dividends (carve-out of Line 3b; LTCG stack)</t>
        </is>
      </c>
      <c r="I30" s="12">
        <f>SUMIFS(tblMaster_Inputs[Helper_Amount], tblMaster_Inputs[Year], 2025, tblMaster_Inputs[Helper_Treatment], "QUAL_DIV", tblMaster_Inputs[Activity_Type], "Baseline")</f>
        <v/>
      </c>
      <c r="J30" s="12">
        <f>I30</f>
        <v/>
      </c>
      <c r="K30" s="2" t="inlineStr">
        <is>
          <t>Calc_CapGainsTax stacking</t>
        </is>
      </c>
    </row>
    <row r="31">
      <c r="H31" t="inlineStr">
        <is>
          <t>Long-term capital gains (LT preferential rate; stacks with qualified div)</t>
        </is>
      </c>
      <c r="I31" s="12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J31" s="12">
        <f>I31+SUMIFS(tblY2025_Strategies[Amount],tblY2025_Strategies[TargetLine],"7")-SUMIFS(tblY2025_Strategies[Amount],tblY2025_Strategies[CounterLine],"7")</f>
        <v/>
      </c>
      <c r="K31" s="2" t="inlineStr">
        <is>
          <t>Calc_CapGainsTax</t>
        </is>
      </c>
    </row>
    <row r="32">
      <c r="H32" t="inlineStr">
        <is>
          <t>Short-term capital gains (taxed as ordinary income)</t>
        </is>
      </c>
      <c r="I32" s="12">
        <f>SUMIFS(tblMaster_Inputs[Baseline_Amount], tblMaster_Inputs[Year], 2025, tblMaster_Inputs[Treatment_Profile], "STCG_Stock", tblMaster_Inputs[Activity_Type], "Baseline")</f>
        <v/>
      </c>
      <c r="J32" s="12">
        <f>I32</f>
        <v/>
      </c>
      <c r="K32" s="2" t="inlineStr">
        <is>
          <t>Calc_OrdinaryTax (ST folded into ordinary income)</t>
        </is>
      </c>
    </row>
    <row r="33">
      <c r="H33" t="inlineStr">
        <is>
          <t>§1250 unrecaptured gain (sub-carve of CG_LT; capped at 25% rate)</t>
        </is>
      </c>
      <c r="I33" s="12">
        <f>SUMIFS(tblMaster_Inputs[Helper_Amount], tblMaster_Inputs[Year], 2025, tblMaster_Inputs[Helper_Treatment], "SEC1250", tblMaster_Inputs[Activity_Type], "Baseline")</f>
        <v/>
      </c>
      <c r="J33" s="12">
        <f>I33</f>
        <v/>
      </c>
      <c r="K33" s="2" t="inlineStr">
        <is>
          <t>Calc_1250Tax</t>
        </is>
      </c>
    </row>
    <row r="36">
      <c r="H36" s="3" t="inlineStr">
        <is>
          <t>Description</t>
        </is>
      </c>
      <c r="I36" s="3" t="inlineStr">
        <is>
          <t>Formula / Value</t>
        </is>
      </c>
      <c r="J36" s="3" t="inlineStr">
        <is>
          <t>Effective</t>
        </is>
      </c>
      <c r="K36" s="3" t="inlineStr">
        <is>
          <t>Used by LAMBDA</t>
        </is>
      </c>
    </row>
    <row r="37">
      <c r="H37" t="inlineStr">
        <is>
          <t>Ordinary income (TaxableIncome - CG_LT - QUAL_DIV - SEC1250)</t>
        </is>
      </c>
      <c r="I37" s="12">
        <f>J18-I31-I30-I33</f>
        <v/>
      </c>
      <c r="J37" s="12">
        <f>O18-J31-J30-J33</f>
        <v/>
      </c>
      <c r="K37" s="2" t="inlineStr">
        <is>
          <t>Calc_CapGainsTax stacking base · Calc_OrdinaryTax (after carve-outs)</t>
        </is>
      </c>
    </row>
    <row r="38">
      <c r="H38" t="inlineStr">
        <is>
          <t>Modified AGI = AGI + tax-exempt interest</t>
        </is>
      </c>
      <c r="I38" s="12">
        <f>J15+I29</f>
        <v/>
      </c>
      <c r="J38" s="12">
        <f>O15+J29</f>
        <v/>
      </c>
      <c r="K38" s="2" t="inlineStr">
        <is>
          <t>Calc_NIIT · PassiveLossAllowed_FN</t>
        </is>
      </c>
    </row>
    <row r="39">
      <c r="H39" t="inlineStr">
        <is>
          <t>Net Investment Income = taxable int + div + cap gain + passive</t>
        </is>
      </c>
      <c r="I39" s="12">
        <f>J8+J10+J11+I28</f>
        <v/>
      </c>
      <c r="J39" s="12">
        <f>O8+O10+O11+J28</f>
        <v/>
      </c>
      <c r="K39" s="2" t="inlineStr">
        <is>
          <t>Calc_NIIT</t>
        </is>
      </c>
    </row>
    <row r="40">
      <c r="H40" t="inlineStr">
        <is>
          <t>QBI-eligible business income (active business)</t>
        </is>
      </c>
      <c r="I40" s="12">
        <f>I26+I27</f>
        <v/>
      </c>
      <c r="J40" s="12">
        <f>J26+J27</f>
        <v/>
      </c>
      <c r="K40" s="2" t="inlineStr">
        <is>
          <t>Calc_QBI_Simple · QBI_FN</t>
        </is>
      </c>
    </row>
    <row r="41">
      <c r="H41" t="inlineStr">
        <is>
          <t>Taxable Income BEFORE QBI deduction (= AGI - StdItemDed)</t>
        </is>
      </c>
      <c r="I41" s="12">
        <f>J15+J16</f>
        <v/>
      </c>
      <c r="J41" s="12">
        <f>O15+O16</f>
        <v/>
      </c>
      <c r="K41" s="2" t="inlineStr">
        <is>
          <t>Calc_QBI_Simple (cap reference)</t>
        </is>
      </c>
    </row>
    <row r="42">
      <c r="H42" t="inlineStr">
        <is>
          <t>Net business loss (only when negative; for EBL limit)</t>
        </is>
      </c>
      <c r="I42" s="12">
        <f>MIN(0,I26+I27+I28)</f>
        <v/>
      </c>
      <c r="J42" s="12">
        <f>MIN(0,J26+J27+J28)</f>
        <v/>
      </c>
      <c r="K42" s="2" t="inlineStr">
        <is>
          <t>ExcessBusinessLossLimit_FN</t>
        </is>
      </c>
    </row>
    <row r="43">
      <c r="H43" t="inlineStr">
        <is>
          <t>Net SE income (alias of BI_SE_SUBJECT for LAMBDA clarity)</t>
        </is>
      </c>
      <c r="I43" s="12">
        <f>I26</f>
        <v/>
      </c>
      <c r="J43" s="12">
        <f>J26</f>
        <v/>
      </c>
      <c r="K43" s="2" t="inlineStr">
        <is>
          <t>Calc_SE_Tax · AddlMedicareTax_FN · SETax_FN</t>
        </is>
      </c>
    </row>
    <row r="44">
      <c r="H44" t="inlineStr">
        <is>
          <t>Unadjusted Basis Immediately After Acquisition (QBI W-2/UBIA test)</t>
        </is>
      </c>
      <c r="I44" s="56" t="n">
        <v>0</v>
      </c>
      <c r="J44" s="56">
        <f>I44</f>
        <v/>
      </c>
      <c r="K44" s="2" t="inlineStr">
        <is>
          <t>QBI_FN</t>
        </is>
      </c>
    </row>
    <row r="45">
      <c r="H45" t="inlineStr">
        <is>
          <t>Is Specified Service Trade or Business? (TRUE/FALSE)</t>
        </is>
      </c>
      <c r="I45" s="70">
        <f>IF(Control_Panel!C21="Yes",TRUE,FALSE)</f>
        <v/>
      </c>
      <c r="J45" s="4">
        <f>I45</f>
        <v/>
      </c>
      <c r="K45" s="2" t="inlineStr">
        <is>
          <t>QBI_FN</t>
        </is>
      </c>
    </row>
    <row r="46">
      <c r="H46" t="inlineStr">
        <is>
          <t>NOL carryforward available (from prior-year Carryovers; populate manually for now)</t>
        </is>
      </c>
      <c r="I46" s="70">
        <f>Carryovers!F52</f>
        <v/>
      </c>
      <c r="J46" s="56">
        <f>I46</f>
        <v/>
      </c>
      <c r="K46" s="2" t="inlineStr">
        <is>
          <t>NOLDeductionAllowed_FN</t>
        </is>
      </c>
    </row>
    <row r="49">
      <c r="H49" s="9" t="inlineStr">
        <is>
          <t>1z</t>
        </is>
      </c>
      <c r="K49" s="8">
        <f>HYPERLINK("#Master_Inputs!A1", "✏ open Master_Inputs to edit")</f>
        <v/>
      </c>
    </row>
    <row r="51" ht="29" customHeight="1" s="19">
      <c r="H51" s="3" t="inlineStr">
        <is>
          <t>Bucket</t>
        </is>
      </c>
      <c r="I51" s="3" t="inlineStr">
        <is>
          <t>Treatment_Profile</t>
        </is>
      </c>
      <c r="J51" s="3" t="n"/>
      <c r="K51" s="3" t="inlineStr">
        <is>
          <t>Payor</t>
        </is>
      </c>
      <c r="L51" s="3" t="inlineStr">
        <is>
          <t>Baseline_Amount</t>
        </is>
      </c>
      <c r="M51" s="3" t="inlineStr">
        <is>
          <t>Helper_Amount</t>
        </is>
      </c>
      <c r="N51" s="3" t="inlineStr">
        <is>
          <t>Notes</t>
        </is>
      </c>
      <c r="O51" s="3" t="n"/>
    </row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  <c r="L65" s="51" t="n"/>
      <c r="M65" s="51" t="n"/>
      <c r="N65" s="51" t="n"/>
      <c r="O65" s="99" t="n"/>
    </row>
    <row r="66">
      <c r="H66" t="inlineStr">
        <is>
          <t>Dual columns: Baseline (H) vs With Planning (I)</t>
        </is>
      </c>
    </row>
    <row r="68">
      <c r="H68" s="101" t="inlineStr">
        <is>
          <t>1. SELF-EMPLOYMENT TAX</t>
        </is>
      </c>
      <c r="I68" s="36" t="n"/>
      <c r="J68" s="36" t="n"/>
      <c r="K68" s="36" t="n"/>
    </row>
    <row r="69">
      <c r="H69" t="inlineStr">
        <is>
          <t>SE Tax Label</t>
        </is>
      </c>
      <c r="I69" s="12" t="n"/>
      <c r="J69" s="12" t="n"/>
      <c r="K69" s="12" t="n"/>
    </row>
    <row r="70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>
      <c r="H71" t="inlineStr">
        <is>
          <t>SE Base (× 0.9235)</t>
        </is>
      </c>
      <c r="I71" s="20">
        <f>I70*SUMIFS(tblThresholds[Value], tblThresholds[Year], 2025, tblThresholds[FilingStatus], Filing_Status, tblThresholds[Item], "SE_Earnings_Factor")</f>
        <v/>
      </c>
      <c r="J71" s="20">
        <f>J70*SUMIFS(tblThresholds[Value], tblThresholds[Year], 2025, tblThresholds[FilingStatus], Filing_Status, tblThresholds[Item], "SE_Earnings_Factor")</f>
        <v/>
      </c>
      <c r="K71" s="20" t="n"/>
    </row>
    <row r="72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>
      <c r="H73" t="inlineStr">
        <is>
          <t>Remaining SS Wage Base</t>
        </is>
      </c>
      <c r="I73" s="12">
        <f>MAX(0,SUMIFS(tblThresholds[Value], tblThresholds[Year], 2025, tblThresholds[FilingStatus], Filing_Status, tblThresholds[Item], "SS_Wage_Base")-I72)</f>
        <v/>
      </c>
      <c r="J73" s="12">
        <f>MAX(0,SUMIFS(tblThresholds[Value], tblThresholds[Year], 2025, tblThresholds[FilingStatus], Filing_Status, tblThresholds[Item], "SS_Wage_Base")-J72)</f>
        <v/>
      </c>
      <c r="K73" s="12" t="n"/>
    </row>
    <row r="74">
      <c r="I74" s="39">
        <f>MIN(I71,I73)</f>
        <v/>
      </c>
      <c r="J74" s="39">
        <f>MIN(J71,J73)</f>
        <v/>
      </c>
      <c r="K74" s="39" t="n"/>
    </row>
    <row r="75">
      <c r="H75" t="inlineStr">
        <is>
          <t>Social Security Tax (12.4%)</t>
        </is>
      </c>
      <c r="I75" s="12">
        <f>I74*SUMIFS(tblThresholds[Value], tblThresholds[Year], 2025, tblThresholds[FilingStatus], Filing_Status, tblThresholds[Item], "SS_Rate_Combined")</f>
        <v/>
      </c>
      <c r="J75" s="12">
        <f>J74*SUMIFS(tblThresholds[Value], tblThresholds[Year], 2025,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2025, tblThresholds[FilingStatus], Filing_Status, tblThresholds[Item], "Medicare_Rate_Combined")</f>
        <v/>
      </c>
      <c r="J76" s="52">
        <f>J71*SUMIFS(tblThresholds[Value], tblThresholds[Year], 2025, tblThresholds[FilingStatus], Filing_Status, tblThresholds[Item], "Medicare_Rate_Combined")</f>
        <v/>
      </c>
      <c r="K76" s="52" t="n"/>
    </row>
    <row r="77">
      <c r="H77" t="inlineStr">
        <is>
          <t>Addl Medicare (0.9% &gt; threshold)</t>
        </is>
      </c>
      <c r="I77" s="12">
        <f>MAX(0,(I72+I71-SUMIFS(tblThresholds[Value],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J77" s="12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2" t="n"/>
    </row>
    <row r="78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>
      <c r="I81" s="12" t="n"/>
      <c r="J81" s="12" t="n"/>
      <c r="K81" s="12" t="n"/>
    </row>
    <row r="82">
      <c r="H82" s="101" t="inlineStr">
        <is>
          <t>2. PAYROLL TAX</t>
        </is>
      </c>
      <c r="I82" s="12" t="n"/>
      <c r="J82" s="12" t="n"/>
      <c r="K82" s="12" t="n"/>
    </row>
    <row r="83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>
      <c r="H84" t="inlineStr">
        <is>
          <t>Social Security (6.2%)</t>
        </is>
      </c>
      <c r="I84" s="12">
        <f>MIN(I83,SUMIFS(tblThresholds[Value], tblThresholds[Year], 2025, tblThresholds[FilingStatus], Filing_Status, tblThresholds[Item], "SS_Wage_Base"))*0.062</f>
        <v/>
      </c>
      <c r="J84" s="12">
        <f>MIN(J83,SUMIFS(tblThresholds[Value], tblThresholds[Year], 2025, tblThresholds[FilingStatus], Filing_Status, tblThresholds[Item], "SS_Wage_Base"))*0.062</f>
        <v/>
      </c>
      <c r="K84" s="12" t="n"/>
    </row>
    <row r="85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>
      <c r="H86" t="inlineStr">
        <is>
          <t>Addl Medicare (0.9% &gt; threshold)</t>
        </is>
      </c>
      <c r="I86" s="12">
        <f>MAX(0,(I83-SUMIFS(tblThresholds[Value],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J86" s="12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2" t="n"/>
    </row>
    <row r="87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>
      <c r="H90" s="13" t="n"/>
      <c r="I90" s="20" t="n"/>
      <c r="J90" s="20" t="n"/>
      <c r="K90" s="20" t="n"/>
    </row>
    <row r="91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>
      <c r="I92" s="12" t="n"/>
      <c r="J92" s="12" t="n"/>
      <c r="K92" s="12" t="n"/>
    </row>
    <row r="93">
      <c r="H93" s="101" t="inlineStr">
        <is>
          <t>3. ORDINARY INCOME TAX</t>
        </is>
      </c>
      <c r="I93" s="12" t="n"/>
      <c r="J93" s="12" t="n"/>
      <c r="K93" s="12" t="n"/>
    </row>
    <row r="94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>
      <c r="H96" t="inlineStr">
        <is>
          <t>Tax (SUMPRODUCT bracket lookup)</t>
        </is>
      </c>
      <c r="I96" s="12">
        <f t="array" ref="I96">SUMPRODUCT((tblBrackets_FIT[Year]=2025)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>
      <c r="I98" s="12" t="n"/>
      <c r="J98" s="12" t="n"/>
      <c r="K98" s="12" t="n"/>
    </row>
    <row r="99">
      <c r="H99" s="101" t="inlineStr">
        <is>
          <t>4. CAPITAL GAINS / QUALIFIED DIVIDENDS TAX</t>
        </is>
      </c>
      <c r="I99" s="12" t="n"/>
      <c r="J99" s="12" t="n"/>
      <c r="K99" s="12" t="n"/>
    </row>
    <row r="100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>
      <c r="H103" t="inlineStr">
        <is>
          <t>Full CG Rate Tax (SUMPRODUCT stack)</t>
        </is>
      </c>
      <c r="I103" s="12">
        <f t="array" ref="I103">SUMPRODUCT((Tax_Ref!$B$210:$B$281=2025)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>
      <c r="H104" t="inlineStr">
        <is>
          <t>CG Rate Tax on Ordinary only</t>
        </is>
      </c>
      <c r="I104" s="12">
        <f t="array" ref="I104">SUMPRODUCT((Tax_Ref!$B$210:$B$281=2025)*(Tax_Ref!$C$210:$C$281=Filing_Status)*((I102&gt;Tax_Ref!$E$210:$E$281)*(Tax_Ref!$E$210:$E$281-Tax_Ref!$D$210:$D$281)+(I102&gt;Tax_Ref!$D$210:$D$281)*(I102&lt;=Tax_Ref!$E$210:$E$281)*(I102-Tax_Ref!$D$210:$D$281))*Tax_Ref!$F$210:$F$281)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>
      <c r="I106" s="12">
        <f>I33*0.25</f>
        <v/>
      </c>
      <c r="J106" s="12">
        <f>J33*0.25</f>
        <v/>
      </c>
      <c r="K106" s="12" t="n"/>
    </row>
    <row r="107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>
      <c r="I108" s="12" t="n"/>
      <c r="J108" s="12" t="n"/>
      <c r="K108" s="12" t="n"/>
    </row>
    <row r="109">
      <c r="H109" s="101" t="inlineStr">
        <is>
          <t>5. NET INVESTMENT INCOME TAX (NIIT)</t>
        </is>
      </c>
      <c r="I109" s="12" t="n"/>
      <c r="J109" s="12" t="n"/>
      <c r="K109" s="12" t="n"/>
    </row>
    <row r="110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>
      <c r="H111" t="inlineStr">
        <is>
          <t>NIIT Threshold</t>
        </is>
      </c>
      <c r="I111" s="12">
        <f>SUMIFS(tblThresholds[Value], tblThresholds[Year], 2025, tblThresholds[FilingStatus], Filing_Status, tblThresholds[Item], "NIIT_Threshold")</f>
        <v/>
      </c>
      <c r="J111" s="12">
        <f>SUMIFS(tblThresholds[Value], tblThresholds[Year], 2025, tblThresholds[FilingStatus], Filing_Status, tblThresholds[Item], "NIIT_Threshold")</f>
        <v/>
      </c>
      <c r="K111" s="12" t="n"/>
    </row>
    <row r="112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>
      <c r="H114" s="13" t="inlineStr">
        <is>
          <t>NIIT (3.8%)</t>
        </is>
      </c>
      <c r="I114" s="20">
        <f>MIN(I112,I113)*SUMIFS(tblThresholds[Value], tblThresholds[Year], 2025, tblThresholds[FilingStatus], Filing_Status, tblThresholds[Item], "NIIT_Rate")</f>
        <v/>
      </c>
      <c r="J114" s="20">
        <f>MIN(J112,J113)*SUMIFS(tblThresholds[Value], tblThresholds[Year], 2025, tblThresholds[FilingStatus], Filing_Status, tblThresholds[Item], "NIIT_Rate")</f>
        <v/>
      </c>
      <c r="K114" s="20">
        <f>I114-J114</f>
        <v/>
      </c>
    </row>
    <row r="115">
      <c r="I115" s="12" t="n"/>
      <c r="J115" s="12" t="n"/>
      <c r="K115" s="12" t="n"/>
    </row>
    <row r="116">
      <c r="H116" s="101" t="inlineStr">
        <is>
          <t>6. QBI DEDUCTION (§199A)</t>
        </is>
      </c>
      <c r="I116" s="12" t="n"/>
      <c r="J116" s="12" t="n"/>
      <c r="K116" s="12" t="n"/>
    </row>
    <row r="117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>
      <c r="H121" t="inlineStr">
        <is>
          <t>Phase-in applies?</t>
        </is>
      </c>
      <c r="I121" s="12">
        <f>IF(I41&gt;SUMIFS(tblThresholds[Value], tblThresholds[Year], 2025, tblThresholds[FilingStatus], Filing_Status, tblThresholds[Item], "QBI_Threshold_Start"),"YES","NO")</f>
        <v/>
      </c>
      <c r="J121" s="12">
        <f>IF(J41&gt;SUMIFS(tblThresholds[Value], tblThresholds[Year], 2025, tblThresholds[FilingStatus], Filing_Status, tblThresholds[Item], "QBI_Threshold_Start"),"YES","NO")</f>
        <v/>
      </c>
      <c r="K121" s="12" t="n"/>
    </row>
    <row r="122">
      <c r="H122" s="13" t="inlineStr">
        <is>
          <t>QBI DEDUCTION</t>
        </is>
      </c>
      <c r="I122" s="20">
        <f>IF(AND(I45=TRUE,I41&gt;SUMIFS(tblThresholds[Value], tblThresholds[Year], 2025, tblThresholds[FilingStatus], Filing_Status, tblThresholds[Item], "QBI_Threshold_End")),0,IF(I41&lt;=SUMIFS(tblThresholds[Value], tblThresholds[Year], 2025, tblThresholds[FilingStatus], Filing_Status, tblThresholds[Item], "QBI_Threshold_Start"),MIN(I118,I119),MIN(I118,I119,I120)))</f>
        <v/>
      </c>
      <c r="J122" s="20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20">
        <f>J122-I122</f>
        <v/>
      </c>
    </row>
    <row r="123">
      <c r="I123" s="12" t="n"/>
      <c r="J123" s="12" t="n"/>
      <c r="K123" s="12" t="n"/>
    </row>
    <row r="124">
      <c r="H124" s="101" t="inlineStr">
        <is>
          <t>7. COMBINED TAX SUMMARY</t>
        </is>
      </c>
      <c r="I124" s="12" t="n"/>
      <c r="J124" s="12" t="n"/>
      <c r="K124" s="12" t="n"/>
    </row>
    <row r="125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>
      <c r="I132" s="12" t="n"/>
      <c r="J132" s="12" t="n"/>
      <c r="K132" s="12" t="n"/>
    </row>
    <row r="133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>
      <c r="H134" t="inlineStr">
        <is>
          <t>Effective Rate (vs Total Income)</t>
        </is>
      </c>
      <c r="I134" s="24">
        <f>IFERROR(I133/I125,0)</f>
        <v/>
      </c>
      <c r="J134" s="24">
        <f>IFERROR(J133/J125,0)</f>
        <v/>
      </c>
      <c r="K134" s="24">
        <f>I134-J134</f>
        <v/>
      </c>
    </row>
    <row r="135">
      <c r="I135" s="12" t="n"/>
      <c r="J135" s="12" t="n"/>
      <c r="K135" s="12" t="n"/>
    </row>
    <row r="136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H49" showDropDown="0" showInputMessage="0" showErrorMessage="0" allowBlank="0" type="list">
      <formula1>"1z,2a,2b,3a,3b,7,8,9,10,11,12,13,15"</formula1>
    </dataValidation>
    <dataValidation sqref="K6:K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topLeftCell="B29"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Y2026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SUMIFS(tblMaster_Inputs[Baseline_Amount],tblMaster_Inputs[Year],2026,tblMaster_Inputs[Primary_Line],$H6, tblMaster_Inputs[Activity_Type], "Baseline")</f>
        <v/>
      </c>
      <c r="K6" s="55" t="n"/>
      <c r="L6" s="4" t="n"/>
      <c r="M6" s="12">
        <f>SUMIFS(tblY2026_Strategies[Amount],tblY2026_Strategies[TargetLine],$H6)-SUMIFS(tblY2026_Strategies[Amount],tblY2026_Strategies[CounterLine],$H6)</f>
        <v/>
      </c>
      <c r="N6" s="12">
        <f>IF(UPPER(K6)="Y",SUMIFS(tblMaster_Inputs[Baseline_Amount],tblMaster_Inputs[Year],2025,tblMaster_Inputs[Primary_Line],"1z"),IF(ISBLANK(L6),J6,L6))</f>
        <v/>
      </c>
      <c r="O6" s="12">
        <f>N6+M6</f>
        <v/>
      </c>
      <c r="P6" s="8">
        <f>HYPERLINK("#Y2026!I49","↗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</t>
        </is>
      </c>
      <c r="J7" s="12">
        <f>SUMIFS(tblMaster_Inputs[Helper_Amount],tblMaster_Inputs[Year],2026,tblMaster_Inputs[Helper_Treatment],"TAX_EXEMPT")</f>
        <v/>
      </c>
      <c r="K7" s="55" t="n"/>
      <c r="L7" s="4" t="n"/>
      <c r="M7">
        <f>SUMIFS(tblY2026_Strategies[Amount],tblY2026_Strategies[TargetLine],"2a",tblY2026_Strategies[Status],"Committed")</f>
        <v/>
      </c>
      <c r="N7" s="12">
        <f>IF(UPPER(K7)="Y",SUMIFS(tblMaster_Inputs[Helper_Amount],tblMaster_Inputs[Year],2025,tblMaster_Inputs[Helper_Treatment],"TAX_EXEMPT"),IF(ISBLANK(L7),J7,L7))</f>
        <v/>
      </c>
      <c r="O7" s="12">
        <f>N7</f>
        <v/>
      </c>
      <c r="P7" s="8">
        <f>HYPERLINK("#Y2026!I49","↗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SUMIFS(tblMaster_Inputs[Baseline_Amount],tblMaster_Inputs[Year],2026,tblMaster_Inputs[Primary_Line],$H8, tblMaster_Inputs[Activity_Type], "Baseline")</f>
        <v/>
      </c>
      <c r="K8" s="55" t="n"/>
      <c r="L8" s="4" t="n"/>
      <c r="M8" s="12">
        <f>SUMIFS(tblY2026_Strategies[Amount],tblY2026_Strategies[TargetLine],$H8)-SUMIFS(tblY2026_Strategies[Amount],tblY2026_Strategies[CounterLine],$H8)</f>
        <v/>
      </c>
      <c r="N8" s="12">
        <f>IF(UPPER(K8)="Y",SUMIFS(tblMaster_Inputs[Baseline_Amount],tblMaster_Inputs[Year],2025,tblMaster_Inputs[Primary_Line],"2b"),IF(ISBLANK(L8),J8,L8))</f>
        <v/>
      </c>
      <c r="O8" s="12">
        <f>N8+M8</f>
        <v/>
      </c>
      <c r="P8" s="8">
        <f>HYPERLINK("#Y2026!I49","↗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</t>
        </is>
      </c>
      <c r="J9" s="12">
        <f>SUMIFS(tblMaster_Inputs[Helper_Amount],tblMaster_Inputs[Year],2026,tblMaster_Inputs[Helper_Treatment],"QUAL_DIV")</f>
        <v/>
      </c>
      <c r="K9" s="55" t="n"/>
      <c r="L9" s="4" t="n"/>
      <c r="M9">
        <f>SUMIFS(tblY2026_Strategies[Amount],tblY2026_Strategies[TargetLine],"3a",tblY2026_Strategies[Status],"Committed")</f>
        <v/>
      </c>
      <c r="N9" s="12">
        <f>IF(UPPER(K9)="Y",SUMIFS(tblMaster_Inputs[Helper_Amount],tblMaster_Inputs[Year],2025,tblMaster_Inputs[Helper_Treatment],"QUAL_DIV"),IF(ISBLANK(L9),J9,L9))</f>
        <v/>
      </c>
      <c r="O9" s="12">
        <f>N9</f>
        <v/>
      </c>
      <c r="P9" s="8">
        <f>HYPERLINK("#Y2026!I49","↗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SUMIFS(tblMaster_Inputs[Baseline_Amount],tblMaster_Inputs[Year],2026,tblMaster_Inputs[Primary_Line],$H10, tblMaster_Inputs[Activity_Type], "Baseline")</f>
        <v/>
      </c>
      <c r="K10" s="55" t="n"/>
      <c r="L10" s="4" t="n"/>
      <c r="M10" s="12">
        <f>SUMIFS(tblY2026_Strategies[Amount],tblY2026_Strategies[TargetLine],$H10)-SUMIFS(tblY2026_Strategies[Amount],tblY2026_Strategies[CounterLine],$H10)</f>
        <v/>
      </c>
      <c r="N10" s="12">
        <f>IF(UPPER(K10)="Y",SUMIFS(tblMaster_Inputs[Baseline_Amount],tblMaster_Inputs[Year],2025,tblMaster_Inputs[Primary_Line],"3b"),IF(ISBLANK(L10),J10,L10))</f>
        <v/>
      </c>
      <c r="O10" s="12">
        <f>N10+M10</f>
        <v/>
      </c>
      <c r="P10" s="8">
        <f>HYPERLINK("#Y2026!I49","↗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gain/(loss)</t>
        </is>
      </c>
      <c r="J11" s="12">
        <f>SUMIFS(tblMaster_Inputs[Baseline_Amount],tblMaster_Inputs[Year],2026,tblMaster_Inputs[Primary_Line],$H11, tblMaster_Inputs[Activity_Type], "Baseline")</f>
        <v/>
      </c>
      <c r="K11" s="55" t="n"/>
      <c r="L11" s="4" t="n"/>
      <c r="M11" s="12">
        <f>SUMIFS(tblY2026_Strategies[Amount],tblY2026_Strategies[TargetLine],$H11)-SUMIFS(tblY2026_Strategies[Amount],tblY2026_Strategies[CounterLine],$H11)</f>
        <v/>
      </c>
      <c r="N11" s="12">
        <f>IF(UPPER(K11)="Y",SUMIFS(tblMaster_Inputs[Baseline_Amount],tblMaster_Inputs[Year],2025,tblMaster_Inputs[Primary_Line],"7"),IF(ISBLANK(L11),J11,L11))</f>
        <v/>
      </c>
      <c r="O11" s="12">
        <f>N11+M11</f>
        <v/>
      </c>
      <c r="P11" s="8">
        <f>HYPERLINK("#Y2026!I49","↗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(business)</t>
        </is>
      </c>
      <c r="J12" s="12">
        <f>SUMIFS(tblMaster_Inputs[Baseline_Amount],tblMaster_Inputs[Year],2026,tblMaster_Inputs[Primary_Line],$H12, tblMaster_Inputs[Activity_Type], "Baseline")</f>
        <v/>
      </c>
      <c r="K12" s="55" t="n"/>
      <c r="L12" s="4" t="n"/>
      <c r="M12" s="12">
        <f>SUMIFS(tblY2026_Strategies[Amount],tblY2026_Strategies[TargetLine],$H12)-SUMIFS(tblY2026_Strategies[Amount],tblY2026_Strategies[CounterLine],$H12)</f>
        <v/>
      </c>
      <c r="N12" s="12">
        <f>IF(UPPER(K12)="Y",SUMIFS(tblMaster_Inputs[Baseline_Amount],tblMaster_Inputs[Year],2025,tblMaster_Inputs[Primary_Line],"8"),IF(ISBLANK(L12),J12,L12))</f>
        <v/>
      </c>
      <c r="O12" s="12">
        <f>N12+M12</f>
        <v/>
      </c>
      <c r="P12" s="8">
        <f>HYPERLINK("#Y2026!I49","↗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HYPERLINK("#Y2026!I49","↗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</t>
        </is>
      </c>
      <c r="J14" s="12">
        <f>SUMIFS(tblMaster_Inputs[Baseline_Amount],tblMaster_Inputs[Year],2026,tblMaster_Inputs[Primary_Line],$H14, tblMaster_Inputs[Activity_Type], "Baseline")</f>
        <v/>
      </c>
      <c r="K14" s="55" t="n"/>
      <c r="L14" s="4" t="n"/>
      <c r="M14" s="12">
        <f>SUMIFS(tblY2026_Strategies[Amount],tblY2026_Strategies[TargetLine],$H14)-SUMIFS(tblY2026_Strategies[Amount],tblY2026_Strategies[CounterLine],$H14)</f>
        <v/>
      </c>
      <c r="N14" s="12">
        <f>IF(UPPER(K14)="Y",SUMIFS(tblMaster_Inputs[Baseline_Amount],tblMaster_Inputs[Year],2025,tblMaster_Inputs[Primary_Line],"10"),IF(ISBLANK(L14),J14,L14))</f>
        <v/>
      </c>
      <c r="O14" s="12">
        <f>N14+M14</f>
        <v/>
      </c>
      <c r="P14" s="8">
        <f>HYPERLINK("#Y2026!I49","↗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HYPERLINK("#Y2026!I49","↗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</t>
        </is>
      </c>
      <c r="J16" s="12">
        <f>SUMIFS(tblMaster_Inputs[Baseline_Amount],tblMaster_Inputs[Year],2026,tblMaster_Inputs[Primary_Line],$H16, tblMaster_Inputs[Activity_Type], "Baseline")</f>
        <v/>
      </c>
      <c r="K16" s="55" t="n"/>
      <c r="L16" s="4" t="n"/>
      <c r="M16" s="12">
        <f>SUMIFS(tblY2026_Strategies[Amount],tblY2026_Strategies[TargetLine],$H16)-SUMIFS(tblY2026_Strategies[Amount],tblY2026_Strategies[CounterLine],$H16)</f>
        <v/>
      </c>
      <c r="N16" s="12">
        <f>IF(UPPER(K16)="Y",SUMIFS(tblMaster_Inputs[Baseline_Amount],tblMaster_Inputs[Year],2025,tblMaster_Inputs[Primary_Line],"12"),IF(ISBLANK(L16),J16,L16))</f>
        <v/>
      </c>
      <c r="O16" s="12">
        <f>N16+M16</f>
        <v/>
      </c>
      <c r="P16" s="8">
        <f>HYPERLINK("#Y2026!I49","↗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SUMIFS(tblMaster_Inputs[Baseline_Amount],tblMaster_Inputs[Year],2026,tblMaster_Inputs[Primary_Line],$H17, tblMaster_Inputs[Activity_Type], "Baseline")</f>
        <v/>
      </c>
      <c r="K17" s="55" t="n"/>
      <c r="L17" s="4" t="n"/>
      <c r="M17" s="12">
        <f>SUMIFS(tblY2026_Strategies[Amount],tblY2026_Strategies[TargetLine],$H17)-SUMIFS(tblY2026_Strategies[Amount],tblY2026_Strategies[CounterLine],$H17)</f>
        <v/>
      </c>
      <c r="N17" s="12">
        <f>IF(UPPER(K17)="Y",SUMIFS(tblMaster_Inputs[Baseline_Amount],tblMaster_Inputs[Year],2025,tblMaster_Inputs[Primary_Line],"13"),IF(ISBLANK(L17),J17,L17))</f>
        <v/>
      </c>
      <c r="O17" s="12">
        <f>N17+M17</f>
        <v/>
      </c>
      <c r="P17" s="8">
        <f>HYPERLINK("#Y2026!I49","↗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HYPERLINK("#Y2026!I49","↗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SUMIFS(tblMaster_Inputs[Baseline_Amount],tblMaster_Inputs[Year],2026,tblMaster_Inputs[Treatment_Profile],"W2_SCorpOwner", tblMaster_Inputs[Activity_Type], "Baseline")</f>
        <v/>
      </c>
      <c r="J23" s="12">
        <f>I23+SUMIFS(tblY2026_Strategies[Amount],tblY2026_Strategies[TargetLine],"1z")-SUMIFS(tblY2026_Strategies[Amount],tblY2026_Strategies[CounterLine],"1z")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SUMIFS(tblMaster_Inputs[Baseline_Amount],tblMaster_Inputs[Year],2026,tblMaster_Inputs[Treatment_Profile],"W2_Employee",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</t>
        </is>
      </c>
      <c r="I26" s="12">
        <f>SUMIFS(tblMaster_Inputs[Baseline_Amount],tblMaster_Inputs[Year],2026,tblMaster_Inputs[Bucket],"Business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</t>
        </is>
      </c>
      <c r="I27" s="12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J27" s="12">
        <f>I27+SUMIFS(tblY2026_Strategies[Amount],tblY2026_Strategies[TargetLine],"8")-SUMIFS(tblY2026_Strategies[Amount],tblY2026_Strategies[CounterLine],"8")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COUNTIF(tblY2026_Strategies[Status],"Committed")</f>
        <v/>
      </c>
      <c r="C28" s="98" t="inlineStr">
        <is>
          <t>Net Strategy Impact</t>
        </is>
      </c>
      <c r="D28" s="95">
        <f>SUMIF(tblY2026_Strategies[Status],"Committed",tblY2026_Strategies[Amount])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SUMIFS(tblMaster_Inputs[Baseline_Amount],tblMaster_Inputs[Year],2026,tblMaster_Inputs[Bucket],"Business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</t>
        </is>
      </c>
      <c r="I29" s="12">
        <f>SUMIFS(tblMaster_Inputs[Helper_Amount],tblMaster_Inputs[Year],2026,tblMaster_Inputs[Helper_Treatment],"TAX_EXEMPT")</f>
        <v/>
      </c>
      <c r="J29" s="12">
        <f>I29+SUMIFS(tblY2026_Strategies[Amount],tblY2026_Strategies[TargetLine],"2a")-SUMIFS(tblY2026_Strategies[Amount],tblY2026_Strategies[CounterLine],"2a")</f>
        <v/>
      </c>
      <c r="K29" s="2" t="n"/>
    </row>
    <row r="30" ht="14.5" customHeight="1" s="19">
      <c r="H30" t="inlineStr">
        <is>
          <t>Qualified div</t>
        </is>
      </c>
      <c r="I30" s="12">
        <f>SUMIFS(tblMaster_Inputs[Helper_Amount],tblMaster_Inputs[Year],2026,tblMaster_Inputs[Helper_Treatment],"QUAL_DIV",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LT cap gains</t>
        </is>
      </c>
      <c r="I31" s="12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J31" s="12">
        <f>I31+SUMIFS(tblY2026_Strategies[Amount],tblY2026_Strategies[TargetLine],"7")-SUMIFS(tblY2026_Strategies[Amount],tblY2026_Strategies[CounterLine],"7")</f>
        <v/>
      </c>
      <c r="K31" s="2" t="n"/>
    </row>
    <row r="32" ht="14.5" customHeight="1" s="19">
      <c r="H32" t="inlineStr">
        <is>
          <t>ST cap gains</t>
        </is>
      </c>
      <c r="I32" s="12">
        <f>SUMIFS(tblMaster_Inputs[Baseline_Amount],tblMaster_Inputs[Year],2026,tblMaster_Inputs[Treatment_Profile],"STCG_Stock",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SUMIFS(tblMaster_Inputs[Helper_Amount],tblMaster_Inputs[Year],2026,tblMaster_Inputs[Helper_Treatment],"SEC1250",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TI-LTCG-QD-1250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2026, tblThresholds[FilingStatus], Filing_Status, tblThresholds[Item], "SE_Earnings_Factor")</f>
        <v/>
      </c>
      <c r="J71" s="20">
        <f>J70*SUMIFS(tblThresholds[Value], tblThresholds[Year], 2026,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2026, tblThresholds[FilingStatus], Filing_Status, tblThresholds[Item], "SS_Wage_Base")-I72)</f>
        <v/>
      </c>
      <c r="J73" s="12">
        <f>MAX(0,SUMIFS(tblThresholds[Value], tblThresholds[Year], 2026,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2026, tblThresholds[FilingStatus], Filing_Status, tblThresholds[Item], "SS_Rate_Combined")</f>
        <v/>
      </c>
      <c r="J75" s="12">
        <f>J74*SUMIFS(tblThresholds[Value], tblThresholds[Year], 2026,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2026, tblThresholds[FilingStatus], Filing_Status, tblThresholds[Item], "Medicare_Rate_Combined")</f>
        <v/>
      </c>
      <c r="J76" s="52">
        <f>J71*SUMIFS(tblThresholds[Value], tblThresholds[Year], 2026,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J77" s="12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2026, tblThresholds[FilingStatus], Filing_Status, tblThresholds[Item], "SS_Wage_Base"))*0.062</f>
        <v/>
      </c>
      <c r="J84" s="12">
        <f>MIN(J83,SUMIFS(tblThresholds[Value], tblThresholds[Year], 2026,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J86" s="12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2026)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2026)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SUMPRODUCT((Tax_Ref!$B$210:$B$281=2026)*(Tax_Ref!$C$210:$C$281=Filing_Status)*((I102&gt;Tax_Ref!$E$210:$E$281)*(Tax_Ref!$E$210:$E$281-Tax_Ref!$D$210:$D$281)+(I102&gt;Tax_Ref!$D$210:$D$281)*(I102&lt;=Tax_Ref!$E$210:$E$281)*(I102-Tax_Ref!$D$210:$D$281))*Tax_Ref!$F$210:$F$281)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2026, tblThresholds[FilingStatus], Filing_Status, tblThresholds[Item], "NIIT_Threshold")</f>
        <v/>
      </c>
      <c r="J111" s="12">
        <f>SUMIFS(tblThresholds[Value], tblThresholds[Year], 2026,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2026, tblThresholds[FilingStatus], Filing_Status, tblThresholds[Item], "NIIT_Rate")</f>
        <v/>
      </c>
      <c r="J114" s="20">
        <f>MIN(J112,J113)*SUMIFS(tblThresholds[Value], tblThresholds[Year], 2026,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2026, tblThresholds[FilingStatus], Filing_Status, tblThresholds[Item], "QBI_Threshold_Start"),"YES","NO")</f>
        <v/>
      </c>
      <c r="J121" s="12">
        <f>IF(J41&gt;SUMIFS(tblThresholds[Value], tblThresholds[Year], 2026,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2026, tblThresholds[FilingStatus], Filing_Status, tblThresholds[Item], "QBI_Threshold_End")),0,IF(I41&lt;=SUMIFS(tblThresholds[Value], tblThresholds[Year], 2026, tblThresholds[FilingStatus], Filing_Status, tblThresholds[Item], "QBI_Threshold_Start"),MIN(I118,I119),MIN(I118,I119,I120)))</f>
        <v/>
      </c>
      <c r="J122" s="20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Y2027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SUMIFS(tblMaster_Inputs[Baseline_Amount],tblMaster_Inputs[Year],2027,tblMaster_Inputs[Primary_Line],$H6, tblMaster_Inputs[Activity_Type], "Baseline")</f>
        <v/>
      </c>
      <c r="K6" s="55" t="n"/>
      <c r="L6" s="4" t="n"/>
      <c r="M6" s="12">
        <f>SUMIFS(tblY2027_Strategies[Amount],tblY2027_Strategies[TargetLine],$H6)-SUMIFS(tblY2027_Strategies[Amount],tblY2027_Strategies[CounterLine],$H6)</f>
        <v/>
      </c>
      <c r="N6" s="12">
        <f>IF(UPPER(K6)="Y",SUMIFS(tblMaster_Inputs[Baseline_Amount],tblMaster_Inputs[Year],2026,tblMaster_Inputs[Primary_Line],"1z"),IF(ISBLANK(L6),J6,L6))</f>
        <v/>
      </c>
      <c r="O6" s="12">
        <f>N6+M6</f>
        <v/>
      </c>
      <c r="P6" s="8">
        <f>HYPERLINK("#Y2027!I49","↗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</t>
        </is>
      </c>
      <c r="J7" s="12">
        <f>SUMIFS(tblMaster_Inputs[Helper_Amount],tblMaster_Inputs[Year],2027,tblMaster_Inputs[Helper_Treatment],"TAX_EXEMPT")</f>
        <v/>
      </c>
      <c r="K7" s="55" t="n"/>
      <c r="L7" s="4" t="n"/>
      <c r="M7">
        <f>SUMIFS(tblY2027_Strategies[Amount],tblY2027_Strategies[TargetLine],"2a",tblY2027_Strategies[Status],"Committed")</f>
        <v/>
      </c>
      <c r="N7" s="12">
        <f>IF(UPPER(K7)="Y",SUMIFS(tblMaster_Inputs[Helper_Amount],tblMaster_Inputs[Year],2026,tblMaster_Inputs[Helper_Treatment],"TAX_EXEMPT"),IF(ISBLANK(L7),J7,L7))</f>
        <v/>
      </c>
      <c r="O7" s="12">
        <f>N7</f>
        <v/>
      </c>
      <c r="P7" s="8">
        <f>HYPERLINK("#Y2027!I49","↗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SUMIFS(tblMaster_Inputs[Baseline_Amount],tblMaster_Inputs[Year],2027,tblMaster_Inputs[Primary_Line],$H8, tblMaster_Inputs[Activity_Type], "Baseline")</f>
        <v/>
      </c>
      <c r="K8" s="55" t="n"/>
      <c r="L8" s="4" t="n"/>
      <c r="M8" s="12">
        <f>SUMIFS(tblY2027_Strategies[Amount],tblY2027_Strategies[TargetLine],$H8)-SUMIFS(tblY2027_Strategies[Amount],tblY2027_Strategies[CounterLine],$H8)</f>
        <v/>
      </c>
      <c r="N8" s="12">
        <f>IF(UPPER(K8)="Y",SUMIFS(tblMaster_Inputs[Baseline_Amount],tblMaster_Inputs[Year],2026,tblMaster_Inputs[Primary_Line],"2b"),IF(ISBLANK(L8),J8,L8))</f>
        <v/>
      </c>
      <c r="O8" s="12">
        <f>N8+M8</f>
        <v/>
      </c>
      <c r="P8" s="8">
        <f>HYPERLINK("#Y2027!I49","↗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</t>
        </is>
      </c>
      <c r="J9" s="12">
        <f>SUMIFS(tblMaster_Inputs[Helper_Amount],tblMaster_Inputs[Year],2027,tblMaster_Inputs[Helper_Treatment],"QUAL_DIV")</f>
        <v/>
      </c>
      <c r="K9" s="55" t="n"/>
      <c r="L9" s="4" t="n"/>
      <c r="M9">
        <f>SUMIFS(tblY2027_Strategies[Amount],tblY2027_Strategies[TargetLine],"3a",tblY2027_Strategies[Status],"Committed")</f>
        <v/>
      </c>
      <c r="N9" s="12">
        <f>IF(UPPER(K9)="Y",SUMIFS(tblMaster_Inputs[Helper_Amount],tblMaster_Inputs[Year],2026,tblMaster_Inputs[Helper_Treatment],"QUAL_DIV"),IF(ISBLANK(L9),J9,L9))</f>
        <v/>
      </c>
      <c r="O9" s="12">
        <f>N9</f>
        <v/>
      </c>
      <c r="P9" s="8">
        <f>HYPERLINK("#Y2027!I49","↗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SUMIFS(tblMaster_Inputs[Baseline_Amount],tblMaster_Inputs[Year],2027,tblMaster_Inputs[Primary_Line],$H10, tblMaster_Inputs[Activity_Type], "Baseline")</f>
        <v/>
      </c>
      <c r="K10" s="55" t="n"/>
      <c r="L10" s="4" t="n"/>
      <c r="M10" s="12">
        <f>SUMIFS(tblY2027_Strategies[Amount],tblY2027_Strategies[TargetLine],$H10)-SUMIFS(tblY2027_Strategies[Amount],tblY2027_Strategies[CounterLine],$H10)</f>
        <v/>
      </c>
      <c r="N10" s="12">
        <f>IF(UPPER(K10)="Y",SUMIFS(tblMaster_Inputs[Baseline_Amount],tblMaster_Inputs[Year],2026,tblMaster_Inputs[Primary_Line],"3b"),IF(ISBLANK(L10),J10,L10))</f>
        <v/>
      </c>
      <c r="O10" s="12">
        <f>N10+M10</f>
        <v/>
      </c>
      <c r="P10" s="8">
        <f>HYPERLINK("#Y2027!I49","↗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gain/(loss)</t>
        </is>
      </c>
      <c r="J11" s="12">
        <f>SUMIFS(tblMaster_Inputs[Baseline_Amount],tblMaster_Inputs[Year],2027,tblMaster_Inputs[Primary_Line],$H11, tblMaster_Inputs[Activity_Type], "Baseline")</f>
        <v/>
      </c>
      <c r="K11" s="55" t="n"/>
      <c r="L11" s="4" t="n"/>
      <c r="M11" s="12">
        <f>SUMIFS(tblY2027_Strategies[Amount],tblY2027_Strategies[TargetLine],$H11)-SUMIFS(tblY2027_Strategies[Amount],tblY2027_Strategies[CounterLine],$H11)</f>
        <v/>
      </c>
      <c r="N11" s="12">
        <f>IF(UPPER(K11)="Y",SUMIFS(tblMaster_Inputs[Baseline_Amount],tblMaster_Inputs[Year],2026,tblMaster_Inputs[Primary_Line],"7"),IF(ISBLANK(L11),J11,L11))</f>
        <v/>
      </c>
      <c r="O11" s="12">
        <f>N11+M11</f>
        <v/>
      </c>
      <c r="P11" s="8">
        <f>HYPERLINK("#Y2027!I49","↗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(business)</t>
        </is>
      </c>
      <c r="J12" s="12">
        <f>SUMIFS(tblMaster_Inputs[Baseline_Amount],tblMaster_Inputs[Year],2027,tblMaster_Inputs[Primary_Line],$H12, tblMaster_Inputs[Activity_Type], "Baseline")</f>
        <v/>
      </c>
      <c r="K12" s="55" t="n"/>
      <c r="L12" s="4" t="n"/>
      <c r="M12" s="12">
        <f>SUMIFS(tblY2027_Strategies[Amount],tblY2027_Strategies[TargetLine],$H12)-SUMIFS(tblY2027_Strategies[Amount],tblY2027_Strategies[CounterLine],$H12)</f>
        <v/>
      </c>
      <c r="N12" s="12">
        <f>IF(UPPER(K12)="Y",SUMIFS(tblMaster_Inputs[Baseline_Amount],tblMaster_Inputs[Year],2026,tblMaster_Inputs[Primary_Line],"8"),IF(ISBLANK(L12),J12,L12))</f>
        <v/>
      </c>
      <c r="O12" s="12">
        <f>N12+M12</f>
        <v/>
      </c>
      <c r="P12" s="8">
        <f>HYPERLINK("#Y2027!I49","↗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HYPERLINK("#Y2027!I49","↗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</t>
        </is>
      </c>
      <c r="J14" s="12">
        <f>SUMIFS(tblMaster_Inputs[Baseline_Amount],tblMaster_Inputs[Year],2027,tblMaster_Inputs[Primary_Line],$H14, tblMaster_Inputs[Activity_Type], "Baseline")</f>
        <v/>
      </c>
      <c r="K14" s="55" t="n"/>
      <c r="L14" s="4" t="n"/>
      <c r="M14" s="12">
        <f>SUMIFS(tblY2027_Strategies[Amount],tblY2027_Strategies[TargetLine],$H14)-SUMIFS(tblY2027_Strategies[Amount],tblY2027_Strategies[CounterLine],$H14)</f>
        <v/>
      </c>
      <c r="N14" s="12">
        <f>IF(UPPER(K14)="Y",SUMIFS(tblMaster_Inputs[Baseline_Amount],tblMaster_Inputs[Year],2026,tblMaster_Inputs[Primary_Line],"10"),IF(ISBLANK(L14),J14,L14))</f>
        <v/>
      </c>
      <c r="O14" s="12">
        <f>N14+M14</f>
        <v/>
      </c>
      <c r="P14" s="8">
        <f>HYPERLINK("#Y2027!I49","↗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HYPERLINK("#Y2027!I49","↗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</t>
        </is>
      </c>
      <c r="J16" s="12">
        <f>SUMIFS(tblMaster_Inputs[Baseline_Amount],tblMaster_Inputs[Year],2027,tblMaster_Inputs[Primary_Line],$H16, tblMaster_Inputs[Activity_Type], "Baseline")</f>
        <v/>
      </c>
      <c r="K16" s="55" t="n"/>
      <c r="L16" s="4" t="n"/>
      <c r="M16" s="12">
        <f>SUMIFS(tblY2027_Strategies[Amount],tblY2027_Strategies[TargetLine],$H16)-SUMIFS(tblY2027_Strategies[Amount],tblY2027_Strategies[CounterLine],$H16)</f>
        <v/>
      </c>
      <c r="N16" s="12">
        <f>IF(UPPER(K16)="Y",SUMIFS(tblMaster_Inputs[Baseline_Amount],tblMaster_Inputs[Year],2026,tblMaster_Inputs[Primary_Line],"12"),IF(ISBLANK(L16),J16,L16))</f>
        <v/>
      </c>
      <c r="O16" s="12">
        <f>N16+M16</f>
        <v/>
      </c>
      <c r="P16" s="8">
        <f>HYPERLINK("#Y2027!I49","↗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SUMIFS(tblMaster_Inputs[Baseline_Amount],tblMaster_Inputs[Year],2027,tblMaster_Inputs[Primary_Line],$H17, tblMaster_Inputs[Activity_Type], "Baseline")</f>
        <v/>
      </c>
      <c r="K17" s="55" t="n"/>
      <c r="L17" s="4" t="n"/>
      <c r="M17" s="12">
        <f>SUMIFS(tblY2027_Strategies[Amount],tblY2027_Strategies[TargetLine],$H17)-SUMIFS(tblY2027_Strategies[Amount],tblY2027_Strategies[CounterLine],$H17)</f>
        <v/>
      </c>
      <c r="N17" s="12">
        <f>IF(UPPER(K17)="Y",SUMIFS(tblMaster_Inputs[Baseline_Amount],tblMaster_Inputs[Year],2026,tblMaster_Inputs[Primary_Line],"13"),IF(ISBLANK(L17),J17,L17))</f>
        <v/>
      </c>
      <c r="O17" s="12">
        <f>N17+M17</f>
        <v/>
      </c>
      <c r="P17" s="8">
        <f>HYPERLINK("#Y2027!I49","↗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HYPERLINK("#Y2027!I49","↗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SUMIFS(tblMaster_Inputs[Baseline_Amount],tblMaster_Inputs[Year],2027,tblMaster_Inputs[Treatment_Profile],"W2_SCorpOwner", tblMaster_Inputs[Activity_Type], "Baseline")</f>
        <v/>
      </c>
      <c r="J23" s="12">
        <f>I23+SUMIFS(tblY2027_Strategies[Amount],tblY2027_Strategies[TargetLine],"1z")-SUMIFS(tblY2027_Strategies[Amount],tblY2027_Strategies[CounterLine],"1z")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SUMIFS(tblMaster_Inputs[Baseline_Amount],tblMaster_Inputs[Year],2027,tblMaster_Inputs[Treatment_Profile],"W2_Employee",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</t>
        </is>
      </c>
      <c r="I26" s="12">
        <f>SUMIFS(tblMaster_Inputs[Baseline_Amount],tblMaster_Inputs[Year],2027,tblMaster_Inputs[Bucket],"Business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</t>
        </is>
      </c>
      <c r="I27" s="12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J27" s="12">
        <f>I27+SUMIFS(tblY2027_Strategies[Amount],tblY2027_Strategies[TargetLine],"8")-SUMIFS(tblY2027_Strategies[Amount],tblY2027_Strategies[CounterLine],"8")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COUNTIF(tblY2027_Strategies[Status],"Committed")</f>
        <v/>
      </c>
      <c r="C28" s="98" t="inlineStr">
        <is>
          <t>Net Strategy Impact</t>
        </is>
      </c>
      <c r="D28" s="95">
        <f>SUMIF(tblY2027_Strategies[Status],"Committed",tblY2027_Strategies[Amount])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SUMIFS(tblMaster_Inputs[Baseline_Amount],tblMaster_Inputs[Year],2027,tblMaster_Inputs[Bucket],"Business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</t>
        </is>
      </c>
      <c r="I29" s="12">
        <f>SUMIFS(tblMaster_Inputs[Helper_Amount],tblMaster_Inputs[Year],2027,tblMaster_Inputs[Helper_Treatment],"TAX_EXEMPT")</f>
        <v/>
      </c>
      <c r="J29" s="12">
        <f>I29+SUMIFS(tblY2027_Strategies[Amount],tblY2027_Strategies[TargetLine],"2a")-SUMIFS(tblY2027_Strategies[Amount],tblY2027_Strategies[CounterLine],"2a")</f>
        <v/>
      </c>
      <c r="K29" s="2" t="n"/>
    </row>
    <row r="30" ht="14.5" customHeight="1" s="19">
      <c r="H30" t="inlineStr">
        <is>
          <t>Qualified div</t>
        </is>
      </c>
      <c r="I30" s="12">
        <f>SUMIFS(tblMaster_Inputs[Helper_Amount],tblMaster_Inputs[Year],2027,tblMaster_Inputs[Helper_Treatment],"QUAL_DIV",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LT cap gains</t>
        </is>
      </c>
      <c r="I31" s="12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J31" s="12">
        <f>I31+SUMIFS(tblY2027_Strategies[Amount],tblY2027_Strategies[TargetLine],"7")-SUMIFS(tblY2027_Strategies[Amount],tblY2027_Strategies[CounterLine],"7")</f>
        <v/>
      </c>
      <c r="K31" s="2" t="n"/>
    </row>
    <row r="32" ht="14.5" customHeight="1" s="19">
      <c r="H32" t="inlineStr">
        <is>
          <t>ST cap gains</t>
        </is>
      </c>
      <c r="I32" s="12">
        <f>SUMIFS(tblMaster_Inputs[Baseline_Amount],tblMaster_Inputs[Year],2027,tblMaster_Inputs[Treatment_Profile],"STCG_Stock",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SUMIFS(tblMaster_Inputs[Helper_Amount],tblMaster_Inputs[Year],2027,tblMaster_Inputs[Helper_Treatment],"SEC1250",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TI-LTCG-QD-1250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2027, tblThresholds[FilingStatus], Filing_Status, tblThresholds[Item], "SE_Earnings_Factor")</f>
        <v/>
      </c>
      <c r="J71" s="20">
        <f>J70*SUMIFS(tblThresholds[Value], tblThresholds[Year], 2027,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2027, tblThresholds[FilingStatus], Filing_Status, tblThresholds[Item], "SS_Wage_Base")-I72)</f>
        <v/>
      </c>
      <c r="J73" s="12">
        <f>MAX(0,SUMIFS(tblThresholds[Value], tblThresholds[Year], 2027,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2027, tblThresholds[FilingStatus], Filing_Status, tblThresholds[Item], "SS_Rate_Combined")</f>
        <v/>
      </c>
      <c r="J75" s="12">
        <f>J74*SUMIFS(tblThresholds[Value], tblThresholds[Year], 2027,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2027, tblThresholds[FilingStatus], Filing_Status, tblThresholds[Item], "Medicare_Rate_Combined")</f>
        <v/>
      </c>
      <c r="J76" s="52">
        <f>J71*SUMIFS(tblThresholds[Value], tblThresholds[Year], 2027,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J77" s="12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2027, tblThresholds[FilingStatus], Filing_Status, tblThresholds[Item], "SS_Wage_Base"))*0.062</f>
        <v/>
      </c>
      <c r="J84" s="12">
        <f>MIN(J83,SUMIFS(tblThresholds[Value], tblThresholds[Year], 2027,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J86" s="12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2027)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2027)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SUMPRODUCT((Tax_Ref!$B$210:$B$281=2027)*(Tax_Ref!$C$210:$C$281=Filing_Status)*((I102&gt;Tax_Ref!$E$210:$E$281)*(Tax_Ref!$E$210:$E$281-Tax_Ref!$D$210:$D$281)+(I102&gt;Tax_Ref!$D$210:$D$281)*(I102&lt;=Tax_Ref!$E$210:$E$281)*(I102-Tax_Ref!$D$210:$D$281))*Tax_Ref!$F$210:$F$281)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2027, tblThresholds[FilingStatus], Filing_Status, tblThresholds[Item], "NIIT_Threshold")</f>
        <v/>
      </c>
      <c r="J111" s="12">
        <f>SUMIFS(tblThresholds[Value], tblThresholds[Year], 2027,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2027, tblThresholds[FilingStatus], Filing_Status, tblThresholds[Item], "NIIT_Rate")</f>
        <v/>
      </c>
      <c r="J114" s="20">
        <f>MIN(J112,J113)*SUMIFS(tblThresholds[Value], tblThresholds[Year], 2027,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2027, tblThresholds[FilingStatus], Filing_Status, tblThresholds[Item], "QBI_Threshold_Start"),"YES","NO")</f>
        <v/>
      </c>
      <c r="J121" s="12">
        <f>IF(J41&gt;SUMIFS(tblThresholds[Value], tblThresholds[Year], 2027,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2027, tblThresholds[FilingStatus], Filing_Status, tblThresholds[Item], "QBI_Threshold_End")),0,IF(I41&lt;=SUMIFS(tblThresholds[Value], tblThresholds[Year], 2027, tblThresholds[FilingStatus], Filing_Status, tblThresholds[Item], "QBI_Threshold_Start"),MIN(I118,I119),MIN(I118,I119,I120)))</f>
        <v/>
      </c>
      <c r="J122" s="20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Y2028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SUMIFS(tblMaster_Inputs[Baseline_Amount],tblMaster_Inputs[Year],2028,tblMaster_Inputs[Primary_Line],$H6, tblMaster_Inputs[Activity_Type], "Baseline")</f>
        <v/>
      </c>
      <c r="K6" s="55" t="n"/>
      <c r="L6" s="4" t="n"/>
      <c r="M6" s="12">
        <f>SUMIFS(tblY2028_Strategies[Amount],tblY2028_Strategies[TargetLine],$H6)-SUMIFS(tblY2028_Strategies[Amount],tblY2028_Strategies[CounterLine],$H6)</f>
        <v/>
      </c>
      <c r="N6" s="12">
        <f>IF(UPPER(K6)="Y",SUMIFS(tblMaster_Inputs[Baseline_Amount],tblMaster_Inputs[Year],2027,tblMaster_Inputs[Primary_Line],"1z"),IF(ISBLANK(L6),J6,L6))</f>
        <v/>
      </c>
      <c r="O6" s="12">
        <f>N6+M6</f>
        <v/>
      </c>
      <c r="P6" s="8">
        <f>HYPERLINK("#Y2028!I49","↗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</t>
        </is>
      </c>
      <c r="J7" s="12">
        <f>SUMIFS(tblMaster_Inputs[Helper_Amount],tblMaster_Inputs[Year],2028,tblMaster_Inputs[Helper_Treatment],"TAX_EXEMPT")</f>
        <v/>
      </c>
      <c r="K7" s="55" t="n"/>
      <c r="L7" s="4" t="n"/>
      <c r="M7">
        <f>SUMIFS(tblY2028_Strategies[Amount],tblY2028_Strategies[TargetLine],"2a",tblY2028_Strategies[Status],"Committed")</f>
        <v/>
      </c>
      <c r="N7" s="12">
        <f>IF(UPPER(K7)="Y",SUMIFS(tblMaster_Inputs[Helper_Amount],tblMaster_Inputs[Year],2027,tblMaster_Inputs[Helper_Treatment],"TAX_EXEMPT"),IF(ISBLANK(L7),J7,L7))</f>
        <v/>
      </c>
      <c r="O7" s="12">
        <f>N7</f>
        <v/>
      </c>
      <c r="P7" s="8">
        <f>HYPERLINK("#Y2028!I49","↗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SUMIFS(tblMaster_Inputs[Baseline_Amount],tblMaster_Inputs[Year],2028,tblMaster_Inputs[Primary_Line],$H8, tblMaster_Inputs[Activity_Type], "Baseline")</f>
        <v/>
      </c>
      <c r="K8" s="55" t="n"/>
      <c r="L8" s="4" t="n"/>
      <c r="M8" s="12">
        <f>SUMIFS(tblY2028_Strategies[Amount],tblY2028_Strategies[TargetLine],$H8)-SUMIFS(tblY2028_Strategies[Amount],tblY2028_Strategies[CounterLine],$H8)</f>
        <v/>
      </c>
      <c r="N8" s="12">
        <f>IF(UPPER(K8)="Y",SUMIFS(tblMaster_Inputs[Baseline_Amount],tblMaster_Inputs[Year],2027,tblMaster_Inputs[Primary_Line],"2b"),IF(ISBLANK(L8),J8,L8))</f>
        <v/>
      </c>
      <c r="O8" s="12">
        <f>N8+M8</f>
        <v/>
      </c>
      <c r="P8" s="8">
        <f>HYPERLINK("#Y2028!I49","↗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</t>
        </is>
      </c>
      <c r="J9" s="12">
        <f>SUMIFS(tblMaster_Inputs[Helper_Amount],tblMaster_Inputs[Year],2028,tblMaster_Inputs[Helper_Treatment],"QUAL_DIV")</f>
        <v/>
      </c>
      <c r="K9" s="55" t="n"/>
      <c r="L9" s="4" t="n"/>
      <c r="M9">
        <f>SUMIFS(tblY2028_Strategies[Amount],tblY2028_Strategies[TargetLine],"3a",tblY2028_Strategies[Status],"Committed")</f>
        <v/>
      </c>
      <c r="N9" s="12">
        <f>IF(UPPER(K9)="Y",SUMIFS(tblMaster_Inputs[Helper_Amount],tblMaster_Inputs[Year],2027,tblMaster_Inputs[Helper_Treatment],"QUAL_DIV"),IF(ISBLANK(L9),J9,L9))</f>
        <v/>
      </c>
      <c r="O9" s="12">
        <f>N9</f>
        <v/>
      </c>
      <c r="P9" s="8">
        <f>HYPERLINK("#Y2028!I49","↗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SUMIFS(tblMaster_Inputs[Baseline_Amount],tblMaster_Inputs[Year],2028,tblMaster_Inputs[Primary_Line],$H10, tblMaster_Inputs[Activity_Type], "Baseline")</f>
        <v/>
      </c>
      <c r="K10" s="55" t="n"/>
      <c r="L10" s="4" t="n"/>
      <c r="M10" s="12">
        <f>SUMIFS(tblY2028_Strategies[Amount],tblY2028_Strategies[TargetLine],$H10)-SUMIFS(tblY2028_Strategies[Amount],tblY2028_Strategies[CounterLine],$H10)</f>
        <v/>
      </c>
      <c r="N10" s="12">
        <f>IF(UPPER(K10)="Y",SUMIFS(tblMaster_Inputs[Baseline_Amount],tblMaster_Inputs[Year],2027,tblMaster_Inputs[Primary_Line],"3b"),IF(ISBLANK(L10),J10,L10))</f>
        <v/>
      </c>
      <c r="O10" s="12">
        <f>N10+M10</f>
        <v/>
      </c>
      <c r="P10" s="8">
        <f>HYPERLINK("#Y2028!I49","↗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gain/(loss)</t>
        </is>
      </c>
      <c r="J11" s="12">
        <f>SUMIFS(tblMaster_Inputs[Baseline_Amount],tblMaster_Inputs[Year],2028,tblMaster_Inputs[Primary_Line],$H11, tblMaster_Inputs[Activity_Type], "Baseline")</f>
        <v/>
      </c>
      <c r="K11" s="55" t="n"/>
      <c r="L11" s="4" t="n"/>
      <c r="M11" s="12">
        <f>SUMIFS(tblY2028_Strategies[Amount],tblY2028_Strategies[TargetLine],$H11)-SUMIFS(tblY2028_Strategies[Amount],tblY2028_Strategies[CounterLine],$H11)</f>
        <v/>
      </c>
      <c r="N11" s="12">
        <f>IF(UPPER(K11)="Y",SUMIFS(tblMaster_Inputs[Baseline_Amount],tblMaster_Inputs[Year],2027,tblMaster_Inputs[Primary_Line],"7"),IF(ISBLANK(L11),J11,L11))</f>
        <v/>
      </c>
      <c r="O11" s="12">
        <f>N11+M11</f>
        <v/>
      </c>
      <c r="P11" s="8">
        <f>HYPERLINK("#Y2028!I49","↗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(business)</t>
        </is>
      </c>
      <c r="J12" s="12">
        <f>SUMIFS(tblMaster_Inputs[Baseline_Amount],tblMaster_Inputs[Year],2028,tblMaster_Inputs[Primary_Line],$H12, tblMaster_Inputs[Activity_Type], "Baseline")</f>
        <v/>
      </c>
      <c r="K12" s="55" t="n"/>
      <c r="L12" s="4" t="n"/>
      <c r="M12" s="12">
        <f>SUMIFS(tblY2028_Strategies[Amount],tblY2028_Strategies[TargetLine],$H12)-SUMIFS(tblY2028_Strategies[Amount],tblY2028_Strategies[CounterLine],$H12)</f>
        <v/>
      </c>
      <c r="N12" s="12">
        <f>IF(UPPER(K12)="Y",SUMIFS(tblMaster_Inputs[Baseline_Amount],tblMaster_Inputs[Year],2027,tblMaster_Inputs[Primary_Line],"8"),IF(ISBLANK(L12),J12,L12))</f>
        <v/>
      </c>
      <c r="O12" s="12">
        <f>N12+M12</f>
        <v/>
      </c>
      <c r="P12" s="8">
        <f>HYPERLINK("#Y2028!I49","↗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HYPERLINK("#Y2028!I49","↗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</t>
        </is>
      </c>
      <c r="J14" s="12">
        <f>SUMIFS(tblMaster_Inputs[Baseline_Amount],tblMaster_Inputs[Year],2028,tblMaster_Inputs[Primary_Line],$H14, tblMaster_Inputs[Activity_Type], "Baseline")</f>
        <v/>
      </c>
      <c r="K14" s="55" t="n"/>
      <c r="L14" s="4" t="n"/>
      <c r="M14" s="12">
        <f>SUMIFS(tblY2028_Strategies[Amount],tblY2028_Strategies[TargetLine],$H14)-SUMIFS(tblY2028_Strategies[Amount],tblY2028_Strategies[CounterLine],$H14)</f>
        <v/>
      </c>
      <c r="N14" s="12">
        <f>IF(UPPER(K14)="Y",SUMIFS(tblMaster_Inputs[Baseline_Amount],tblMaster_Inputs[Year],2027,tblMaster_Inputs[Primary_Line],"10"),IF(ISBLANK(L14),J14,L14))</f>
        <v/>
      </c>
      <c r="O14" s="12">
        <f>N14+M14</f>
        <v/>
      </c>
      <c r="P14" s="8">
        <f>HYPERLINK("#Y2028!I49","↗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HYPERLINK("#Y2028!I49","↗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</t>
        </is>
      </c>
      <c r="J16" s="12">
        <f>SUMIFS(tblMaster_Inputs[Baseline_Amount],tblMaster_Inputs[Year],2028,tblMaster_Inputs[Primary_Line],$H16, tblMaster_Inputs[Activity_Type], "Baseline")</f>
        <v/>
      </c>
      <c r="K16" s="55" t="n"/>
      <c r="L16" s="4" t="n"/>
      <c r="M16" s="12">
        <f>SUMIFS(tblY2028_Strategies[Amount],tblY2028_Strategies[TargetLine],$H16)-SUMIFS(tblY2028_Strategies[Amount],tblY2028_Strategies[CounterLine],$H16)</f>
        <v/>
      </c>
      <c r="N16" s="12">
        <f>IF(UPPER(K16)="Y",SUMIFS(tblMaster_Inputs[Baseline_Amount],tblMaster_Inputs[Year],2027,tblMaster_Inputs[Primary_Line],"12"),IF(ISBLANK(L16),J16,L16))</f>
        <v/>
      </c>
      <c r="O16" s="12">
        <f>N16+M16</f>
        <v/>
      </c>
      <c r="P16" s="8">
        <f>HYPERLINK("#Y2028!I49","↗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SUMIFS(tblMaster_Inputs[Baseline_Amount],tblMaster_Inputs[Year],2028,tblMaster_Inputs[Primary_Line],$H17, tblMaster_Inputs[Activity_Type], "Baseline")</f>
        <v/>
      </c>
      <c r="K17" s="55" t="n"/>
      <c r="L17" s="4" t="n"/>
      <c r="M17" s="12">
        <f>SUMIFS(tblY2028_Strategies[Amount],tblY2028_Strategies[TargetLine],$H17)-SUMIFS(tblY2028_Strategies[Amount],tblY2028_Strategies[CounterLine],$H17)</f>
        <v/>
      </c>
      <c r="N17" s="12">
        <f>IF(UPPER(K17)="Y",SUMIFS(tblMaster_Inputs[Baseline_Amount],tblMaster_Inputs[Year],2027,tblMaster_Inputs[Primary_Line],"13"),IF(ISBLANK(L17),J17,L17))</f>
        <v/>
      </c>
      <c r="O17" s="12">
        <f>N17+M17</f>
        <v/>
      </c>
      <c r="P17" s="8">
        <f>HYPERLINK("#Y2028!I49","↗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HYPERLINK("#Y2028!I49","↗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SUMIFS(tblMaster_Inputs[Baseline_Amount],tblMaster_Inputs[Year],2028,tblMaster_Inputs[Treatment_Profile],"W2_SCorpOwner", tblMaster_Inputs[Activity_Type], "Baseline")</f>
        <v/>
      </c>
      <c r="J23" s="12">
        <f>I23+SUMIFS(tblY2028_Strategies[Amount],tblY2028_Strategies[TargetLine],"1z")-SUMIFS(tblY2028_Strategies[Amount],tblY2028_Strategies[CounterLine],"1z")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SUMIFS(tblMaster_Inputs[Baseline_Amount],tblMaster_Inputs[Year],2028,tblMaster_Inputs[Treatment_Profile],"W2_Employee",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</t>
        </is>
      </c>
      <c r="I26" s="12">
        <f>SUMIFS(tblMaster_Inputs[Baseline_Amount],tblMaster_Inputs[Year],2028,tblMaster_Inputs[Bucket],"Business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</t>
        </is>
      </c>
      <c r="I27" s="12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J27" s="12">
        <f>I27+SUMIFS(tblY2028_Strategies[Amount],tblY2028_Strategies[TargetLine],"8")-SUMIFS(tblY2028_Strategies[Amount],tblY2028_Strategies[CounterLine],"8")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COUNTIF(tblY2028_Strategies[Status],"Committed")</f>
        <v/>
      </c>
      <c r="C28" s="98" t="inlineStr">
        <is>
          <t>Net Strategy Impact</t>
        </is>
      </c>
      <c r="D28" s="95">
        <f>SUMIF(tblY2028_Strategies[Status],"Committed",tblY2028_Strategies[Amount])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SUMIFS(tblMaster_Inputs[Baseline_Amount],tblMaster_Inputs[Year],2028,tblMaster_Inputs[Bucket],"Business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</t>
        </is>
      </c>
      <c r="I29" s="12">
        <f>SUMIFS(tblMaster_Inputs[Helper_Amount],tblMaster_Inputs[Year],2028,tblMaster_Inputs[Helper_Treatment],"TAX_EXEMPT")</f>
        <v/>
      </c>
      <c r="J29" s="12">
        <f>I29+SUMIFS(tblY2028_Strategies[Amount],tblY2028_Strategies[TargetLine],"2a")-SUMIFS(tblY2028_Strategies[Amount],tblY2028_Strategies[CounterLine],"2a")</f>
        <v/>
      </c>
      <c r="K29" s="2" t="n"/>
    </row>
    <row r="30" ht="14.5" customHeight="1" s="19">
      <c r="H30" t="inlineStr">
        <is>
          <t>Qualified div</t>
        </is>
      </c>
      <c r="I30" s="12">
        <f>SUMIFS(tblMaster_Inputs[Helper_Amount],tblMaster_Inputs[Year],2028,tblMaster_Inputs[Helper_Treatment],"QUAL_DIV",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LT cap gains</t>
        </is>
      </c>
      <c r="I31" s="12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J31" s="12">
        <f>I31+SUMIFS(tblY2028_Strategies[Amount],tblY2028_Strategies[TargetLine],"7")-SUMIFS(tblY2028_Strategies[Amount],tblY2028_Strategies[CounterLine],"7")</f>
        <v/>
      </c>
      <c r="K31" s="2" t="n"/>
    </row>
    <row r="32" ht="14.5" customHeight="1" s="19">
      <c r="H32" t="inlineStr">
        <is>
          <t>ST cap gains</t>
        </is>
      </c>
      <c r="I32" s="12">
        <f>SUMIFS(tblMaster_Inputs[Baseline_Amount],tblMaster_Inputs[Year],2028,tblMaster_Inputs[Treatment_Profile],"STCG_Stock",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SUMIFS(tblMaster_Inputs[Helper_Amount],tblMaster_Inputs[Year],2028,tblMaster_Inputs[Helper_Treatment],"SEC1250",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TI-LTCG-QD-1250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2028, tblThresholds[FilingStatus], Filing_Status, tblThresholds[Item], "SE_Earnings_Factor")</f>
        <v/>
      </c>
      <c r="J71" s="20">
        <f>J70*SUMIFS(tblThresholds[Value], tblThresholds[Year], 2028,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2028, tblThresholds[FilingStatus], Filing_Status, tblThresholds[Item], "SS_Wage_Base")-I72)</f>
        <v/>
      </c>
      <c r="J73" s="12">
        <f>MAX(0,SUMIFS(tblThresholds[Value], tblThresholds[Year], 2028,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2028, tblThresholds[FilingStatus], Filing_Status, tblThresholds[Item], "SS_Rate_Combined")</f>
        <v/>
      </c>
      <c r="J75" s="12">
        <f>J74*SUMIFS(tblThresholds[Value], tblThresholds[Year], 2028,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2028, tblThresholds[FilingStatus], Filing_Status, tblThresholds[Item], "Medicare_Rate_Combined")</f>
        <v/>
      </c>
      <c r="J76" s="52">
        <f>J71*SUMIFS(tblThresholds[Value], tblThresholds[Year], 2028,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J77" s="12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2028, tblThresholds[FilingStatus], Filing_Status, tblThresholds[Item], "SS_Wage_Base"))*0.062</f>
        <v/>
      </c>
      <c r="J84" s="12">
        <f>MIN(J83,SUMIFS(tblThresholds[Value], tblThresholds[Year], 2028,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J86" s="12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2028)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2028)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SUMPRODUCT((Tax_Ref!$B$210:$B$281=2028)*(Tax_Ref!$C$210:$C$281=Filing_Status)*((I102&gt;Tax_Ref!$E$210:$E$281)*(Tax_Ref!$E$210:$E$281-Tax_Ref!$D$210:$D$281)+(I102&gt;Tax_Ref!$D$210:$D$281)*(I102&lt;=Tax_Ref!$E$210:$E$281)*(I102-Tax_Ref!$D$210:$D$281))*Tax_Ref!$F$210:$F$281)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2028, tblThresholds[FilingStatus], Filing_Status, tblThresholds[Item], "NIIT_Threshold")</f>
        <v/>
      </c>
      <c r="J111" s="12">
        <f>SUMIFS(tblThresholds[Value], tblThresholds[Year], 2028,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2028, tblThresholds[FilingStatus], Filing_Status, tblThresholds[Item], "NIIT_Rate")</f>
        <v/>
      </c>
      <c r="J114" s="20">
        <f>MIN(J112,J113)*SUMIFS(tblThresholds[Value], tblThresholds[Year], 2028,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2028, tblThresholds[FilingStatus], Filing_Status, tblThresholds[Item], "QBI_Threshold_Start"),"YES","NO")</f>
        <v/>
      </c>
      <c r="J121" s="12">
        <f>IF(J41&gt;SUMIFS(tblThresholds[Value], tblThresholds[Year], 2028,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2028, tblThresholds[FilingStatus], Filing_Status, tblThresholds[Item], "QBI_Threshold_End")),0,IF(I41&lt;=SUMIFS(tblThresholds[Value], tblThresholds[Year], 2028, tblThresholds[FilingStatus], Filing_Status, tblThresholds[Item], "QBI_Threshold_Start"),MIN(I118,I119),MIN(I118,I119,I120)))</f>
        <v/>
      </c>
      <c r="J122" s="20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H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</row>
    <row r="10">
      <c r="A10" t="inlineStr">
        <is>
          <t>8.SchE</t>
        </is>
      </c>
      <c r="B10" t="inlineStr">
        <is>
          <t>Schedule E rental</t>
        </is>
      </c>
      <c r="C10" s="12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2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2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2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2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2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H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30A0"/>
    <outlinePr summaryBelow="1" summaryRight="1"/>
    <pageSetUpPr/>
  </sheetPr>
  <dimension ref="B1:E13"/>
  <sheetViews>
    <sheetView workbookViewId="0">
      <selection activeCell="A1" sqref="A1"/>
    </sheetView>
  </sheetViews>
  <sheetFormatPr baseColWidth="8" defaultRowHeight="14.5"/>
  <cols>
    <col width="22.6328125" bestFit="1" customWidth="1" style="19" min="2" max="2"/>
    <col width="7.90625" bestFit="1" customWidth="1" style="19" min="3" max="4"/>
    <col width="10.7265625" bestFit="1" customWidth="1" style="19" min="5" max="5"/>
  </cols>
  <sheetData>
    <row r="1" ht="18.5" customHeight="1" s="1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2" t="n"/>
      <c r="D7" s="12" t="n">
        <v>10000</v>
      </c>
      <c r="E7" s="12" t="n">
        <v>10000</v>
      </c>
    </row>
    <row r="8">
      <c r="B8" t="inlineStr">
        <is>
          <t>1z</t>
        </is>
      </c>
      <c r="C8" s="12" t="n">
        <v>153648</v>
      </c>
      <c r="D8" s="12" t="n">
        <v>100000</v>
      </c>
      <c r="E8" s="12" t="n">
        <v>253648</v>
      </c>
    </row>
    <row r="9">
      <c r="B9" t="inlineStr">
        <is>
          <t>2b</t>
        </is>
      </c>
      <c r="C9" s="12" t="n"/>
      <c r="D9" s="12" t="n">
        <v>500</v>
      </c>
      <c r="E9" s="12" t="n">
        <v>500</v>
      </c>
    </row>
    <row r="10">
      <c r="B10" t="inlineStr">
        <is>
          <t>3b</t>
        </is>
      </c>
      <c r="C10" s="12" t="n">
        <v>25922</v>
      </c>
      <c r="D10" s="12" t="n">
        <v>10000</v>
      </c>
      <c r="E10" s="12" t="n">
        <v>35922</v>
      </c>
    </row>
    <row r="11">
      <c r="B11" t="inlineStr">
        <is>
          <t>7</t>
        </is>
      </c>
      <c r="C11" s="12" t="n">
        <v>14487</v>
      </c>
      <c r="D11" s="12" t="n">
        <v>25000</v>
      </c>
      <c r="E11" s="12" t="n">
        <v>39487</v>
      </c>
    </row>
    <row r="12">
      <c r="B12" t="inlineStr">
        <is>
          <t>8</t>
        </is>
      </c>
      <c r="C12" s="12" t="n">
        <v>-100766</v>
      </c>
      <c r="D12" s="12" t="n">
        <v>120000</v>
      </c>
      <c r="E12" s="12" t="n">
        <v>19234</v>
      </c>
    </row>
    <row r="13">
      <c r="B13" t="inlineStr">
        <is>
          <t>Grand Total</t>
        </is>
      </c>
      <c r="C13" s="12" t="n">
        <v>93291</v>
      </c>
      <c r="D13" s="12" t="n">
        <v>265500</v>
      </c>
      <c r="E13" s="12" t="n">
        <v>358791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0"/>
  <sheetViews>
    <sheetView workbookViewId="0">
      <selection activeCell="A1" sqref="A1"/>
    </sheetView>
  </sheetViews>
  <sheetFormatPr baseColWidth="8" defaultRowHeight="14.5"/>
  <cols>
    <col width="22.6328125" bestFit="1" customWidth="1" style="19" min="2" max="2"/>
    <col width="17.1796875" bestFit="1" customWidth="1" style="19" min="3" max="4"/>
    <col width="10.7265625" bestFit="1" customWidth="1" style="19" min="5" max="5"/>
  </cols>
  <sheetData>
    <row r="1" ht="18.5" customHeight="1" s="19">
      <c r="B1" s="14" t="inlineStr">
        <is>
          <t>Visual Pivot — Business Income by Treatment Profile</t>
        </is>
      </c>
    </row>
    <row r="3">
      <c r="B3" s="11" t="inlineStr">
        <is>
          <t>Bucket</t>
        </is>
      </c>
      <c r="C3" t="inlineStr">
        <is>
          <t>(Multiple Items)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Treatment_Profile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K1_PTP_Passive</t>
        </is>
      </c>
      <c r="C7" s="12" t="n">
        <v>-100766</v>
      </c>
      <c r="D7" s="12" t="n"/>
      <c r="E7" s="12" t="n">
        <v>-100766</v>
      </c>
    </row>
    <row r="8">
      <c r="B8" t="inlineStr">
        <is>
          <t>K1_SCorp_Active</t>
        </is>
      </c>
      <c r="C8" s="12" t="n"/>
      <c r="D8" s="12" t="n">
        <v>200000</v>
      </c>
      <c r="E8" s="12" t="n">
        <v>200000</v>
      </c>
    </row>
    <row r="9">
      <c r="B9" t="inlineStr">
        <is>
          <t>SchE_Rental</t>
        </is>
      </c>
      <c r="C9" s="12" t="n"/>
      <c r="D9" s="12" t="n">
        <v>-80000</v>
      </c>
      <c r="E9" s="12" t="n">
        <v>-80000</v>
      </c>
    </row>
    <row r="10">
      <c r="B10" t="inlineStr">
        <is>
          <t>Grand Total</t>
        </is>
      </c>
      <c r="C10" s="12" t="n">
        <v>-100766</v>
      </c>
      <c r="D10" s="12" t="n">
        <v>120000</v>
      </c>
      <c r="E10" s="12" t="n">
        <v>19234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29"/>
  <sheetViews>
    <sheetView workbookViewId="0">
      <selection activeCell="A1" sqref="A1"/>
    </sheetView>
  </sheetViews>
  <sheetFormatPr baseColWidth="8" defaultRowHeight="14.5"/>
  <cols>
    <col width="22.6328125" bestFit="1" customWidth="1" style="19" min="2" max="2"/>
    <col width="19.08984375" bestFit="1" customWidth="1" style="19" min="3" max="3"/>
    <col width="8" bestFit="1" customWidth="1" style="19" min="4" max="5"/>
    <col width="10.7265625" bestFit="1" customWidth="1" style="19" min="6" max="6"/>
  </cols>
  <sheetData>
    <row r="1" ht="18.5" customHeight="1" s="19">
      <c r="B1" s="14" t="inlineStr">
        <is>
          <t>Visual Pivot — By Payor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Acme S-Corp</t>
        </is>
      </c>
      <c r="D7" s="12" t="n"/>
      <c r="E7" s="12" t="n"/>
      <c r="F7" s="12" t="n"/>
    </row>
    <row r="8">
      <c r="C8" t="inlineStr">
        <is>
          <t>W2_SCorpOwner</t>
        </is>
      </c>
      <c r="D8" s="12" t="n">
        <v>153648</v>
      </c>
      <c r="E8" s="12" t="n"/>
      <c r="F8" s="12" t="n">
        <v>153648</v>
      </c>
    </row>
    <row r="9">
      <c r="B9" t="inlineStr">
        <is>
          <t>Acme S-Corp Total</t>
        </is>
      </c>
      <c r="D9" s="12" t="n">
        <v>153648</v>
      </c>
      <c r="E9" s="12" t="n"/>
      <c r="F9" s="12" t="n">
        <v>153648</v>
      </c>
    </row>
    <row r="10">
      <c r="B10" t="inlineStr">
        <is>
          <t>Brokerage</t>
        </is>
      </c>
      <c r="D10" s="12" t="n"/>
      <c r="E10" s="12" t="n"/>
      <c r="F10" s="12" t="n"/>
    </row>
    <row r="11">
      <c r="C11" t="inlineStr">
        <is>
          <t>Div_Ordinary</t>
        </is>
      </c>
      <c r="D11" s="12" t="n">
        <v>25922</v>
      </c>
      <c r="E11" s="12" t="n"/>
      <c r="F11" s="12" t="n">
        <v>25922</v>
      </c>
    </row>
    <row r="12">
      <c r="C12" t="inlineStr">
        <is>
          <t>Div_Qualified</t>
        </is>
      </c>
      <c r="D12" s="12" t="n"/>
      <c r="E12" s="12" t="n">
        <v>10000</v>
      </c>
      <c r="F12" s="12" t="n">
        <v>10000</v>
      </c>
    </row>
    <row r="13">
      <c r="C13" t="inlineStr">
        <is>
          <t>Int_Taxable</t>
        </is>
      </c>
      <c r="D13" s="12" t="n"/>
      <c r="E13" s="12" t="n">
        <v>500</v>
      </c>
      <c r="F13" s="12" t="n">
        <v>500</v>
      </c>
    </row>
    <row r="14">
      <c r="C14" t="inlineStr">
        <is>
          <t>LTCG_Stock</t>
        </is>
      </c>
      <c r="D14" s="12" t="n">
        <v>14487</v>
      </c>
      <c r="E14" s="12" t="n">
        <v>25000</v>
      </c>
      <c r="F14" s="12" t="n">
        <v>39487</v>
      </c>
    </row>
    <row r="15">
      <c r="B15" t="inlineStr">
        <is>
          <t>Brokerage Total</t>
        </is>
      </c>
      <c r="D15" s="12" t="n">
        <v>40409</v>
      </c>
      <c r="E15" s="12" t="n">
        <v>35500</v>
      </c>
      <c r="F15" s="12" t="n">
        <v>75909</v>
      </c>
    </row>
    <row r="16">
      <c r="B16" t="inlineStr">
        <is>
          <t>Cedillo Partnership</t>
        </is>
      </c>
      <c r="D16" s="12" t="n"/>
      <c r="E16" s="12" t="n"/>
      <c r="F16" s="12" t="n"/>
    </row>
    <row r="17">
      <c r="C17" t="inlineStr">
        <is>
          <t>K1_PTP_Passive</t>
        </is>
      </c>
      <c r="D17" s="12" t="n">
        <v>-100766</v>
      </c>
      <c r="E17" s="12" t="n"/>
      <c r="F17" s="12" t="n">
        <v>-100766</v>
      </c>
    </row>
    <row r="18">
      <c r="B18" t="inlineStr">
        <is>
          <t>Cedillo Partnership Total</t>
        </is>
      </c>
      <c r="D18" s="12" t="n">
        <v>-100766</v>
      </c>
      <c r="E18" s="12" t="n"/>
      <c r="F18" s="12" t="n">
        <v>-100766</v>
      </c>
    </row>
    <row r="19">
      <c r="B19" t="inlineStr">
        <is>
          <t>SampleCo S-Corp</t>
        </is>
      </c>
      <c r="D19" s="12" t="n"/>
      <c r="E19" s="12" t="n"/>
      <c r="F19" s="12" t="n"/>
    </row>
    <row r="20">
      <c r="C20" t="inlineStr">
        <is>
          <t>W2_SCorpOwner</t>
        </is>
      </c>
      <c r="D20" s="12" t="n"/>
      <c r="E20" s="12" t="n">
        <v>100000</v>
      </c>
      <c r="F20" s="12" t="n">
        <v>100000</v>
      </c>
    </row>
    <row r="21">
      <c r="B21" t="inlineStr">
        <is>
          <t>SampleCo S-Corp Total</t>
        </is>
      </c>
      <c r="D21" s="12" t="n"/>
      <c r="E21" s="12" t="n">
        <v>100000</v>
      </c>
      <c r="F21" s="12" t="n">
        <v>100000</v>
      </c>
    </row>
    <row r="22">
      <c r="B22" t="inlineStr">
        <is>
          <t>SampleCo S-Corp K-1</t>
        </is>
      </c>
      <c r="D22" s="12" t="n"/>
      <c r="E22" s="12" t="n"/>
      <c r="F22" s="12" t="n"/>
    </row>
    <row r="23">
      <c r="C23" t="inlineStr">
        <is>
          <t>K1_SCorp_Active</t>
        </is>
      </c>
      <c r="D23" s="12" t="n"/>
      <c r="E23" s="12" t="n">
        <v>200000</v>
      </c>
      <c r="F23" s="12" t="n">
        <v>200000</v>
      </c>
    </row>
    <row r="24">
      <c r="B24" t="inlineStr">
        <is>
          <t>SampleCo S-Corp K-1 Total</t>
        </is>
      </c>
      <c r="D24" s="12" t="n"/>
      <c r="E24" s="12" t="n">
        <v>200000</v>
      </c>
      <c r="F24" s="12" t="n">
        <v>200000</v>
      </c>
    </row>
    <row r="25">
      <c r="B25" t="inlineStr">
        <is>
          <t>(blank)</t>
        </is>
      </c>
      <c r="D25" s="12" t="n"/>
      <c r="E25" s="12" t="n"/>
      <c r="F25" s="12" t="n"/>
    </row>
    <row r="26">
      <c r="C26" t="inlineStr">
        <is>
          <t>Itm_SALT</t>
        </is>
      </c>
      <c r="D26" s="12" t="n"/>
      <c r="E26" s="12" t="n">
        <v>10000</v>
      </c>
      <c r="F26" s="12" t="n">
        <v>10000</v>
      </c>
    </row>
    <row r="27">
      <c r="C27" t="inlineStr">
        <is>
          <t>SchE_Rental</t>
        </is>
      </c>
      <c r="D27" s="12" t="n"/>
      <c r="E27" s="12" t="n">
        <v>-80000</v>
      </c>
      <c r="F27" s="12" t="n">
        <v>-80000</v>
      </c>
    </row>
    <row r="28">
      <c r="B28" t="inlineStr">
        <is>
          <t>(blank) Total</t>
        </is>
      </c>
      <c r="D28" s="12" t="n"/>
      <c r="E28" s="12" t="n">
        <v>-70000</v>
      </c>
      <c r="F28" s="12" t="n">
        <v>-70000</v>
      </c>
    </row>
    <row r="29">
      <c r="B29" t="inlineStr">
        <is>
          <t>Grand Total</t>
        </is>
      </c>
      <c r="D29" s="12" t="n">
        <v>93291</v>
      </c>
      <c r="E29" s="12" t="n">
        <v>265500</v>
      </c>
      <c r="F29" s="12" t="n">
        <v>358791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19" min="2" max="2"/>
    <col width="7.36328125" bestFit="1" customWidth="1" style="19" min="3" max="4"/>
    <col width="10.7265625" bestFit="1" customWidth="1" style="19" min="5" max="5"/>
  </cols>
  <sheetData>
    <row r="1" ht="18.5" customHeight="1" s="19">
      <c r="B1" s="14" t="inlineStr">
        <is>
          <t>Visual Pivot — Helper Carve-Outs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2" t="n">
        <v>0</v>
      </c>
      <c r="D7" s="12" t="n">
        <v>100000</v>
      </c>
      <c r="E7" s="12" t="n">
        <v>100000</v>
      </c>
    </row>
    <row r="8">
      <c r="B8" t="inlineStr">
        <is>
          <t>QUAL_DIV</t>
        </is>
      </c>
      <c r="C8" s="12" t="n">
        <v>0</v>
      </c>
      <c r="D8" s="12" t="n">
        <v>7000</v>
      </c>
      <c r="E8" s="12" t="n">
        <v>7000</v>
      </c>
    </row>
    <row r="9">
      <c r="B9" t="inlineStr">
        <is>
          <t>Grand Total</t>
        </is>
      </c>
      <c r="C9" s="12" t="n">
        <v>0</v>
      </c>
      <c r="D9" s="12" t="n">
        <v>107000</v>
      </c>
      <c r="E9" s="12" t="n">
        <v>107000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19" min="1" max="1"/>
    <col width="10.90625" customWidth="1" style="19" min="2" max="2"/>
    <col width="16.36328125" customWidth="1" style="19" min="3" max="3"/>
    <col width="18.1796875" customWidth="1" style="19" min="4" max="5"/>
    <col width="12.7265625" customWidth="1" style="19" min="6" max="6"/>
    <col width="18.1796875" customWidth="1" style="19" min="7" max="7"/>
    <col width="10.36328125" customWidth="1" style="19" min="8" max="10"/>
  </cols>
  <sheetData>
    <row r="2" ht="18.5" customHeight="1" s="1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19" thickBot="1">
      <c r="B5" s="18" t="inlineStr">
        <is>
          <t>tblBrackets_FIT — Progressive Ordinary Income Brackets (2023–2028)</t>
        </is>
      </c>
    </row>
    <row r="6">
      <c r="B6" s="34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1" t="n">
        <v>2023</v>
      </c>
      <c r="C9" s="22" t="inlineStr">
        <is>
          <t>MFJ</t>
        </is>
      </c>
      <c r="D9" s="23" t="n">
        <v>0</v>
      </c>
      <c r="E9" s="23" t="n">
        <v>22000</v>
      </c>
      <c r="F9" s="24" t="n">
        <v>0.1</v>
      </c>
      <c r="G9" s="25" t="n">
        <v>0</v>
      </c>
    </row>
    <row r="10">
      <c r="B10" s="21" t="n">
        <v>2023</v>
      </c>
      <c r="C10" s="22" t="inlineStr">
        <is>
          <t>MFJ</t>
        </is>
      </c>
      <c r="D10" s="23" t="n">
        <v>22000</v>
      </c>
      <c r="E10" s="23" t="n">
        <v>89450</v>
      </c>
      <c r="F10" s="24" t="n">
        <v>0.12</v>
      </c>
      <c r="G10" s="25" t="n">
        <v>2200</v>
      </c>
    </row>
    <row r="11">
      <c r="B11" s="21" t="n">
        <v>2023</v>
      </c>
      <c r="C11" s="22" t="inlineStr">
        <is>
          <t>MFJ</t>
        </is>
      </c>
      <c r="D11" s="23" t="n">
        <v>89450</v>
      </c>
      <c r="E11" s="23" t="n">
        <v>190750</v>
      </c>
      <c r="F11" s="24" t="n">
        <v>0.22</v>
      </c>
      <c r="G11" s="25" t="n">
        <v>10294</v>
      </c>
    </row>
    <row r="12">
      <c r="B12" s="21" t="n">
        <v>2023</v>
      </c>
      <c r="C12" s="22" t="inlineStr">
        <is>
          <t>MFJ</t>
        </is>
      </c>
      <c r="D12" s="23" t="n">
        <v>190750</v>
      </c>
      <c r="E12" s="23" t="n">
        <v>364200</v>
      </c>
      <c r="F12" s="24" t="n">
        <v>0.24</v>
      </c>
      <c r="G12" s="25" t="n">
        <v>32580</v>
      </c>
    </row>
    <row r="13">
      <c r="B13" s="21" t="n">
        <v>2023</v>
      </c>
      <c r="C13" s="22" t="inlineStr">
        <is>
          <t>MFJ</t>
        </is>
      </c>
      <c r="D13" s="23" t="n">
        <v>364200</v>
      </c>
      <c r="E13" s="23" t="n">
        <v>462500</v>
      </c>
      <c r="F13" s="24" t="n">
        <v>0.32</v>
      </c>
      <c r="G13" s="25" t="n">
        <v>74208</v>
      </c>
    </row>
    <row r="14">
      <c r="B14" s="21" t="n">
        <v>2023</v>
      </c>
      <c r="C14" s="22" t="inlineStr">
        <is>
          <t>MFJ</t>
        </is>
      </c>
      <c r="D14" s="23" t="n">
        <v>462500</v>
      </c>
      <c r="E14" s="23" t="n">
        <v>693750</v>
      </c>
      <c r="F14" s="24" t="n">
        <v>0.35</v>
      </c>
      <c r="G14" s="25" t="n">
        <v>105664</v>
      </c>
    </row>
    <row r="15">
      <c r="B15" s="21" t="n">
        <v>2023</v>
      </c>
      <c r="C15" s="22" t="inlineStr">
        <is>
          <t>MFJ</t>
        </is>
      </c>
      <c r="D15" s="23" t="n">
        <v>693750</v>
      </c>
      <c r="E15" s="23" t="n">
        <v>9999999</v>
      </c>
      <c r="F15" s="24" t="n">
        <v>0.37</v>
      </c>
      <c r="G15" s="25" t="n">
        <v>186601.5</v>
      </c>
    </row>
    <row r="16">
      <c r="B16" s="21" t="n">
        <v>2023</v>
      </c>
      <c r="C16" s="22" t="inlineStr">
        <is>
          <t>Single</t>
        </is>
      </c>
      <c r="D16" s="23" t="n">
        <v>0</v>
      </c>
      <c r="E16" s="23" t="n">
        <v>11000</v>
      </c>
      <c r="F16" s="24" t="n">
        <v>0.1</v>
      </c>
      <c r="G16" s="25" t="n">
        <v>0</v>
      </c>
    </row>
    <row r="17">
      <c r="B17" s="21" t="n">
        <v>2023</v>
      </c>
      <c r="C17" s="22" t="inlineStr">
        <is>
          <t>Single</t>
        </is>
      </c>
      <c r="D17" s="23" t="n">
        <v>11000</v>
      </c>
      <c r="E17" s="23" t="n">
        <v>44725</v>
      </c>
      <c r="F17" s="24" t="n">
        <v>0.12</v>
      </c>
      <c r="G17" s="25" t="n">
        <v>1100</v>
      </c>
    </row>
    <row r="18">
      <c r="B18" s="21" t="n">
        <v>2023</v>
      </c>
      <c r="C18" s="22" t="inlineStr">
        <is>
          <t>Single</t>
        </is>
      </c>
      <c r="D18" s="23" t="n">
        <v>44725</v>
      </c>
      <c r="E18" s="23" t="n">
        <v>95375</v>
      </c>
      <c r="F18" s="24" t="n">
        <v>0.22</v>
      </c>
      <c r="G18" s="25" t="n">
        <v>5147</v>
      </c>
    </row>
    <row r="19">
      <c r="B19" s="21" t="n">
        <v>2023</v>
      </c>
      <c r="C19" s="22" t="inlineStr">
        <is>
          <t>Single</t>
        </is>
      </c>
      <c r="D19" s="23" t="n">
        <v>95375</v>
      </c>
      <c r="E19" s="23" t="n">
        <v>182100</v>
      </c>
      <c r="F19" s="24" t="n">
        <v>0.24</v>
      </c>
      <c r="G19" s="25" t="n">
        <v>16290</v>
      </c>
    </row>
    <row r="20">
      <c r="B20" s="21" t="n">
        <v>2023</v>
      </c>
      <c r="C20" s="22" t="inlineStr">
        <is>
          <t>Single</t>
        </is>
      </c>
      <c r="D20" s="23" t="n">
        <v>182100</v>
      </c>
      <c r="E20" s="23" t="n">
        <v>231250</v>
      </c>
      <c r="F20" s="24" t="n">
        <v>0.32</v>
      </c>
      <c r="G20" s="25" t="n">
        <v>37104</v>
      </c>
    </row>
    <row r="21">
      <c r="B21" s="21" t="n">
        <v>2023</v>
      </c>
      <c r="C21" s="22" t="inlineStr">
        <is>
          <t>Single</t>
        </is>
      </c>
      <c r="D21" s="23" t="n">
        <v>231250</v>
      </c>
      <c r="E21" s="23" t="n">
        <v>578125</v>
      </c>
      <c r="F21" s="24" t="n">
        <v>0.35</v>
      </c>
      <c r="G21" s="25" t="n">
        <v>52832</v>
      </c>
    </row>
    <row r="22">
      <c r="B22" s="21" t="n">
        <v>2023</v>
      </c>
      <c r="C22" s="22" t="inlineStr">
        <is>
          <t>Single</t>
        </is>
      </c>
      <c r="D22" s="23" t="n">
        <v>578125</v>
      </c>
      <c r="E22" s="23" t="n">
        <v>9999999</v>
      </c>
      <c r="F22" s="24" t="n">
        <v>0.37</v>
      </c>
      <c r="G22" s="25" t="n">
        <v>174238.25</v>
      </c>
    </row>
    <row r="23">
      <c r="B23" s="21" t="n">
        <v>2024</v>
      </c>
      <c r="C23" s="22" t="inlineStr">
        <is>
          <t>MFJ</t>
        </is>
      </c>
      <c r="D23" s="23" t="n">
        <v>0</v>
      </c>
      <c r="E23" s="23" t="n">
        <v>23200</v>
      </c>
      <c r="F23" s="24" t="n">
        <v>0.1</v>
      </c>
      <c r="G23" s="25" t="n">
        <v>0</v>
      </c>
    </row>
    <row r="24">
      <c r="B24" s="21" t="n">
        <v>2024</v>
      </c>
      <c r="C24" s="22" t="inlineStr">
        <is>
          <t>MFJ</t>
        </is>
      </c>
      <c r="D24" s="23" t="n">
        <v>23200</v>
      </c>
      <c r="E24" s="23" t="n">
        <v>94300</v>
      </c>
      <c r="F24" s="24" t="n">
        <v>0.12</v>
      </c>
      <c r="G24" s="25" t="n">
        <v>2320</v>
      </c>
    </row>
    <row r="25">
      <c r="B25" s="21" t="n">
        <v>2024</v>
      </c>
      <c r="C25" s="22" t="inlineStr">
        <is>
          <t>MFJ</t>
        </is>
      </c>
      <c r="D25" s="23" t="n">
        <v>94300</v>
      </c>
      <c r="E25" s="23" t="n">
        <v>201050</v>
      </c>
      <c r="F25" s="24" t="n">
        <v>0.22</v>
      </c>
      <c r="G25" s="25" t="n">
        <v>10852</v>
      </c>
    </row>
    <row r="26">
      <c r="B26" s="21" t="n">
        <v>2024</v>
      </c>
      <c r="C26" s="22" t="inlineStr">
        <is>
          <t>MFJ</t>
        </is>
      </c>
      <c r="D26" s="23" t="n">
        <v>201050</v>
      </c>
      <c r="E26" s="23" t="n">
        <v>383900</v>
      </c>
      <c r="F26" s="24" t="n">
        <v>0.24</v>
      </c>
      <c r="G26" s="25" t="n">
        <v>34337</v>
      </c>
    </row>
    <row r="27">
      <c r="B27" s="21" t="n">
        <v>2024</v>
      </c>
      <c r="C27" s="22" t="inlineStr">
        <is>
          <t>MFJ</t>
        </is>
      </c>
      <c r="D27" s="23" t="n">
        <v>383900</v>
      </c>
      <c r="E27" s="23" t="n">
        <v>487450</v>
      </c>
      <c r="F27" s="24" t="n">
        <v>0.32</v>
      </c>
      <c r="G27" s="25" t="n">
        <v>78221</v>
      </c>
    </row>
    <row r="28">
      <c r="B28" s="21" t="n">
        <v>2024</v>
      </c>
      <c r="C28" s="22" t="inlineStr">
        <is>
          <t>MFJ</t>
        </is>
      </c>
      <c r="D28" s="23" t="n">
        <v>487450</v>
      </c>
      <c r="E28" s="23" t="n">
        <v>731200</v>
      </c>
      <c r="F28" s="24" t="n">
        <v>0.35</v>
      </c>
      <c r="G28" s="25" t="n">
        <v>111357</v>
      </c>
    </row>
    <row r="29">
      <c r="B29" s="21" t="n">
        <v>2024</v>
      </c>
      <c r="C29" s="22" t="inlineStr">
        <is>
          <t>MFJ</t>
        </is>
      </c>
      <c r="D29" s="23" t="n">
        <v>731200</v>
      </c>
      <c r="E29" s="23" t="n">
        <v>9999999</v>
      </c>
      <c r="F29" s="24" t="n">
        <v>0.37</v>
      </c>
      <c r="G29" s="25" t="n">
        <v>196669.5</v>
      </c>
    </row>
    <row r="30">
      <c r="B30" s="21" t="n">
        <v>2024</v>
      </c>
      <c r="C30" s="22" t="inlineStr">
        <is>
          <t>Single</t>
        </is>
      </c>
      <c r="D30" s="23" t="n">
        <v>0</v>
      </c>
      <c r="E30" s="23" t="n">
        <v>11600</v>
      </c>
      <c r="F30" s="24" t="n">
        <v>0.1</v>
      </c>
      <c r="G30" s="25" t="n">
        <v>0</v>
      </c>
    </row>
    <row r="31">
      <c r="B31" s="21" t="n">
        <v>2024</v>
      </c>
      <c r="C31" s="22" t="inlineStr">
        <is>
          <t>Single</t>
        </is>
      </c>
      <c r="D31" s="23" t="n">
        <v>11600</v>
      </c>
      <c r="E31" s="23" t="n">
        <v>47150</v>
      </c>
      <c r="F31" s="24" t="n">
        <v>0.12</v>
      </c>
      <c r="G31" s="25" t="n">
        <v>1160</v>
      </c>
    </row>
    <row r="32">
      <c r="B32" s="21" t="n">
        <v>2024</v>
      </c>
      <c r="C32" s="22" t="inlineStr">
        <is>
          <t>Single</t>
        </is>
      </c>
      <c r="D32" s="23" t="n">
        <v>47150</v>
      </c>
      <c r="E32" s="23" t="n">
        <v>100525</v>
      </c>
      <c r="F32" s="24" t="n">
        <v>0.22</v>
      </c>
      <c r="G32" s="25" t="n">
        <v>5426</v>
      </c>
    </row>
    <row r="33">
      <c r="B33" s="21" t="n">
        <v>2024</v>
      </c>
      <c r="C33" s="22" t="inlineStr">
        <is>
          <t>Single</t>
        </is>
      </c>
      <c r="D33" s="23" t="n">
        <v>100525</v>
      </c>
      <c r="E33" s="23" t="n">
        <v>191950</v>
      </c>
      <c r="F33" s="24" t="n">
        <v>0.24</v>
      </c>
      <c r="G33" s="25" t="n">
        <v>17168.5</v>
      </c>
    </row>
    <row r="34">
      <c r="B34" s="21" t="n">
        <v>2024</v>
      </c>
      <c r="C34" s="22" t="inlineStr">
        <is>
          <t>Single</t>
        </is>
      </c>
      <c r="D34" s="23" t="n">
        <v>191950</v>
      </c>
      <c r="E34" s="23" t="n">
        <v>243725</v>
      </c>
      <c r="F34" s="24" t="n">
        <v>0.32</v>
      </c>
      <c r="G34" s="25" t="n">
        <v>39110.5</v>
      </c>
    </row>
    <row r="35">
      <c r="B35" s="21" t="n">
        <v>2024</v>
      </c>
      <c r="C35" s="22" t="inlineStr">
        <is>
          <t>Single</t>
        </is>
      </c>
      <c r="D35" s="23" t="n">
        <v>243725</v>
      </c>
      <c r="E35" s="23" t="n">
        <v>609350</v>
      </c>
      <c r="F35" s="24" t="n">
        <v>0.35</v>
      </c>
      <c r="G35" s="25" t="n">
        <v>55678.5</v>
      </c>
    </row>
    <row r="36">
      <c r="B36" s="21" t="n">
        <v>2024</v>
      </c>
      <c r="C36" s="22" t="inlineStr">
        <is>
          <t>Single</t>
        </is>
      </c>
      <c r="D36" s="23" t="n">
        <v>609350</v>
      </c>
      <c r="E36" s="23" t="n">
        <v>9999999</v>
      </c>
      <c r="F36" s="24" t="n">
        <v>0.37</v>
      </c>
      <c r="G36" s="25" t="n">
        <v>183647.25</v>
      </c>
    </row>
    <row r="37">
      <c r="B37" s="21" t="n">
        <v>2025</v>
      </c>
      <c r="C37" s="22" t="inlineStr">
        <is>
          <t>MFJ</t>
        </is>
      </c>
      <c r="D37" s="23" t="n">
        <v>0</v>
      </c>
      <c r="E37" s="23" t="n">
        <v>23850</v>
      </c>
      <c r="F37" s="24" t="n">
        <v>0.1</v>
      </c>
      <c r="G37" s="25" t="n">
        <v>0</v>
      </c>
    </row>
    <row r="38" ht="15" customHeight="1" s="19" thickBot="1">
      <c r="B38" s="35" t="n">
        <v>2025</v>
      </c>
      <c r="C38" s="22" t="inlineStr">
        <is>
          <t>MFJ</t>
        </is>
      </c>
      <c r="D38" s="23" t="n">
        <v>23850</v>
      </c>
      <c r="E38" s="23" t="n">
        <v>96950</v>
      </c>
      <c r="F38" s="24" t="n">
        <v>0.12</v>
      </c>
      <c r="G38" s="25" t="n">
        <v>2385</v>
      </c>
    </row>
    <row r="39">
      <c r="B39" s="21" t="n">
        <v>2025</v>
      </c>
      <c r="C39" s="22" t="inlineStr">
        <is>
          <t>MFJ</t>
        </is>
      </c>
      <c r="D39" s="23" t="n">
        <v>96950</v>
      </c>
      <c r="E39" s="23" t="n">
        <v>206700</v>
      </c>
      <c r="F39" s="24" t="n">
        <v>0.22</v>
      </c>
      <c r="G39" s="25" t="n">
        <v>11157</v>
      </c>
    </row>
    <row r="40">
      <c r="B40" s="21" t="n">
        <v>2025</v>
      </c>
      <c r="C40" s="22" t="inlineStr">
        <is>
          <t>MFJ</t>
        </is>
      </c>
      <c r="D40" s="23" t="n">
        <v>206700</v>
      </c>
      <c r="E40" s="23" t="n">
        <v>394600</v>
      </c>
      <c r="F40" s="24" t="n">
        <v>0.24</v>
      </c>
      <c r="G40" s="25" t="n">
        <v>35302</v>
      </c>
    </row>
    <row r="41">
      <c r="B41" s="21" t="n">
        <v>2025</v>
      </c>
      <c r="C41" s="22" t="inlineStr">
        <is>
          <t>MFJ</t>
        </is>
      </c>
      <c r="D41" s="23" t="n">
        <v>394600</v>
      </c>
      <c r="E41" s="23" t="n">
        <v>501050</v>
      </c>
      <c r="F41" s="24" t="n">
        <v>0.32</v>
      </c>
      <c r="G41" s="25" t="n">
        <v>80398</v>
      </c>
    </row>
    <row r="42">
      <c r="B42" s="21" t="n">
        <v>2025</v>
      </c>
      <c r="C42" s="22" t="inlineStr">
        <is>
          <t>MFJ</t>
        </is>
      </c>
      <c r="D42" s="23" t="n">
        <v>501050</v>
      </c>
      <c r="E42" s="23" t="n">
        <v>751600</v>
      </c>
      <c r="F42" s="24" t="n">
        <v>0.35</v>
      </c>
      <c r="G42" s="25" t="n">
        <v>114462</v>
      </c>
    </row>
    <row r="43">
      <c r="B43" s="21" t="n">
        <v>2025</v>
      </c>
      <c r="C43" s="22" t="inlineStr">
        <is>
          <t>MFJ</t>
        </is>
      </c>
      <c r="D43" s="23" t="n">
        <v>751600</v>
      </c>
      <c r="E43" s="23" t="n">
        <v>9999999</v>
      </c>
      <c r="F43" s="24" t="n">
        <v>0.37</v>
      </c>
      <c r="G43" s="25" t="n">
        <v>202154.5</v>
      </c>
    </row>
    <row r="44">
      <c r="B44" s="21" t="n">
        <v>2025</v>
      </c>
      <c r="C44" s="22" t="inlineStr">
        <is>
          <t>Single</t>
        </is>
      </c>
      <c r="D44" s="23" t="n">
        <v>0</v>
      </c>
      <c r="E44" s="23" t="n">
        <v>11925</v>
      </c>
      <c r="F44" s="24" t="n">
        <v>0.1</v>
      </c>
      <c r="G44" s="25" t="n">
        <v>0</v>
      </c>
    </row>
    <row r="45">
      <c r="B45" s="21" t="n">
        <v>2025</v>
      </c>
      <c r="C45" s="22" t="inlineStr">
        <is>
          <t>Single</t>
        </is>
      </c>
      <c r="D45" s="23" t="n">
        <v>11925</v>
      </c>
      <c r="E45" s="23" t="n">
        <v>48475</v>
      </c>
      <c r="F45" s="24" t="n">
        <v>0.12</v>
      </c>
      <c r="G45" s="25" t="n">
        <v>1192.5</v>
      </c>
    </row>
    <row r="46">
      <c r="B46" s="21" t="n">
        <v>2025</v>
      </c>
      <c r="C46" s="22" t="inlineStr">
        <is>
          <t>Single</t>
        </is>
      </c>
      <c r="D46" s="23" t="n">
        <v>48475</v>
      </c>
      <c r="E46" s="23" t="n">
        <v>103350</v>
      </c>
      <c r="F46" s="24" t="n">
        <v>0.22</v>
      </c>
      <c r="G46" s="25" t="n">
        <v>5578.5</v>
      </c>
    </row>
    <row r="47">
      <c r="B47" s="21" t="n">
        <v>2025</v>
      </c>
      <c r="C47" s="22" t="inlineStr">
        <is>
          <t>Single</t>
        </is>
      </c>
      <c r="D47" s="23" t="n">
        <v>103350</v>
      </c>
      <c r="E47" s="23" t="n">
        <v>197300</v>
      </c>
      <c r="F47" s="24" t="n">
        <v>0.24</v>
      </c>
      <c r="G47" s="25" t="n">
        <v>17651</v>
      </c>
    </row>
    <row r="48">
      <c r="B48" s="21" t="n">
        <v>2025</v>
      </c>
      <c r="C48" s="22" t="inlineStr">
        <is>
          <t>Single</t>
        </is>
      </c>
      <c r="D48" s="23" t="n">
        <v>197300</v>
      </c>
      <c r="E48" s="23" t="n">
        <v>250525</v>
      </c>
      <c r="F48" s="24" t="n">
        <v>0.32</v>
      </c>
      <c r="G48" s="25" t="n">
        <v>40199</v>
      </c>
    </row>
    <row r="49">
      <c r="B49" s="21" t="n">
        <v>2025</v>
      </c>
      <c r="C49" s="22" t="inlineStr">
        <is>
          <t>Single</t>
        </is>
      </c>
      <c r="D49" s="23" t="n">
        <v>250525</v>
      </c>
      <c r="E49" s="23" t="n">
        <v>626350</v>
      </c>
      <c r="F49" s="24" t="n">
        <v>0.35</v>
      </c>
      <c r="G49" s="25" t="n">
        <v>57231</v>
      </c>
    </row>
    <row r="50">
      <c r="B50" s="21" t="n">
        <v>2025</v>
      </c>
      <c r="C50" s="22" t="inlineStr">
        <is>
          <t>Single</t>
        </is>
      </c>
      <c r="D50" s="23" t="n">
        <v>626350</v>
      </c>
      <c r="E50" s="23" t="n">
        <v>9999999</v>
      </c>
      <c r="F50" s="24" t="n">
        <v>0.37</v>
      </c>
      <c r="G50" s="25" t="n">
        <v>188769.75</v>
      </c>
    </row>
    <row r="51">
      <c r="B51" s="21" t="n">
        <v>2026</v>
      </c>
      <c r="C51" s="22" t="inlineStr">
        <is>
          <t>MFJ</t>
        </is>
      </c>
      <c r="D51" s="23" t="n">
        <v>0</v>
      </c>
      <c r="E51" s="23" t="n">
        <v>23850</v>
      </c>
      <c r="F51" s="24" t="n">
        <v>0.1</v>
      </c>
      <c r="G51" s="25" t="n">
        <v>0</v>
      </c>
    </row>
    <row r="52">
      <c r="B52" s="21" t="n">
        <v>2026</v>
      </c>
      <c r="C52" s="22" t="inlineStr">
        <is>
          <t>MFJ</t>
        </is>
      </c>
      <c r="D52" s="23" t="n">
        <v>23850</v>
      </c>
      <c r="E52" s="23" t="n">
        <v>96950</v>
      </c>
      <c r="F52" s="24" t="n">
        <v>0.12</v>
      </c>
      <c r="G52" s="25" t="n">
        <v>2385</v>
      </c>
    </row>
    <row r="53">
      <c r="B53" s="21" t="n">
        <v>2026</v>
      </c>
      <c r="C53" s="22" t="inlineStr">
        <is>
          <t>MFJ</t>
        </is>
      </c>
      <c r="D53" s="23" t="n">
        <v>96950</v>
      </c>
      <c r="E53" s="23" t="n">
        <v>206700</v>
      </c>
      <c r="F53" s="24" t="n">
        <v>0.22</v>
      </c>
      <c r="G53" s="25" t="n">
        <v>11157</v>
      </c>
    </row>
    <row r="54">
      <c r="B54" s="21" t="n">
        <v>2026</v>
      </c>
      <c r="C54" s="22" t="inlineStr">
        <is>
          <t>MFJ</t>
        </is>
      </c>
      <c r="D54" s="23" t="n">
        <v>206700</v>
      </c>
      <c r="E54" s="23" t="n">
        <v>394600</v>
      </c>
      <c r="F54" s="24" t="n">
        <v>0.24</v>
      </c>
      <c r="G54" s="25" t="n">
        <v>35302</v>
      </c>
    </row>
    <row r="55">
      <c r="B55" s="21" t="n">
        <v>2026</v>
      </c>
      <c r="C55" s="22" t="inlineStr">
        <is>
          <t>MFJ</t>
        </is>
      </c>
      <c r="D55" s="23" t="n">
        <v>394600</v>
      </c>
      <c r="E55" s="23" t="n">
        <v>501050</v>
      </c>
      <c r="F55" s="24" t="n">
        <v>0.32</v>
      </c>
      <c r="G55" s="25" t="n">
        <v>80398</v>
      </c>
    </row>
    <row r="56">
      <c r="B56" s="21" t="n">
        <v>2026</v>
      </c>
      <c r="C56" s="22" t="inlineStr">
        <is>
          <t>MFJ</t>
        </is>
      </c>
      <c r="D56" s="23" t="n">
        <v>501050</v>
      </c>
      <c r="E56" s="23" t="n">
        <v>751600</v>
      </c>
      <c r="F56" s="24" t="n">
        <v>0.35</v>
      </c>
      <c r="G56" s="25" t="n">
        <v>114462</v>
      </c>
    </row>
    <row r="57">
      <c r="B57" s="21" t="n">
        <v>2026</v>
      </c>
      <c r="C57" s="22" t="inlineStr">
        <is>
          <t>MFJ</t>
        </is>
      </c>
      <c r="D57" s="23" t="n">
        <v>751600</v>
      </c>
      <c r="E57" s="23" t="n">
        <v>9999999</v>
      </c>
      <c r="F57" s="24" t="n">
        <v>0.37</v>
      </c>
      <c r="G57" s="25" t="n">
        <v>202154.5</v>
      </c>
    </row>
    <row r="58">
      <c r="B58" s="21" t="n">
        <v>2026</v>
      </c>
      <c r="C58" s="22" t="inlineStr">
        <is>
          <t>Single</t>
        </is>
      </c>
      <c r="D58" s="23" t="n">
        <v>0</v>
      </c>
      <c r="E58" s="23" t="n">
        <v>11925</v>
      </c>
      <c r="F58" s="24" t="n">
        <v>0.1</v>
      </c>
      <c r="G58" s="25" t="n">
        <v>0</v>
      </c>
    </row>
    <row r="59">
      <c r="B59" s="21" t="n">
        <v>2026</v>
      </c>
      <c r="C59" s="22" t="inlineStr">
        <is>
          <t>Single</t>
        </is>
      </c>
      <c r="D59" s="23" t="n">
        <v>11925</v>
      </c>
      <c r="E59" s="23" t="n">
        <v>48475</v>
      </c>
      <c r="F59" s="24" t="n">
        <v>0.12</v>
      </c>
      <c r="G59" s="25" t="n">
        <v>1192.5</v>
      </c>
    </row>
    <row r="60">
      <c r="B60" s="21" t="n">
        <v>2026</v>
      </c>
      <c r="C60" s="22" t="inlineStr">
        <is>
          <t>Single</t>
        </is>
      </c>
      <c r="D60" s="23" t="n">
        <v>48475</v>
      </c>
      <c r="E60" s="23" t="n">
        <v>103350</v>
      </c>
      <c r="F60" s="24" t="n">
        <v>0.22</v>
      </c>
      <c r="G60" s="25" t="n">
        <v>5578.5</v>
      </c>
    </row>
    <row r="61">
      <c r="B61" s="21" t="n">
        <v>2026</v>
      </c>
      <c r="C61" s="22" t="inlineStr">
        <is>
          <t>Single</t>
        </is>
      </c>
      <c r="D61" s="23" t="n">
        <v>103350</v>
      </c>
      <c r="E61" s="23" t="n">
        <v>197300</v>
      </c>
      <c r="F61" s="24" t="n">
        <v>0.24</v>
      </c>
      <c r="G61" s="25" t="n">
        <v>17651</v>
      </c>
    </row>
    <row r="62">
      <c r="B62" s="21" t="n">
        <v>2026</v>
      </c>
      <c r="C62" s="22" t="inlineStr">
        <is>
          <t>Single</t>
        </is>
      </c>
      <c r="D62" s="23" t="n">
        <v>197300</v>
      </c>
      <c r="E62" s="23" t="n">
        <v>250525</v>
      </c>
      <c r="F62" s="24" t="n">
        <v>0.32</v>
      </c>
      <c r="G62" s="25" t="n">
        <v>40199</v>
      </c>
    </row>
    <row r="63">
      <c r="B63" s="21" t="n">
        <v>2026</v>
      </c>
      <c r="C63" s="22" t="inlineStr">
        <is>
          <t>Single</t>
        </is>
      </c>
      <c r="D63" s="23" t="n">
        <v>250525</v>
      </c>
      <c r="E63" s="23" t="n">
        <v>626350</v>
      </c>
      <c r="F63" s="24" t="n">
        <v>0.35</v>
      </c>
      <c r="G63" s="25" t="n">
        <v>57231</v>
      </c>
    </row>
    <row r="64">
      <c r="B64" s="21" t="n">
        <v>2026</v>
      </c>
      <c r="C64" s="22" t="inlineStr">
        <is>
          <t>Single</t>
        </is>
      </c>
      <c r="D64" s="23" t="n">
        <v>626350</v>
      </c>
      <c r="E64" s="23" t="n">
        <v>9999999</v>
      </c>
      <c r="F64" s="24" t="n">
        <v>0.37</v>
      </c>
      <c r="G64" s="25" t="n">
        <v>188769.75</v>
      </c>
    </row>
    <row r="65">
      <c r="B65" s="21" t="n">
        <v>2027</v>
      </c>
      <c r="C65" s="22" t="inlineStr">
        <is>
          <t>MFJ</t>
        </is>
      </c>
      <c r="D65" s="23" t="n">
        <v>0</v>
      </c>
      <c r="E65" s="23" t="n">
        <v>23850</v>
      </c>
      <c r="F65" s="24" t="n">
        <v>0.1</v>
      </c>
      <c r="G65" s="25" t="n">
        <v>0</v>
      </c>
    </row>
    <row r="66">
      <c r="B66" s="21" t="n">
        <v>2027</v>
      </c>
      <c r="C66" s="22" t="inlineStr">
        <is>
          <t>MFJ</t>
        </is>
      </c>
      <c r="D66" s="23" t="n">
        <v>23850</v>
      </c>
      <c r="E66" s="23" t="n">
        <v>96950</v>
      </c>
      <c r="F66" s="24" t="n">
        <v>0.12</v>
      </c>
      <c r="G66" s="25" t="n">
        <v>2385</v>
      </c>
    </row>
    <row r="67">
      <c r="B67" s="21" t="n">
        <v>2027</v>
      </c>
      <c r="C67" s="22" t="inlineStr">
        <is>
          <t>MFJ</t>
        </is>
      </c>
      <c r="D67" s="23" t="n">
        <v>96950</v>
      </c>
      <c r="E67" s="23" t="n">
        <v>206700</v>
      </c>
      <c r="F67" s="24" t="n">
        <v>0.22</v>
      </c>
      <c r="G67" s="25" t="n">
        <v>11157</v>
      </c>
    </row>
    <row r="68">
      <c r="B68" s="21" t="n">
        <v>2027</v>
      </c>
      <c r="C68" s="22" t="inlineStr">
        <is>
          <t>MFJ</t>
        </is>
      </c>
      <c r="D68" s="23" t="n">
        <v>206700</v>
      </c>
      <c r="E68" s="23" t="n">
        <v>394600</v>
      </c>
      <c r="F68" s="24" t="n">
        <v>0.24</v>
      </c>
      <c r="G68" s="25" t="n">
        <v>35302</v>
      </c>
    </row>
    <row r="69">
      <c r="B69" s="21" t="n">
        <v>2027</v>
      </c>
      <c r="C69" s="22" t="inlineStr">
        <is>
          <t>MFJ</t>
        </is>
      </c>
      <c r="D69" s="23" t="n">
        <v>394600</v>
      </c>
      <c r="E69" s="23" t="n">
        <v>501050</v>
      </c>
      <c r="F69" s="24" t="n">
        <v>0.32</v>
      </c>
      <c r="G69" s="25" t="n">
        <v>80398</v>
      </c>
    </row>
    <row r="70">
      <c r="B70" s="21" t="n">
        <v>2027</v>
      </c>
      <c r="C70" s="22" t="inlineStr">
        <is>
          <t>MFJ</t>
        </is>
      </c>
      <c r="D70" s="23" t="n">
        <v>501050</v>
      </c>
      <c r="E70" s="23" t="n">
        <v>751600</v>
      </c>
      <c r="F70" s="24" t="n">
        <v>0.35</v>
      </c>
      <c r="G70" s="25" t="n">
        <v>114462</v>
      </c>
    </row>
    <row r="71">
      <c r="B71" s="21" t="n">
        <v>2027</v>
      </c>
      <c r="C71" s="22" t="inlineStr">
        <is>
          <t>MFJ</t>
        </is>
      </c>
      <c r="D71" s="23" t="n">
        <v>751600</v>
      </c>
      <c r="E71" s="23" t="n">
        <v>9999999</v>
      </c>
      <c r="F71" s="24" t="n">
        <v>0.37</v>
      </c>
      <c r="G71" s="25" t="n">
        <v>202154.5</v>
      </c>
    </row>
    <row r="72">
      <c r="B72" s="21" t="n">
        <v>2027</v>
      </c>
      <c r="C72" s="22" t="inlineStr">
        <is>
          <t>Single</t>
        </is>
      </c>
      <c r="D72" s="23" t="n">
        <v>0</v>
      </c>
      <c r="E72" s="23" t="n">
        <v>11925</v>
      </c>
      <c r="F72" s="24" t="n">
        <v>0.1</v>
      </c>
      <c r="G72" s="25" t="n">
        <v>0</v>
      </c>
    </row>
    <row r="73">
      <c r="B73" s="21" t="n">
        <v>2027</v>
      </c>
      <c r="C73" s="22" t="inlineStr">
        <is>
          <t>Single</t>
        </is>
      </c>
      <c r="D73" s="23" t="n">
        <v>11925</v>
      </c>
      <c r="E73" s="23" t="n">
        <v>48475</v>
      </c>
      <c r="F73" s="24" t="n">
        <v>0.12</v>
      </c>
      <c r="G73" s="25" t="n">
        <v>1192.5</v>
      </c>
    </row>
    <row r="74">
      <c r="B74" s="21" t="n">
        <v>2027</v>
      </c>
      <c r="C74" s="22" t="inlineStr">
        <is>
          <t>Single</t>
        </is>
      </c>
      <c r="D74" s="23" t="n">
        <v>48475</v>
      </c>
      <c r="E74" s="23" t="n">
        <v>103350</v>
      </c>
      <c r="F74" s="24" t="n">
        <v>0.22</v>
      </c>
      <c r="G74" s="25" t="n">
        <v>5578.5</v>
      </c>
    </row>
    <row r="75">
      <c r="B75" s="21" t="n">
        <v>2027</v>
      </c>
      <c r="C75" s="22" t="inlineStr">
        <is>
          <t>Single</t>
        </is>
      </c>
      <c r="D75" s="23" t="n">
        <v>103350</v>
      </c>
      <c r="E75" s="23" t="n">
        <v>197300</v>
      </c>
      <c r="F75" s="24" t="n">
        <v>0.24</v>
      </c>
      <c r="G75" s="25" t="n">
        <v>17651</v>
      </c>
    </row>
    <row r="76">
      <c r="B76" s="21" t="n">
        <v>2027</v>
      </c>
      <c r="C76" s="22" t="inlineStr">
        <is>
          <t>Single</t>
        </is>
      </c>
      <c r="D76" s="23" t="n">
        <v>197300</v>
      </c>
      <c r="E76" s="23" t="n">
        <v>250525</v>
      </c>
      <c r="F76" s="24" t="n">
        <v>0.32</v>
      </c>
      <c r="G76" s="25" t="n">
        <v>40199</v>
      </c>
    </row>
    <row r="77">
      <c r="B77" s="21" t="n">
        <v>2027</v>
      </c>
      <c r="C77" s="22" t="inlineStr">
        <is>
          <t>Single</t>
        </is>
      </c>
      <c r="D77" s="23" t="n">
        <v>250525</v>
      </c>
      <c r="E77" s="23" t="n">
        <v>626350</v>
      </c>
      <c r="F77" s="24" t="n">
        <v>0.35</v>
      </c>
      <c r="G77" s="25" t="n">
        <v>57231</v>
      </c>
    </row>
    <row r="78">
      <c r="B78" s="21" t="n">
        <v>2027</v>
      </c>
      <c r="C78" s="22" t="inlineStr">
        <is>
          <t>Single</t>
        </is>
      </c>
      <c r="D78" s="23" t="n">
        <v>626350</v>
      </c>
      <c r="E78" s="23" t="n">
        <v>9999999</v>
      </c>
      <c r="F78" s="24" t="n">
        <v>0.37</v>
      </c>
      <c r="G78" s="25" t="n">
        <v>188769.75</v>
      </c>
    </row>
    <row r="79">
      <c r="B79" s="21" t="n">
        <v>2028</v>
      </c>
      <c r="C79" s="22" t="inlineStr">
        <is>
          <t>MFJ</t>
        </is>
      </c>
      <c r="D79" s="23" t="n">
        <v>0</v>
      </c>
      <c r="E79" s="23" t="n">
        <v>23850</v>
      </c>
      <c r="F79" s="24" t="n">
        <v>0.1</v>
      </c>
      <c r="G79" s="25" t="n">
        <v>0</v>
      </c>
    </row>
    <row r="80">
      <c r="B80" s="21" t="n">
        <v>2028</v>
      </c>
      <c r="C80" s="22" t="inlineStr">
        <is>
          <t>MFJ</t>
        </is>
      </c>
      <c r="D80" s="23" t="n">
        <v>23850</v>
      </c>
      <c r="E80" s="23" t="n">
        <v>96950</v>
      </c>
      <c r="F80" s="24" t="n">
        <v>0.12</v>
      </c>
      <c r="G80" s="25" t="n">
        <v>2385</v>
      </c>
    </row>
    <row r="81">
      <c r="B81" s="21" t="n">
        <v>2028</v>
      </c>
      <c r="C81" s="22" t="inlineStr">
        <is>
          <t>MFJ</t>
        </is>
      </c>
      <c r="D81" s="23" t="n">
        <v>96950</v>
      </c>
      <c r="E81" s="23" t="n">
        <v>206700</v>
      </c>
      <c r="F81" s="24" t="n">
        <v>0.22</v>
      </c>
      <c r="G81" s="25" t="n">
        <v>11157</v>
      </c>
    </row>
    <row r="82">
      <c r="B82" s="21" t="n">
        <v>2028</v>
      </c>
      <c r="C82" s="22" t="inlineStr">
        <is>
          <t>MFJ</t>
        </is>
      </c>
      <c r="D82" s="23" t="n">
        <v>206700</v>
      </c>
      <c r="E82" s="23" t="n">
        <v>394600</v>
      </c>
      <c r="F82" s="24" t="n">
        <v>0.24</v>
      </c>
      <c r="G82" s="25" t="n">
        <v>35302</v>
      </c>
    </row>
    <row r="83">
      <c r="B83" s="21" t="n">
        <v>2028</v>
      </c>
      <c r="C83" s="22" t="inlineStr">
        <is>
          <t>MFJ</t>
        </is>
      </c>
      <c r="D83" s="23" t="n">
        <v>394600</v>
      </c>
      <c r="E83" s="23" t="n">
        <v>501050</v>
      </c>
      <c r="F83" s="24" t="n">
        <v>0.32</v>
      </c>
      <c r="G83" s="25" t="n">
        <v>80398</v>
      </c>
    </row>
    <row r="84">
      <c r="B84" s="21" t="n">
        <v>2028</v>
      </c>
      <c r="C84" s="22" t="inlineStr">
        <is>
          <t>MFJ</t>
        </is>
      </c>
      <c r="D84" s="23" t="n">
        <v>501050</v>
      </c>
      <c r="E84" s="23" t="n">
        <v>751600</v>
      </c>
      <c r="F84" s="24" t="n">
        <v>0.35</v>
      </c>
      <c r="G84" s="25" t="n">
        <v>114462</v>
      </c>
    </row>
    <row r="85">
      <c r="B85" s="21" t="n">
        <v>2028</v>
      </c>
      <c r="C85" s="22" t="inlineStr">
        <is>
          <t>MFJ</t>
        </is>
      </c>
      <c r="D85" s="23" t="n">
        <v>751600</v>
      </c>
      <c r="E85" s="23" t="n">
        <v>9999999</v>
      </c>
      <c r="F85" s="24" t="n">
        <v>0.37</v>
      </c>
      <c r="G85" s="25" t="n">
        <v>202154.5</v>
      </c>
    </row>
    <row r="86">
      <c r="B86" s="21" t="n">
        <v>2028</v>
      </c>
      <c r="C86" s="22" t="inlineStr">
        <is>
          <t>Single</t>
        </is>
      </c>
      <c r="D86" s="23" t="n">
        <v>0</v>
      </c>
      <c r="E86" s="23" t="n">
        <v>11925</v>
      </c>
      <c r="F86" s="24" t="n">
        <v>0.1</v>
      </c>
      <c r="G86" s="25" t="n">
        <v>0</v>
      </c>
    </row>
    <row r="87">
      <c r="B87" s="21" t="n">
        <v>2028</v>
      </c>
      <c r="C87" s="22" t="inlineStr">
        <is>
          <t>Single</t>
        </is>
      </c>
      <c r="D87" s="23" t="n">
        <v>11925</v>
      </c>
      <c r="E87" s="23" t="n">
        <v>48475</v>
      </c>
      <c r="F87" s="24" t="n">
        <v>0.12</v>
      </c>
      <c r="G87" s="25" t="n">
        <v>1192.5</v>
      </c>
    </row>
    <row r="88">
      <c r="B88" s="21" t="n">
        <v>2028</v>
      </c>
      <c r="C88" s="22" t="inlineStr">
        <is>
          <t>Single</t>
        </is>
      </c>
      <c r="D88" s="23" t="n">
        <v>48475</v>
      </c>
      <c r="E88" s="23" t="n">
        <v>103350</v>
      </c>
      <c r="F88" s="24" t="n">
        <v>0.22</v>
      </c>
      <c r="G88" s="25" t="n">
        <v>5578.5</v>
      </c>
    </row>
    <row r="89">
      <c r="B89" s="21" t="n">
        <v>2028</v>
      </c>
      <c r="C89" s="22" t="inlineStr">
        <is>
          <t>Single</t>
        </is>
      </c>
      <c r="D89" s="23" t="n">
        <v>103350</v>
      </c>
      <c r="E89" s="23" t="n">
        <v>197300</v>
      </c>
      <c r="F89" s="24" t="n">
        <v>0.24</v>
      </c>
      <c r="G89" s="25" t="n">
        <v>17651</v>
      </c>
    </row>
    <row r="90">
      <c r="B90" s="21" t="n">
        <v>2028</v>
      </c>
      <c r="C90" s="22" t="inlineStr">
        <is>
          <t>Single</t>
        </is>
      </c>
      <c r="D90" s="23" t="n">
        <v>197300</v>
      </c>
      <c r="E90" s="23" t="n">
        <v>250525</v>
      </c>
      <c r="F90" s="24" t="n">
        <v>0.32</v>
      </c>
      <c r="G90" s="25" t="n">
        <v>40199</v>
      </c>
    </row>
    <row r="91">
      <c r="B91" s="21" t="n">
        <v>2028</v>
      </c>
      <c r="C91" s="22" t="inlineStr">
        <is>
          <t>Single</t>
        </is>
      </c>
      <c r="D91" s="23" t="n">
        <v>250525</v>
      </c>
      <c r="E91" s="23" t="n">
        <v>626350</v>
      </c>
      <c r="F91" s="24" t="n">
        <v>0.35</v>
      </c>
      <c r="G91" s="25" t="n">
        <v>57231</v>
      </c>
    </row>
    <row r="92">
      <c r="B92" s="21" t="n">
        <v>2028</v>
      </c>
      <c r="C92" s="22" t="inlineStr">
        <is>
          <t>Single</t>
        </is>
      </c>
      <c r="D92" s="23" t="n">
        <v>626350</v>
      </c>
      <c r="E92" s="23" t="n">
        <v>9999999</v>
      </c>
      <c r="F92" s="24" t="n">
        <v>0.37</v>
      </c>
      <c r="G92" s="25" t="n">
        <v>188769.75</v>
      </c>
    </row>
    <row r="93">
      <c r="B93" s="21" t="n">
        <v>2023</v>
      </c>
      <c r="C93" s="22" t="inlineStr">
        <is>
          <t>HOH</t>
        </is>
      </c>
      <c r="D93" s="23" t="n">
        <v>0</v>
      </c>
      <c r="E93" s="23" t="n">
        <v>17000</v>
      </c>
      <c r="F93" s="24" t="n">
        <v>0.1</v>
      </c>
      <c r="G93" s="25" t="n">
        <v>0</v>
      </c>
    </row>
    <row r="94">
      <c r="B94" s="21" t="n">
        <v>2023</v>
      </c>
      <c r="C94" s="22" t="inlineStr">
        <is>
          <t>HOH</t>
        </is>
      </c>
      <c r="D94" s="23" t="n">
        <v>17000</v>
      </c>
      <c r="E94" s="23" t="n">
        <v>64850</v>
      </c>
      <c r="F94" s="24" t="n">
        <v>0.12</v>
      </c>
      <c r="G94" s="25" t="n">
        <v>1700</v>
      </c>
    </row>
    <row r="95">
      <c r="B95" s="21" t="n">
        <v>2023</v>
      </c>
      <c r="C95" s="22" t="inlineStr">
        <is>
          <t>HOH</t>
        </is>
      </c>
      <c r="D95" s="23" t="n">
        <v>64850</v>
      </c>
      <c r="E95" s="23" t="n">
        <v>103350</v>
      </c>
      <c r="F95" s="24" t="n">
        <v>0.22</v>
      </c>
      <c r="G95" s="25" t="n">
        <v>7442</v>
      </c>
    </row>
    <row r="96">
      <c r="B96" s="21" t="n">
        <v>2023</v>
      </c>
      <c r="C96" s="22" t="inlineStr">
        <is>
          <t>HOH</t>
        </is>
      </c>
      <c r="D96" s="23" t="n">
        <v>103350</v>
      </c>
      <c r="E96" s="23" t="n">
        <v>197300</v>
      </c>
      <c r="F96" s="24" t="n">
        <v>0.24</v>
      </c>
      <c r="G96" s="25" t="n">
        <v>14902</v>
      </c>
    </row>
    <row r="97">
      <c r="B97" s="21" t="n">
        <v>2023</v>
      </c>
      <c r="C97" s="22" t="inlineStr">
        <is>
          <t>HOH</t>
        </is>
      </c>
      <c r="D97" s="23" t="n">
        <v>197300</v>
      </c>
      <c r="E97" s="23" t="n">
        <v>250500</v>
      </c>
      <c r="F97" s="24" t="n">
        <v>0.32</v>
      </c>
      <c r="G97" s="25" t="n">
        <v>37450</v>
      </c>
    </row>
    <row r="98">
      <c r="B98" s="21" t="n">
        <v>2023</v>
      </c>
      <c r="C98" s="22" t="inlineStr">
        <is>
          <t>HOH</t>
        </is>
      </c>
      <c r="D98" s="23" t="n">
        <v>250500</v>
      </c>
      <c r="E98" s="23" t="n">
        <v>626350</v>
      </c>
      <c r="F98" s="24" t="n">
        <v>0.35</v>
      </c>
      <c r="G98" s="25" t="n">
        <v>54474</v>
      </c>
    </row>
    <row r="99">
      <c r="B99" s="21" t="n">
        <v>2023</v>
      </c>
      <c r="C99" s="22" t="inlineStr">
        <is>
          <t>HOH</t>
        </is>
      </c>
      <c r="D99" s="23" t="n">
        <v>626350</v>
      </c>
      <c r="E99" s="23" t="n">
        <v>9999999</v>
      </c>
      <c r="F99" s="24" t="n">
        <v>0.37</v>
      </c>
      <c r="G99" s="25" t="n">
        <v>185921.5</v>
      </c>
    </row>
    <row r="100">
      <c r="B100" s="21" t="n">
        <v>2023</v>
      </c>
      <c r="C100" s="22" t="inlineStr">
        <is>
          <t>MFS</t>
        </is>
      </c>
      <c r="D100" s="23" t="n">
        <v>0</v>
      </c>
      <c r="E100" s="23" t="n">
        <v>11925</v>
      </c>
      <c r="F100" s="24" t="n">
        <v>0.1</v>
      </c>
      <c r="G100" s="25" t="n">
        <v>0</v>
      </c>
    </row>
    <row r="101">
      <c r="B101" s="21" t="n">
        <v>2023</v>
      </c>
      <c r="C101" s="22" t="inlineStr">
        <is>
          <t>MFS</t>
        </is>
      </c>
      <c r="D101" s="23" t="n">
        <v>11925</v>
      </c>
      <c r="E101" s="23" t="n">
        <v>48475</v>
      </c>
      <c r="F101" s="24" t="n">
        <v>0.12</v>
      </c>
      <c r="G101" s="25" t="n">
        <v>1192.5</v>
      </c>
    </row>
    <row r="102">
      <c r="B102" s="21" t="n">
        <v>2023</v>
      </c>
      <c r="C102" s="22" t="inlineStr">
        <is>
          <t>MFS</t>
        </is>
      </c>
      <c r="D102" s="23" t="n">
        <v>48475</v>
      </c>
      <c r="E102" s="23" t="n">
        <v>103350</v>
      </c>
      <c r="F102" s="24" t="n">
        <v>0.22</v>
      </c>
      <c r="G102" s="25" t="n">
        <v>5578.5</v>
      </c>
    </row>
    <row r="103">
      <c r="B103" s="21" t="n">
        <v>2023</v>
      </c>
      <c r="C103" s="22" t="inlineStr">
        <is>
          <t>MFS</t>
        </is>
      </c>
      <c r="D103" s="23" t="n">
        <v>103350</v>
      </c>
      <c r="E103" s="23" t="n">
        <v>197300</v>
      </c>
      <c r="F103" s="24" t="n">
        <v>0.24</v>
      </c>
      <c r="G103" s="25" t="n">
        <v>17651</v>
      </c>
    </row>
    <row r="104">
      <c r="B104" s="21" t="n">
        <v>2023</v>
      </c>
      <c r="C104" s="22" t="inlineStr">
        <is>
          <t>MFS</t>
        </is>
      </c>
      <c r="D104" s="23" t="n">
        <v>197300</v>
      </c>
      <c r="E104" s="23" t="n">
        <v>250525</v>
      </c>
      <c r="F104" s="24" t="n">
        <v>0.32</v>
      </c>
      <c r="G104" s="25" t="n">
        <v>40199</v>
      </c>
    </row>
    <row r="105">
      <c r="B105" s="21" t="n">
        <v>2023</v>
      </c>
      <c r="C105" s="22" t="inlineStr">
        <is>
          <t>MFS</t>
        </is>
      </c>
      <c r="D105" s="23" t="n">
        <v>250525</v>
      </c>
      <c r="E105" s="23" t="n">
        <v>375800</v>
      </c>
      <c r="F105" s="24" t="n">
        <v>0.35</v>
      </c>
      <c r="G105" s="25" t="n">
        <v>57231</v>
      </c>
    </row>
    <row r="106">
      <c r="B106" s="21" t="n">
        <v>2023</v>
      </c>
      <c r="C106" s="22" t="inlineStr">
        <is>
          <t>MFS</t>
        </is>
      </c>
      <c r="D106" s="23" t="n">
        <v>375800</v>
      </c>
      <c r="E106" s="23" t="n">
        <v>9999999</v>
      </c>
      <c r="F106" s="24" t="n">
        <v>0.37</v>
      </c>
      <c r="G106" s="25" t="n">
        <v>101078.25</v>
      </c>
    </row>
    <row r="107">
      <c r="B107" s="21" t="n">
        <v>2024</v>
      </c>
      <c r="C107" s="22" t="inlineStr">
        <is>
          <t>HOH</t>
        </is>
      </c>
      <c r="D107" s="23" t="n">
        <v>0</v>
      </c>
      <c r="E107" s="23" t="n">
        <v>17000</v>
      </c>
      <c r="F107" s="24" t="n">
        <v>0.1</v>
      </c>
      <c r="G107" s="25" t="n">
        <v>0</v>
      </c>
    </row>
    <row r="108">
      <c r="B108" s="21" t="n">
        <v>2024</v>
      </c>
      <c r="C108" s="22" t="inlineStr">
        <is>
          <t>HOH</t>
        </is>
      </c>
      <c r="D108" s="23" t="n">
        <v>17000</v>
      </c>
      <c r="E108" s="23" t="n">
        <v>64850</v>
      </c>
      <c r="F108" s="24" t="n">
        <v>0.12</v>
      </c>
      <c r="G108" s="25" t="n">
        <v>1700</v>
      </c>
    </row>
    <row r="109">
      <c r="B109" s="21" t="n">
        <v>2024</v>
      </c>
      <c r="C109" s="22" t="inlineStr">
        <is>
          <t>HOH</t>
        </is>
      </c>
      <c r="D109" s="23" t="n">
        <v>64850</v>
      </c>
      <c r="E109" s="23" t="n">
        <v>103350</v>
      </c>
      <c r="F109" s="24" t="n">
        <v>0.22</v>
      </c>
      <c r="G109" s="25" t="n">
        <v>7442</v>
      </c>
    </row>
    <row r="110">
      <c r="B110" s="21" t="n">
        <v>2024</v>
      </c>
      <c r="C110" s="22" t="inlineStr">
        <is>
          <t>HOH</t>
        </is>
      </c>
      <c r="D110" s="23" t="n">
        <v>103350</v>
      </c>
      <c r="E110" s="23" t="n">
        <v>197300</v>
      </c>
      <c r="F110" s="24" t="n">
        <v>0.24</v>
      </c>
      <c r="G110" s="25" t="n">
        <v>14902</v>
      </c>
    </row>
    <row r="111">
      <c r="B111" s="21" t="n">
        <v>2024</v>
      </c>
      <c r="C111" s="22" t="inlineStr">
        <is>
          <t>HOH</t>
        </is>
      </c>
      <c r="D111" s="23" t="n">
        <v>197300</v>
      </c>
      <c r="E111" s="23" t="n">
        <v>250500</v>
      </c>
      <c r="F111" s="24" t="n">
        <v>0.32</v>
      </c>
      <c r="G111" s="25" t="n">
        <v>37450</v>
      </c>
    </row>
    <row r="112">
      <c r="B112" s="21" t="n">
        <v>2024</v>
      </c>
      <c r="C112" s="22" t="inlineStr">
        <is>
          <t>HOH</t>
        </is>
      </c>
      <c r="D112" s="23" t="n">
        <v>250500</v>
      </c>
      <c r="E112" s="23" t="n">
        <v>626350</v>
      </c>
      <c r="F112" s="24" t="n">
        <v>0.35</v>
      </c>
      <c r="G112" s="25" t="n">
        <v>54474</v>
      </c>
    </row>
    <row r="113">
      <c r="B113" s="21" t="n">
        <v>2024</v>
      </c>
      <c r="C113" s="22" t="inlineStr">
        <is>
          <t>HOH</t>
        </is>
      </c>
      <c r="D113" s="23" t="n">
        <v>626350</v>
      </c>
      <c r="E113" s="23" t="n">
        <v>9999999</v>
      </c>
      <c r="F113" s="24" t="n">
        <v>0.37</v>
      </c>
      <c r="G113" s="25" t="n">
        <v>185921.5</v>
      </c>
    </row>
    <row r="114">
      <c r="B114" s="21" t="n">
        <v>2024</v>
      </c>
      <c r="C114" s="22" t="inlineStr">
        <is>
          <t>MFS</t>
        </is>
      </c>
      <c r="D114" s="23" t="n">
        <v>0</v>
      </c>
      <c r="E114" s="23" t="n">
        <v>11925</v>
      </c>
      <c r="F114" s="24" t="n">
        <v>0.1</v>
      </c>
      <c r="G114" s="25" t="n">
        <v>0</v>
      </c>
    </row>
    <row r="115">
      <c r="B115" s="21" t="n">
        <v>2024</v>
      </c>
      <c r="C115" s="22" t="inlineStr">
        <is>
          <t>MFS</t>
        </is>
      </c>
      <c r="D115" s="23" t="n">
        <v>11925</v>
      </c>
      <c r="E115" s="23" t="n">
        <v>48475</v>
      </c>
      <c r="F115" s="24" t="n">
        <v>0.12</v>
      </c>
      <c r="G115" s="25" t="n">
        <v>1192.5</v>
      </c>
    </row>
    <row r="116">
      <c r="B116" s="21" t="n">
        <v>2024</v>
      </c>
      <c r="C116" s="22" t="inlineStr">
        <is>
          <t>MFS</t>
        </is>
      </c>
      <c r="D116" s="23" t="n">
        <v>48475</v>
      </c>
      <c r="E116" s="23" t="n">
        <v>103350</v>
      </c>
      <c r="F116" s="24" t="n">
        <v>0.22</v>
      </c>
      <c r="G116" s="25" t="n">
        <v>5578.5</v>
      </c>
    </row>
    <row r="117">
      <c r="B117" s="21" t="n">
        <v>2024</v>
      </c>
      <c r="C117" s="22" t="inlineStr">
        <is>
          <t>MFS</t>
        </is>
      </c>
      <c r="D117" s="23" t="n">
        <v>103350</v>
      </c>
      <c r="E117" s="23" t="n">
        <v>197300</v>
      </c>
      <c r="F117" s="24" t="n">
        <v>0.24</v>
      </c>
      <c r="G117" s="25" t="n">
        <v>17651</v>
      </c>
    </row>
    <row r="118">
      <c r="B118" s="21" t="n">
        <v>2024</v>
      </c>
      <c r="C118" s="22" t="inlineStr">
        <is>
          <t>MFS</t>
        </is>
      </c>
      <c r="D118" s="23" t="n">
        <v>197300</v>
      </c>
      <c r="E118" s="23" t="n">
        <v>250525</v>
      </c>
      <c r="F118" s="24" t="n">
        <v>0.32</v>
      </c>
      <c r="G118" s="25" t="n">
        <v>40199</v>
      </c>
    </row>
    <row r="119">
      <c r="B119" s="21" t="n">
        <v>2024</v>
      </c>
      <c r="C119" s="22" t="inlineStr">
        <is>
          <t>MFS</t>
        </is>
      </c>
      <c r="D119" s="23" t="n">
        <v>250525</v>
      </c>
      <c r="E119" s="23" t="n">
        <v>375800</v>
      </c>
      <c r="F119" s="24" t="n">
        <v>0.35</v>
      </c>
      <c r="G119" s="25" t="n">
        <v>57231</v>
      </c>
    </row>
    <row r="120">
      <c r="B120" s="21" t="n">
        <v>2024</v>
      </c>
      <c r="C120" s="22" t="inlineStr">
        <is>
          <t>MFS</t>
        </is>
      </c>
      <c r="D120" s="23" t="n">
        <v>375800</v>
      </c>
      <c r="E120" s="23" t="n">
        <v>9999999</v>
      </c>
      <c r="F120" s="24" t="n">
        <v>0.37</v>
      </c>
      <c r="G120" s="25" t="n">
        <v>101078.25</v>
      </c>
    </row>
    <row r="121">
      <c r="B121" s="21" t="n">
        <v>2025</v>
      </c>
      <c r="C121" s="22" t="inlineStr">
        <is>
          <t>HOH</t>
        </is>
      </c>
      <c r="D121" s="23" t="n">
        <v>0</v>
      </c>
      <c r="E121" s="23" t="n">
        <v>17000</v>
      </c>
      <c r="F121" s="24" t="n">
        <v>0.1</v>
      </c>
      <c r="G121" s="25" t="n">
        <v>0</v>
      </c>
    </row>
    <row r="122">
      <c r="B122" s="21" t="n">
        <v>2025</v>
      </c>
      <c r="C122" s="22" t="inlineStr">
        <is>
          <t>HOH</t>
        </is>
      </c>
      <c r="D122" s="23" t="n">
        <v>17000</v>
      </c>
      <c r="E122" s="23" t="n">
        <v>64850</v>
      </c>
      <c r="F122" s="24" t="n">
        <v>0.12</v>
      </c>
      <c r="G122" s="25" t="n">
        <v>1700</v>
      </c>
    </row>
    <row r="123">
      <c r="B123" s="21" t="n">
        <v>2025</v>
      </c>
      <c r="C123" s="22" t="inlineStr">
        <is>
          <t>HOH</t>
        </is>
      </c>
      <c r="D123" s="23" t="n">
        <v>64850</v>
      </c>
      <c r="E123" s="23" t="n">
        <v>103350</v>
      </c>
      <c r="F123" s="24" t="n">
        <v>0.22</v>
      </c>
      <c r="G123" s="25" t="n">
        <v>7442</v>
      </c>
    </row>
    <row r="124">
      <c r="B124" s="21" t="n">
        <v>2025</v>
      </c>
      <c r="C124" s="22" t="inlineStr">
        <is>
          <t>HOH</t>
        </is>
      </c>
      <c r="D124" s="23" t="n">
        <v>103350</v>
      </c>
      <c r="E124" s="23" t="n">
        <v>197300</v>
      </c>
      <c r="F124" s="24" t="n">
        <v>0.24</v>
      </c>
      <c r="G124" s="25" t="n">
        <v>14902</v>
      </c>
    </row>
    <row r="125">
      <c r="B125" s="21" t="n">
        <v>2025</v>
      </c>
      <c r="C125" s="22" t="inlineStr">
        <is>
          <t>HOH</t>
        </is>
      </c>
      <c r="D125" s="23" t="n">
        <v>197300</v>
      </c>
      <c r="E125" s="23" t="n">
        <v>250500</v>
      </c>
      <c r="F125" s="24" t="n">
        <v>0.32</v>
      </c>
      <c r="G125" s="25" t="n">
        <v>37450</v>
      </c>
    </row>
    <row r="126">
      <c r="B126" s="21" t="n">
        <v>2025</v>
      </c>
      <c r="C126" s="22" t="inlineStr">
        <is>
          <t>HOH</t>
        </is>
      </c>
      <c r="D126" s="23" t="n">
        <v>250500</v>
      </c>
      <c r="E126" s="23" t="n">
        <v>626350</v>
      </c>
      <c r="F126" s="24" t="n">
        <v>0.35</v>
      </c>
      <c r="G126" s="25" t="n">
        <v>54474</v>
      </c>
    </row>
    <row r="127">
      <c r="B127" s="21" t="n">
        <v>2025</v>
      </c>
      <c r="C127" s="22" t="inlineStr">
        <is>
          <t>HOH</t>
        </is>
      </c>
      <c r="D127" s="23" t="n">
        <v>626350</v>
      </c>
      <c r="E127" s="23" t="n">
        <v>9999999</v>
      </c>
      <c r="F127" s="24" t="n">
        <v>0.37</v>
      </c>
      <c r="G127" s="25" t="n">
        <v>185921.5</v>
      </c>
    </row>
    <row r="128">
      <c r="B128" s="21" t="n">
        <v>2025</v>
      </c>
      <c r="C128" s="22" t="inlineStr">
        <is>
          <t>MFS</t>
        </is>
      </c>
      <c r="D128" s="23" t="n">
        <v>0</v>
      </c>
      <c r="E128" s="23" t="n">
        <v>11925</v>
      </c>
      <c r="F128" s="24" t="n">
        <v>0.1</v>
      </c>
      <c r="G128" s="25" t="n">
        <v>0</v>
      </c>
    </row>
    <row r="129">
      <c r="B129" s="21" t="n">
        <v>2025</v>
      </c>
      <c r="C129" s="22" t="inlineStr">
        <is>
          <t>MFS</t>
        </is>
      </c>
      <c r="D129" s="23" t="n">
        <v>11925</v>
      </c>
      <c r="E129" s="23" t="n">
        <v>48475</v>
      </c>
      <c r="F129" s="24" t="n">
        <v>0.12</v>
      </c>
      <c r="G129" s="25" t="n">
        <v>1192.5</v>
      </c>
    </row>
    <row r="130">
      <c r="B130" s="21" t="n">
        <v>2025</v>
      </c>
      <c r="C130" s="22" t="inlineStr">
        <is>
          <t>MFS</t>
        </is>
      </c>
      <c r="D130" s="23" t="n">
        <v>48475</v>
      </c>
      <c r="E130" s="23" t="n">
        <v>103350</v>
      </c>
      <c r="F130" s="24" t="n">
        <v>0.22</v>
      </c>
      <c r="G130" s="25" t="n">
        <v>5578.5</v>
      </c>
    </row>
    <row r="131">
      <c r="B131" s="21" t="n">
        <v>2025</v>
      </c>
      <c r="C131" s="22" t="inlineStr">
        <is>
          <t>MFS</t>
        </is>
      </c>
      <c r="D131" s="23" t="n">
        <v>103350</v>
      </c>
      <c r="E131" s="23" t="n">
        <v>197300</v>
      </c>
      <c r="F131" s="24" t="n">
        <v>0.24</v>
      </c>
      <c r="G131" s="25" t="n">
        <v>17651</v>
      </c>
    </row>
    <row r="132">
      <c r="B132" s="21" t="n">
        <v>2025</v>
      </c>
      <c r="C132" s="22" t="inlineStr">
        <is>
          <t>MFS</t>
        </is>
      </c>
      <c r="D132" s="23" t="n">
        <v>197300</v>
      </c>
      <c r="E132" s="23" t="n">
        <v>250525</v>
      </c>
      <c r="F132" s="24" t="n">
        <v>0.32</v>
      </c>
      <c r="G132" s="25" t="n">
        <v>40199</v>
      </c>
    </row>
    <row r="133">
      <c r="B133" s="21" t="n">
        <v>2025</v>
      </c>
      <c r="C133" s="22" t="inlineStr">
        <is>
          <t>MFS</t>
        </is>
      </c>
      <c r="D133" s="23" t="n">
        <v>250525</v>
      </c>
      <c r="E133" s="23" t="n">
        <v>375800</v>
      </c>
      <c r="F133" s="24" t="n">
        <v>0.35</v>
      </c>
      <c r="G133" s="25" t="n">
        <v>57231</v>
      </c>
    </row>
    <row r="134">
      <c r="B134" s="21" t="n">
        <v>2025</v>
      </c>
      <c r="C134" s="22" t="inlineStr">
        <is>
          <t>MFS</t>
        </is>
      </c>
      <c r="D134" s="23" t="n">
        <v>375800</v>
      </c>
      <c r="E134" s="23" t="n">
        <v>9999999</v>
      </c>
      <c r="F134" s="24" t="n">
        <v>0.37</v>
      </c>
      <c r="G134" s="25" t="n">
        <v>101078.25</v>
      </c>
    </row>
    <row r="135">
      <c r="B135" s="21" t="n">
        <v>2026</v>
      </c>
      <c r="C135" s="22" t="inlineStr">
        <is>
          <t>HOH</t>
        </is>
      </c>
      <c r="D135" s="23" t="n">
        <v>0</v>
      </c>
      <c r="E135" s="23" t="n">
        <v>17000</v>
      </c>
      <c r="F135" s="24" t="n">
        <v>0.1</v>
      </c>
      <c r="G135" s="25" t="n">
        <v>0</v>
      </c>
    </row>
    <row r="136">
      <c r="B136" s="21" t="n">
        <v>2026</v>
      </c>
      <c r="C136" s="22" t="inlineStr">
        <is>
          <t>HOH</t>
        </is>
      </c>
      <c r="D136" s="23" t="n">
        <v>17000</v>
      </c>
      <c r="E136" s="23" t="n">
        <v>64850</v>
      </c>
      <c r="F136" s="24" t="n">
        <v>0.12</v>
      </c>
      <c r="G136" s="25" t="n">
        <v>1700</v>
      </c>
    </row>
    <row r="137">
      <c r="B137" s="21" t="n">
        <v>2026</v>
      </c>
      <c r="C137" s="22" t="inlineStr">
        <is>
          <t>HOH</t>
        </is>
      </c>
      <c r="D137" s="23" t="n">
        <v>64850</v>
      </c>
      <c r="E137" s="23" t="n">
        <v>103350</v>
      </c>
      <c r="F137" s="24" t="n">
        <v>0.22</v>
      </c>
      <c r="G137" s="25" t="n">
        <v>7442</v>
      </c>
    </row>
    <row r="138">
      <c r="B138" s="21" t="n">
        <v>2026</v>
      </c>
      <c r="C138" s="22" t="inlineStr">
        <is>
          <t>HOH</t>
        </is>
      </c>
      <c r="D138" s="23" t="n">
        <v>103350</v>
      </c>
      <c r="E138" s="23" t="n">
        <v>197300</v>
      </c>
      <c r="F138" s="24" t="n">
        <v>0.24</v>
      </c>
      <c r="G138" s="25" t="n">
        <v>14902</v>
      </c>
    </row>
    <row r="139">
      <c r="B139" s="21" t="n">
        <v>2026</v>
      </c>
      <c r="C139" s="22" t="inlineStr">
        <is>
          <t>HOH</t>
        </is>
      </c>
      <c r="D139" s="23" t="n">
        <v>197300</v>
      </c>
      <c r="E139" s="23" t="n">
        <v>250500</v>
      </c>
      <c r="F139" s="24" t="n">
        <v>0.32</v>
      </c>
      <c r="G139" s="25" t="n">
        <v>37450</v>
      </c>
    </row>
    <row r="140">
      <c r="B140" s="21" t="n">
        <v>2026</v>
      </c>
      <c r="C140" s="22" t="inlineStr">
        <is>
          <t>HOH</t>
        </is>
      </c>
      <c r="D140" s="23" t="n">
        <v>250500</v>
      </c>
      <c r="E140" s="23" t="n">
        <v>626350</v>
      </c>
      <c r="F140" s="24" t="n">
        <v>0.35</v>
      </c>
      <c r="G140" s="25" t="n">
        <v>54474</v>
      </c>
    </row>
    <row r="141">
      <c r="B141" s="21" t="n">
        <v>2026</v>
      </c>
      <c r="C141" s="22" t="inlineStr">
        <is>
          <t>HOH</t>
        </is>
      </c>
      <c r="D141" s="23" t="n">
        <v>626350</v>
      </c>
      <c r="E141" s="23" t="n">
        <v>9999999</v>
      </c>
      <c r="F141" s="24" t="n">
        <v>0.37</v>
      </c>
      <c r="G141" s="25" t="n">
        <v>185921.5</v>
      </c>
    </row>
    <row r="142">
      <c r="B142" s="21" t="n">
        <v>2026</v>
      </c>
      <c r="C142" s="22" t="inlineStr">
        <is>
          <t>MFS</t>
        </is>
      </c>
      <c r="D142" s="23" t="n">
        <v>0</v>
      </c>
      <c r="E142" s="23" t="n">
        <v>11925</v>
      </c>
      <c r="F142" s="24" t="n">
        <v>0.1</v>
      </c>
      <c r="G142" s="25" t="n">
        <v>0</v>
      </c>
    </row>
    <row r="143">
      <c r="B143" s="21" t="n">
        <v>2026</v>
      </c>
      <c r="C143" s="22" t="inlineStr">
        <is>
          <t>MFS</t>
        </is>
      </c>
      <c r="D143" s="23" t="n">
        <v>11925</v>
      </c>
      <c r="E143" s="23" t="n">
        <v>48475</v>
      </c>
      <c r="F143" s="24" t="n">
        <v>0.12</v>
      </c>
      <c r="G143" s="25" t="n">
        <v>1192.5</v>
      </c>
    </row>
    <row r="144">
      <c r="B144" s="21" t="n">
        <v>2026</v>
      </c>
      <c r="C144" s="22" t="inlineStr">
        <is>
          <t>MFS</t>
        </is>
      </c>
      <c r="D144" s="23" t="n">
        <v>48475</v>
      </c>
      <c r="E144" s="23" t="n">
        <v>103350</v>
      </c>
      <c r="F144" s="24" t="n">
        <v>0.22</v>
      </c>
      <c r="G144" s="25" t="n">
        <v>5578.5</v>
      </c>
    </row>
    <row r="145">
      <c r="B145" s="21" t="n">
        <v>2026</v>
      </c>
      <c r="C145" s="22" t="inlineStr">
        <is>
          <t>MFS</t>
        </is>
      </c>
      <c r="D145" s="23" t="n">
        <v>103350</v>
      </c>
      <c r="E145" s="23" t="n">
        <v>197300</v>
      </c>
      <c r="F145" s="24" t="n">
        <v>0.24</v>
      </c>
      <c r="G145" s="25" t="n">
        <v>17651</v>
      </c>
    </row>
    <row r="146">
      <c r="B146" s="21" t="n">
        <v>2026</v>
      </c>
      <c r="C146" s="22" t="inlineStr">
        <is>
          <t>MFS</t>
        </is>
      </c>
      <c r="D146" s="23" t="n">
        <v>197300</v>
      </c>
      <c r="E146" s="23" t="n">
        <v>250525</v>
      </c>
      <c r="F146" s="24" t="n">
        <v>0.32</v>
      </c>
      <c r="G146" s="25" t="n">
        <v>40199</v>
      </c>
    </row>
    <row r="147">
      <c r="B147" s="21" t="n">
        <v>2026</v>
      </c>
      <c r="C147" s="22" t="inlineStr">
        <is>
          <t>MFS</t>
        </is>
      </c>
      <c r="D147" s="23" t="n">
        <v>250525</v>
      </c>
      <c r="E147" s="23" t="n">
        <v>375800</v>
      </c>
      <c r="F147" s="24" t="n">
        <v>0.35</v>
      </c>
      <c r="G147" s="25" t="n">
        <v>57231</v>
      </c>
    </row>
    <row r="148">
      <c r="B148" s="21" t="n">
        <v>2026</v>
      </c>
      <c r="C148" s="22" t="inlineStr">
        <is>
          <t>MFS</t>
        </is>
      </c>
      <c r="D148" s="23" t="n">
        <v>375800</v>
      </c>
      <c r="E148" s="23" t="n">
        <v>9999999</v>
      </c>
      <c r="F148" s="24" t="n">
        <v>0.37</v>
      </c>
      <c r="G148" s="25" t="n">
        <v>101078.25</v>
      </c>
    </row>
    <row r="149">
      <c r="B149" s="21" t="n">
        <v>2027</v>
      </c>
      <c r="C149" s="22" t="inlineStr">
        <is>
          <t>HOH</t>
        </is>
      </c>
      <c r="D149" s="23" t="n">
        <v>0</v>
      </c>
      <c r="E149" s="23" t="n">
        <v>17000</v>
      </c>
      <c r="F149" s="24" t="n">
        <v>0.1</v>
      </c>
      <c r="G149" s="25" t="n">
        <v>0</v>
      </c>
    </row>
    <row r="150">
      <c r="B150" s="21" t="n">
        <v>2027</v>
      </c>
      <c r="C150" s="22" t="inlineStr">
        <is>
          <t>HOH</t>
        </is>
      </c>
      <c r="D150" s="23" t="n">
        <v>17000</v>
      </c>
      <c r="E150" s="23" t="n">
        <v>64850</v>
      </c>
      <c r="F150" s="24" t="n">
        <v>0.12</v>
      </c>
      <c r="G150" s="25" t="n">
        <v>1700</v>
      </c>
    </row>
    <row r="151">
      <c r="B151" s="21" t="n">
        <v>2027</v>
      </c>
      <c r="C151" s="22" t="inlineStr">
        <is>
          <t>HOH</t>
        </is>
      </c>
      <c r="D151" s="23" t="n">
        <v>64850</v>
      </c>
      <c r="E151" s="23" t="n">
        <v>103350</v>
      </c>
      <c r="F151" s="24" t="n">
        <v>0.22</v>
      </c>
      <c r="G151" s="25" t="n">
        <v>7442</v>
      </c>
    </row>
    <row r="152">
      <c r="B152" s="21" t="n">
        <v>2027</v>
      </c>
      <c r="C152" s="22" t="inlineStr">
        <is>
          <t>HOH</t>
        </is>
      </c>
      <c r="D152" s="23" t="n">
        <v>103350</v>
      </c>
      <c r="E152" s="23" t="n">
        <v>197300</v>
      </c>
      <c r="F152" s="24" t="n">
        <v>0.24</v>
      </c>
      <c r="G152" s="25" t="n">
        <v>14902</v>
      </c>
    </row>
    <row r="153">
      <c r="B153" s="21" t="n">
        <v>2027</v>
      </c>
      <c r="C153" s="22" t="inlineStr">
        <is>
          <t>HOH</t>
        </is>
      </c>
      <c r="D153" s="23" t="n">
        <v>197300</v>
      </c>
      <c r="E153" s="23" t="n">
        <v>250500</v>
      </c>
      <c r="F153" s="24" t="n">
        <v>0.32</v>
      </c>
      <c r="G153" s="25" t="n">
        <v>37450</v>
      </c>
    </row>
    <row r="154">
      <c r="B154" s="21" t="n">
        <v>2027</v>
      </c>
      <c r="C154" s="22" t="inlineStr">
        <is>
          <t>HOH</t>
        </is>
      </c>
      <c r="D154" s="23" t="n">
        <v>250500</v>
      </c>
      <c r="E154" s="23" t="n">
        <v>626350</v>
      </c>
      <c r="F154" s="24" t="n">
        <v>0.35</v>
      </c>
      <c r="G154" s="25" t="n">
        <v>54474</v>
      </c>
    </row>
    <row r="155">
      <c r="B155" s="21" t="n">
        <v>2027</v>
      </c>
      <c r="C155" s="22" t="inlineStr">
        <is>
          <t>HOH</t>
        </is>
      </c>
      <c r="D155" s="23" t="n">
        <v>626350</v>
      </c>
      <c r="E155" s="23" t="n">
        <v>9999999</v>
      </c>
      <c r="F155" s="24" t="n">
        <v>0.37</v>
      </c>
      <c r="G155" s="25" t="n">
        <v>185921.5</v>
      </c>
    </row>
    <row r="156">
      <c r="B156" s="21" t="n">
        <v>2027</v>
      </c>
      <c r="C156" s="22" t="inlineStr">
        <is>
          <t>MFS</t>
        </is>
      </c>
      <c r="D156" s="23" t="n">
        <v>0</v>
      </c>
      <c r="E156" s="23" t="n">
        <v>11925</v>
      </c>
      <c r="F156" s="24" t="n">
        <v>0.1</v>
      </c>
      <c r="G156" s="25" t="n">
        <v>0</v>
      </c>
    </row>
    <row r="157">
      <c r="B157" s="21" t="n">
        <v>2027</v>
      </c>
      <c r="C157" s="22" t="inlineStr">
        <is>
          <t>MFS</t>
        </is>
      </c>
      <c r="D157" s="23" t="n">
        <v>11925</v>
      </c>
      <c r="E157" s="23" t="n">
        <v>48475</v>
      </c>
      <c r="F157" s="24" t="n">
        <v>0.12</v>
      </c>
      <c r="G157" s="25" t="n">
        <v>1192.5</v>
      </c>
    </row>
    <row r="158">
      <c r="B158" s="21" t="n">
        <v>2027</v>
      </c>
      <c r="C158" s="22" t="inlineStr">
        <is>
          <t>MFS</t>
        </is>
      </c>
      <c r="D158" s="23" t="n">
        <v>48475</v>
      </c>
      <c r="E158" s="23" t="n">
        <v>103350</v>
      </c>
      <c r="F158" s="24" t="n">
        <v>0.22</v>
      </c>
      <c r="G158" s="25" t="n">
        <v>5578.5</v>
      </c>
    </row>
    <row r="159">
      <c r="B159" s="21" t="n">
        <v>2027</v>
      </c>
      <c r="C159" s="22" t="inlineStr">
        <is>
          <t>MFS</t>
        </is>
      </c>
      <c r="D159" s="23" t="n">
        <v>103350</v>
      </c>
      <c r="E159" s="23" t="n">
        <v>197300</v>
      </c>
      <c r="F159" s="24" t="n">
        <v>0.24</v>
      </c>
      <c r="G159" s="25" t="n">
        <v>17651</v>
      </c>
    </row>
    <row r="160">
      <c r="B160" s="21" t="n">
        <v>2027</v>
      </c>
      <c r="C160" s="22" t="inlineStr">
        <is>
          <t>MFS</t>
        </is>
      </c>
      <c r="D160" s="23" t="n">
        <v>197300</v>
      </c>
      <c r="E160" s="23" t="n">
        <v>250525</v>
      </c>
      <c r="F160" s="24" t="n">
        <v>0.32</v>
      </c>
      <c r="G160" s="25" t="n">
        <v>40199</v>
      </c>
    </row>
    <row r="161">
      <c r="B161" s="21" t="n">
        <v>2027</v>
      </c>
      <c r="C161" s="22" t="inlineStr">
        <is>
          <t>MFS</t>
        </is>
      </c>
      <c r="D161" s="23" t="n">
        <v>250525</v>
      </c>
      <c r="E161" s="23" t="n">
        <v>375800</v>
      </c>
      <c r="F161" s="24" t="n">
        <v>0.35</v>
      </c>
      <c r="G161" s="25" t="n">
        <v>57231</v>
      </c>
    </row>
    <row r="162">
      <c r="B162" s="21" t="n">
        <v>2027</v>
      </c>
      <c r="C162" s="22" t="inlineStr">
        <is>
          <t>MFS</t>
        </is>
      </c>
      <c r="D162" s="23" t="n">
        <v>375800</v>
      </c>
      <c r="E162" s="23" t="n">
        <v>9999999</v>
      </c>
      <c r="F162" s="24" t="n">
        <v>0.37</v>
      </c>
      <c r="G162" s="25" t="n">
        <v>101078.25</v>
      </c>
    </row>
    <row r="163">
      <c r="B163" s="21" t="n">
        <v>2028</v>
      </c>
      <c r="C163" s="22" t="inlineStr">
        <is>
          <t>HOH</t>
        </is>
      </c>
      <c r="D163" s="23" t="n">
        <v>0</v>
      </c>
      <c r="E163" s="23" t="n">
        <v>17000</v>
      </c>
      <c r="F163" s="24" t="n">
        <v>0.1</v>
      </c>
      <c r="G163" s="25" t="n">
        <v>0</v>
      </c>
    </row>
    <row r="164">
      <c r="B164" s="21" t="n">
        <v>2028</v>
      </c>
      <c r="C164" s="22" t="inlineStr">
        <is>
          <t>HOH</t>
        </is>
      </c>
      <c r="D164" s="23" t="n">
        <v>17000</v>
      </c>
      <c r="E164" s="23" t="n">
        <v>64850</v>
      </c>
      <c r="F164" s="24" t="n">
        <v>0.12</v>
      </c>
      <c r="G164" s="25" t="n">
        <v>1700</v>
      </c>
    </row>
    <row r="165">
      <c r="B165" s="21" t="n">
        <v>2028</v>
      </c>
      <c r="C165" s="22" t="inlineStr">
        <is>
          <t>HOH</t>
        </is>
      </c>
      <c r="D165" s="23" t="n">
        <v>64850</v>
      </c>
      <c r="E165" s="23" t="n">
        <v>103350</v>
      </c>
      <c r="F165" s="24" t="n">
        <v>0.22</v>
      </c>
      <c r="G165" s="25" t="n">
        <v>7442</v>
      </c>
    </row>
    <row r="166">
      <c r="B166" s="21" t="n">
        <v>2028</v>
      </c>
      <c r="C166" s="22" t="inlineStr">
        <is>
          <t>HOH</t>
        </is>
      </c>
      <c r="D166" s="23" t="n">
        <v>103350</v>
      </c>
      <c r="E166" s="23" t="n">
        <v>197300</v>
      </c>
      <c r="F166" s="24" t="n">
        <v>0.24</v>
      </c>
      <c r="G166" s="25" t="n">
        <v>14902</v>
      </c>
    </row>
    <row r="167">
      <c r="B167" s="21" t="n">
        <v>2028</v>
      </c>
      <c r="C167" s="22" t="inlineStr">
        <is>
          <t>HOH</t>
        </is>
      </c>
      <c r="D167" s="23" t="n">
        <v>197300</v>
      </c>
      <c r="E167" s="23" t="n">
        <v>250500</v>
      </c>
      <c r="F167" s="24" t="n">
        <v>0.32</v>
      </c>
      <c r="G167" s="25" t="n">
        <v>37450</v>
      </c>
    </row>
    <row r="168">
      <c r="B168" s="21" t="n">
        <v>2028</v>
      </c>
      <c r="C168" s="22" t="inlineStr">
        <is>
          <t>HOH</t>
        </is>
      </c>
      <c r="D168" s="23" t="n">
        <v>250500</v>
      </c>
      <c r="E168" s="23" t="n">
        <v>626350</v>
      </c>
      <c r="F168" s="24" t="n">
        <v>0.35</v>
      </c>
      <c r="G168" s="25" t="n">
        <v>54474</v>
      </c>
    </row>
    <row r="169">
      <c r="B169" s="21" t="n">
        <v>2028</v>
      </c>
      <c r="C169" s="22" t="inlineStr">
        <is>
          <t>HOH</t>
        </is>
      </c>
      <c r="D169" s="23" t="n">
        <v>626350</v>
      </c>
      <c r="E169" s="23" t="n">
        <v>9999999</v>
      </c>
      <c r="F169" s="24" t="n">
        <v>0.37</v>
      </c>
      <c r="G169" s="25" t="n">
        <v>185921.5</v>
      </c>
    </row>
    <row r="170">
      <c r="B170" s="21" t="n">
        <v>2028</v>
      </c>
      <c r="C170" s="22" t="inlineStr">
        <is>
          <t>MFS</t>
        </is>
      </c>
      <c r="D170" s="23" t="n">
        <v>0</v>
      </c>
      <c r="E170" s="23" t="n">
        <v>11925</v>
      </c>
      <c r="F170" s="24" t="n">
        <v>0.1</v>
      </c>
      <c r="G170" s="25" t="n">
        <v>0</v>
      </c>
    </row>
    <row r="171">
      <c r="B171" s="21" t="n">
        <v>2028</v>
      </c>
      <c r="C171" s="22" t="inlineStr">
        <is>
          <t>MFS</t>
        </is>
      </c>
      <c r="D171" s="23" t="n">
        <v>11925</v>
      </c>
      <c r="E171" s="23" t="n">
        <v>48475</v>
      </c>
      <c r="F171" s="24" t="n">
        <v>0.12</v>
      </c>
      <c r="G171" s="25" t="n">
        <v>1192.5</v>
      </c>
    </row>
    <row r="172">
      <c r="B172" s="21" t="n">
        <v>2028</v>
      </c>
      <c r="C172" s="22" t="inlineStr">
        <is>
          <t>MFS</t>
        </is>
      </c>
      <c r="D172" s="23" t="n">
        <v>48475</v>
      </c>
      <c r="E172" s="23" t="n">
        <v>103350</v>
      </c>
      <c r="F172" s="24" t="n">
        <v>0.22</v>
      </c>
      <c r="G172" s="25" t="n">
        <v>5578.5</v>
      </c>
    </row>
    <row r="173">
      <c r="B173" s="21" t="n">
        <v>2028</v>
      </c>
      <c r="C173" s="22" t="inlineStr">
        <is>
          <t>MFS</t>
        </is>
      </c>
      <c r="D173" s="23" t="n">
        <v>103350</v>
      </c>
      <c r="E173" s="23" t="n">
        <v>197300</v>
      </c>
      <c r="F173" s="24" t="n">
        <v>0.24</v>
      </c>
      <c r="G173" s="25" t="n">
        <v>17651</v>
      </c>
    </row>
    <row r="174">
      <c r="B174" s="21" t="n">
        <v>2028</v>
      </c>
      <c r="C174" s="22" t="inlineStr">
        <is>
          <t>MFS</t>
        </is>
      </c>
      <c r="D174" s="23" t="n">
        <v>197300</v>
      </c>
      <c r="E174" s="23" t="n">
        <v>250525</v>
      </c>
      <c r="F174" s="24" t="n">
        <v>0.32</v>
      </c>
      <c r="G174" s="25" t="n">
        <v>40199</v>
      </c>
    </row>
    <row r="175">
      <c r="B175" s="21" t="n">
        <v>2028</v>
      </c>
      <c r="C175" s="22" t="inlineStr">
        <is>
          <t>MFS</t>
        </is>
      </c>
      <c r="D175" s="23" t="n">
        <v>250525</v>
      </c>
      <c r="E175" s="23" t="n">
        <v>375800</v>
      </c>
      <c r="F175" s="24" t="n">
        <v>0.35</v>
      </c>
      <c r="G175" s="25" t="n">
        <v>57231</v>
      </c>
    </row>
    <row r="176">
      <c r="B176" s="21" t="n">
        <v>2028</v>
      </c>
      <c r="C176" s="22" t="inlineStr">
        <is>
          <t>MFS</t>
        </is>
      </c>
      <c r="D176" s="23" t="n">
        <v>375800</v>
      </c>
      <c r="E176" s="23" t="n">
        <v>9999999</v>
      </c>
      <c r="F176" s="24" t="n">
        <v>0.37</v>
      </c>
      <c r="G176" s="25" t="n">
        <v>101078.25</v>
      </c>
    </row>
    <row r="177">
      <c r="B177" s="12" t="n"/>
      <c r="C177" s="22" t="n"/>
      <c r="D177" s="23" t="n"/>
      <c r="E177" s="23" t="n"/>
      <c r="F177" s="24" t="n"/>
      <c r="G177" s="25" t="n"/>
    </row>
    <row r="178">
      <c r="B178" s="20" t="inlineStr">
        <is>
          <t>tblStdDed — Standard Deduction Lookup (2023–2028)</t>
        </is>
      </c>
      <c r="C178" s="22" t="n"/>
      <c r="D178" s="23" t="n"/>
      <c r="E178" s="23" t="n"/>
      <c r="F178" s="24" t="n"/>
      <c r="G178" s="25" t="n"/>
    </row>
    <row r="179" ht="15" customHeight="1" s="19" thickBot="1">
      <c r="B179" s="43" t="n"/>
      <c r="C179" s="22" t="n"/>
      <c r="D179" s="23" t="n"/>
      <c r="E179" s="23" t="n"/>
      <c r="F179" s="24" t="n"/>
      <c r="G179" s="25" t="n"/>
    </row>
    <row r="180">
      <c r="B180" s="12" t="n"/>
      <c r="C180" s="22" t="n"/>
      <c r="D180" s="23" t="n"/>
      <c r="E180" s="23" t="n"/>
      <c r="F180" s="24" t="n"/>
      <c r="G180" s="25" t="n"/>
    </row>
    <row r="181">
      <c r="B181" s="12" t="inlineStr">
        <is>
          <t>Year</t>
        </is>
      </c>
      <c r="C181" s="22" t="inlineStr">
        <is>
          <t>FilingStatus</t>
        </is>
      </c>
      <c r="D181" s="23" t="inlineStr">
        <is>
          <t>Amount</t>
        </is>
      </c>
      <c r="E181" s="23" t="n"/>
      <c r="F181" s="24" t="n"/>
      <c r="G181" s="25" t="n"/>
    </row>
    <row r="182">
      <c r="B182" s="21" t="n">
        <v>2023</v>
      </c>
      <c r="C182" s="22" t="inlineStr">
        <is>
          <t>MFJ</t>
        </is>
      </c>
      <c r="D182" s="23" t="n">
        <v>31500</v>
      </c>
      <c r="E182" s="23" t="n"/>
      <c r="F182" s="24" t="n"/>
      <c r="G182" s="25" t="n"/>
    </row>
    <row r="183">
      <c r="B183" s="21" t="n">
        <v>2023</v>
      </c>
      <c r="C183" s="22" t="inlineStr">
        <is>
          <t>Single</t>
        </is>
      </c>
      <c r="D183" s="23" t="n">
        <v>15750</v>
      </c>
      <c r="E183" s="23" t="n"/>
      <c r="F183" s="24" t="n"/>
      <c r="G183" s="25" t="n"/>
    </row>
    <row r="184">
      <c r="B184" s="21" t="n">
        <v>2023</v>
      </c>
      <c r="C184" s="22" t="inlineStr">
        <is>
          <t>HOH</t>
        </is>
      </c>
      <c r="D184" s="23" t="n">
        <v>22500</v>
      </c>
      <c r="E184" s="23" t="n"/>
      <c r="F184" s="24" t="n"/>
      <c r="G184" s="25" t="n"/>
    </row>
    <row r="185">
      <c r="B185" s="21" t="n">
        <v>2023</v>
      </c>
      <c r="C185" s="22" t="inlineStr">
        <is>
          <t>MFS</t>
        </is>
      </c>
      <c r="D185" s="23" t="n">
        <v>15750</v>
      </c>
      <c r="E185" s="23" t="n"/>
      <c r="F185" s="24" t="n"/>
      <c r="G185" s="25" t="n"/>
    </row>
    <row r="186">
      <c r="B186" s="21" t="n">
        <v>2024</v>
      </c>
      <c r="C186" s="22" t="inlineStr">
        <is>
          <t>MFJ</t>
        </is>
      </c>
      <c r="D186" s="23" t="n">
        <v>31500</v>
      </c>
      <c r="E186" s="23" t="n"/>
      <c r="F186" s="24" t="n"/>
      <c r="G186" s="25" t="n"/>
    </row>
    <row r="187">
      <c r="B187" s="21" t="n">
        <v>2024</v>
      </c>
      <c r="C187" s="22" t="inlineStr">
        <is>
          <t>Single</t>
        </is>
      </c>
      <c r="D187" s="23" t="n">
        <v>15750</v>
      </c>
      <c r="E187" s="23" t="n"/>
      <c r="F187" s="24" t="n"/>
      <c r="G187" s="25" t="n"/>
    </row>
    <row r="188">
      <c r="B188" s="21" t="n">
        <v>2024</v>
      </c>
      <c r="C188" s="22" t="inlineStr">
        <is>
          <t>HOH</t>
        </is>
      </c>
      <c r="D188" s="23" t="n">
        <v>22500</v>
      </c>
      <c r="E188" s="23" t="n"/>
      <c r="F188" s="24" t="n"/>
      <c r="G188" s="25" t="n"/>
    </row>
    <row r="189">
      <c r="B189" s="21" t="n">
        <v>2024</v>
      </c>
      <c r="C189" s="22" t="inlineStr">
        <is>
          <t>MFS</t>
        </is>
      </c>
      <c r="D189" s="23" t="n">
        <v>15750</v>
      </c>
      <c r="E189" s="23" t="n"/>
      <c r="F189" s="24" t="n"/>
      <c r="G189" s="25" t="n"/>
    </row>
    <row r="190">
      <c r="B190" s="21" t="n">
        <v>2025</v>
      </c>
      <c r="C190" s="22" t="inlineStr">
        <is>
          <t>MFJ</t>
        </is>
      </c>
      <c r="D190" s="23" t="n">
        <v>31500</v>
      </c>
      <c r="E190" s="23" t="n"/>
      <c r="F190" s="24" t="n"/>
      <c r="G190" s="25" t="n"/>
    </row>
    <row r="191">
      <c r="B191" s="21" t="n">
        <v>2025</v>
      </c>
      <c r="C191" s="22" t="inlineStr">
        <is>
          <t>Single</t>
        </is>
      </c>
      <c r="D191" s="23" t="n">
        <v>15750</v>
      </c>
      <c r="E191" s="23" t="n"/>
      <c r="F191" s="24" t="n"/>
      <c r="G191" s="25" t="n"/>
    </row>
    <row r="192">
      <c r="B192" s="21" t="n">
        <v>2025</v>
      </c>
      <c r="C192" s="22" t="inlineStr">
        <is>
          <t>HOH</t>
        </is>
      </c>
      <c r="D192" s="23" t="n">
        <v>22500</v>
      </c>
      <c r="E192" s="23" t="n"/>
      <c r="F192" s="24" t="n"/>
      <c r="G192" s="25" t="n"/>
    </row>
    <row r="193">
      <c r="B193" s="21" t="n">
        <v>2025</v>
      </c>
      <c r="C193" s="22" t="inlineStr">
        <is>
          <t>MFS</t>
        </is>
      </c>
      <c r="D193" s="23" t="n">
        <v>15750</v>
      </c>
      <c r="E193" s="23" t="n"/>
      <c r="F193" s="24" t="n"/>
      <c r="G193" s="25" t="n"/>
    </row>
    <row r="194">
      <c r="B194" s="21" t="n">
        <v>2026</v>
      </c>
      <c r="C194" s="22" t="inlineStr">
        <is>
          <t>MFJ</t>
        </is>
      </c>
      <c r="D194" s="23" t="n">
        <v>31500</v>
      </c>
      <c r="E194" s="23" t="n"/>
      <c r="F194" s="24" t="n"/>
      <c r="G194" s="25" t="n"/>
    </row>
    <row r="195">
      <c r="B195" s="21" t="n">
        <v>2026</v>
      </c>
      <c r="C195" s="22" t="inlineStr">
        <is>
          <t>Single</t>
        </is>
      </c>
      <c r="D195" s="23" t="n">
        <v>15750</v>
      </c>
      <c r="E195" s="23" t="n"/>
      <c r="F195" s="24" t="n"/>
      <c r="G195" s="25" t="n"/>
    </row>
    <row r="196">
      <c r="B196" s="21" t="n">
        <v>2026</v>
      </c>
      <c r="C196" s="22" t="inlineStr">
        <is>
          <t>HOH</t>
        </is>
      </c>
      <c r="D196" s="23" t="n">
        <v>22500</v>
      </c>
      <c r="E196" s="23" t="n"/>
      <c r="F196" s="24" t="n"/>
      <c r="G196" s="25" t="n"/>
    </row>
    <row r="197">
      <c r="B197" s="21" t="n">
        <v>2026</v>
      </c>
      <c r="C197" s="22" t="inlineStr">
        <is>
          <t>MFS</t>
        </is>
      </c>
      <c r="D197" s="23" t="n">
        <v>15750</v>
      </c>
      <c r="E197" s="23" t="n"/>
      <c r="F197" s="24" t="n"/>
      <c r="G197" s="25" t="n"/>
    </row>
    <row r="198">
      <c r="B198" s="21" t="n">
        <v>2027</v>
      </c>
      <c r="C198" s="22" t="inlineStr">
        <is>
          <t>MFJ</t>
        </is>
      </c>
      <c r="D198" s="23" t="n">
        <v>31500</v>
      </c>
      <c r="E198" s="23" t="n"/>
      <c r="F198" s="24" t="n"/>
      <c r="G198" s="25" t="n"/>
    </row>
    <row r="199">
      <c r="B199" s="21" t="n">
        <v>2027</v>
      </c>
      <c r="C199" s="22" t="inlineStr">
        <is>
          <t>Single</t>
        </is>
      </c>
      <c r="D199" s="23" t="n">
        <v>15750</v>
      </c>
      <c r="E199" s="23" t="n"/>
      <c r="F199" s="24" t="n"/>
      <c r="G199" s="25" t="n"/>
    </row>
    <row r="200">
      <c r="B200" s="21" t="n">
        <v>2027</v>
      </c>
      <c r="C200" s="22" t="inlineStr">
        <is>
          <t>HOH</t>
        </is>
      </c>
      <c r="D200" s="23" t="n">
        <v>22500</v>
      </c>
      <c r="E200" s="23" t="n"/>
      <c r="F200" s="24" t="n"/>
      <c r="G200" s="25" t="n"/>
    </row>
    <row r="201">
      <c r="B201" s="21" t="n">
        <v>2027</v>
      </c>
      <c r="C201" s="22" t="inlineStr">
        <is>
          <t>MFS</t>
        </is>
      </c>
      <c r="D201" s="23" t="n">
        <v>15750</v>
      </c>
      <c r="E201" s="23" t="n"/>
      <c r="F201" s="24" t="n"/>
      <c r="G201" s="25" t="n"/>
    </row>
    <row r="202">
      <c r="B202" s="21" t="n">
        <v>2028</v>
      </c>
      <c r="C202" s="22" t="inlineStr">
        <is>
          <t>MFJ</t>
        </is>
      </c>
      <c r="D202" s="23" t="n">
        <v>31500</v>
      </c>
      <c r="E202" s="23" t="n"/>
      <c r="F202" s="24" t="n"/>
      <c r="G202" s="25" t="n"/>
    </row>
    <row r="203">
      <c r="B203" s="21" t="n">
        <v>2028</v>
      </c>
      <c r="C203" s="22" t="inlineStr">
        <is>
          <t>Single</t>
        </is>
      </c>
      <c r="D203" s="23" t="n">
        <v>15750</v>
      </c>
      <c r="E203" s="23" t="n"/>
      <c r="F203" s="24" t="n"/>
      <c r="G203" s="25" t="n"/>
    </row>
    <row r="204">
      <c r="B204" s="21" t="n">
        <v>2028</v>
      </c>
      <c r="C204" s="22" t="inlineStr">
        <is>
          <t>HOH</t>
        </is>
      </c>
      <c r="D204" s="23" t="n">
        <v>22500</v>
      </c>
      <c r="E204" s="23" t="n"/>
      <c r="F204" s="24" t="n"/>
      <c r="G204" s="25" t="n"/>
    </row>
    <row r="205">
      <c r="B205" s="21" t="n">
        <v>2028</v>
      </c>
      <c r="C205" s="22" t="inlineStr">
        <is>
          <t>MFS</t>
        </is>
      </c>
      <c r="D205" s="23" t="n">
        <v>15750</v>
      </c>
      <c r="E205" s="23" t="n"/>
      <c r="F205" s="24" t="n"/>
      <c r="G205" s="25" t="n"/>
    </row>
    <row r="206">
      <c r="B206" s="12" t="n"/>
      <c r="C206" s="22" t="n"/>
      <c r="D206" s="23" t="n"/>
      <c r="E206" s="23" t="n"/>
      <c r="F206" s="24" t="n"/>
      <c r="G206" s="25" t="n"/>
    </row>
    <row r="207">
      <c r="B207" s="20" t="inlineStr">
        <is>
          <t>tblBrackets_LTCG — Long-Term Capital Gains / Qualified Dividend Brackets (2023–2028)</t>
        </is>
      </c>
      <c r="C207" s="22" t="n"/>
      <c r="D207" s="23" t="n"/>
      <c r="E207" s="23" t="n"/>
      <c r="F207" s="24" t="n"/>
      <c r="G207" s="25" t="n"/>
    </row>
    <row r="208">
      <c r="B208" s="12" t="n"/>
      <c r="C208" s="22" t="n"/>
      <c r="D208" s="23" t="n"/>
      <c r="E208" s="23" t="n"/>
      <c r="F208" s="24" t="n"/>
      <c r="G208" s="25" t="n"/>
    </row>
    <row r="209">
      <c r="B209" s="12" t="inlineStr">
        <is>
          <t>Year</t>
        </is>
      </c>
      <c r="C209" s="22" t="inlineStr">
        <is>
          <t>FilingStatus</t>
        </is>
      </c>
      <c r="D209" s="23" t="inlineStr">
        <is>
          <t>Lower</t>
        </is>
      </c>
      <c r="E209" s="23" t="inlineStr">
        <is>
          <t>Upper</t>
        </is>
      </c>
      <c r="F209" s="24" t="inlineStr">
        <is>
          <t>Rate</t>
        </is>
      </c>
      <c r="G209" s="25" t="n"/>
    </row>
    <row r="210">
      <c r="B210" s="21" t="n">
        <v>2023</v>
      </c>
      <c r="C210" s="22" t="inlineStr">
        <is>
          <t>MFJ</t>
        </is>
      </c>
      <c r="D210" s="23" t="n">
        <v>0</v>
      </c>
      <c r="E210" s="23" t="n">
        <v>96700</v>
      </c>
      <c r="F210" s="24" t="n">
        <v>0</v>
      </c>
      <c r="G210" s="25" t="n"/>
    </row>
    <row r="211">
      <c r="B211" s="21" t="n">
        <v>2023</v>
      </c>
      <c r="C211" s="22" t="inlineStr">
        <is>
          <t>MFJ</t>
        </is>
      </c>
      <c r="D211" s="23" t="n">
        <v>96700</v>
      </c>
      <c r="E211" s="23" t="n">
        <v>600050</v>
      </c>
      <c r="F211" s="24" t="n">
        <v>0.15</v>
      </c>
      <c r="G211" s="25" t="n"/>
    </row>
    <row r="212">
      <c r="B212" s="21" t="n">
        <v>2023</v>
      </c>
      <c r="C212" s="22" t="inlineStr">
        <is>
          <t>MFJ</t>
        </is>
      </c>
      <c r="D212" s="23" t="n">
        <v>600050</v>
      </c>
      <c r="E212" s="23" t="n">
        <v>9999999</v>
      </c>
      <c r="F212" s="24" t="n">
        <v>0.2</v>
      </c>
      <c r="G212" s="25" t="n"/>
    </row>
    <row r="213">
      <c r="B213" s="21" t="n">
        <v>2023</v>
      </c>
      <c r="C213" s="22" t="inlineStr">
        <is>
          <t>Single</t>
        </is>
      </c>
      <c r="D213" s="23" t="n">
        <v>0</v>
      </c>
      <c r="E213" s="23" t="n">
        <v>48350</v>
      </c>
      <c r="F213" s="24" t="n">
        <v>0</v>
      </c>
      <c r="G213" s="25" t="n"/>
    </row>
    <row r="214">
      <c r="B214" s="21" t="n">
        <v>2023</v>
      </c>
      <c r="C214" s="22" t="inlineStr">
        <is>
          <t>Single</t>
        </is>
      </c>
      <c r="D214" s="23" t="n">
        <v>48350</v>
      </c>
      <c r="E214" s="23" t="n">
        <v>533400</v>
      </c>
      <c r="F214" s="24" t="n">
        <v>0.15</v>
      </c>
      <c r="G214" s="25" t="n"/>
    </row>
    <row r="215">
      <c r="B215" s="21" t="n">
        <v>2023</v>
      </c>
      <c r="C215" s="22" t="inlineStr">
        <is>
          <t>Single</t>
        </is>
      </c>
      <c r="D215" s="23" t="n">
        <v>533400</v>
      </c>
      <c r="E215" s="23" t="n">
        <v>9999999</v>
      </c>
      <c r="F215" s="24" t="n">
        <v>0.2</v>
      </c>
      <c r="G215" s="25" t="n"/>
    </row>
    <row r="216">
      <c r="B216" s="21" t="n">
        <v>2023</v>
      </c>
      <c r="C216" s="22" t="inlineStr">
        <is>
          <t>HOH</t>
        </is>
      </c>
      <c r="D216" s="23" t="n">
        <v>0</v>
      </c>
      <c r="E216" s="23" t="n">
        <v>64750</v>
      </c>
      <c r="F216" s="24" t="n">
        <v>0</v>
      </c>
      <c r="G216" s="25" t="n"/>
    </row>
    <row r="217">
      <c r="B217" s="21" t="n">
        <v>2023</v>
      </c>
      <c r="C217" s="22" t="inlineStr">
        <is>
          <t>HOH</t>
        </is>
      </c>
      <c r="D217" s="23" t="n">
        <v>64750</v>
      </c>
      <c r="E217" s="23" t="n">
        <v>566700</v>
      </c>
      <c r="F217" s="24" t="n">
        <v>0.15</v>
      </c>
      <c r="G217" s="25" t="n"/>
    </row>
    <row r="218">
      <c r="B218" s="21" t="n">
        <v>2023</v>
      </c>
      <c r="C218" s="22" t="inlineStr">
        <is>
          <t>HOH</t>
        </is>
      </c>
      <c r="D218" s="23" t="n">
        <v>566700</v>
      </c>
      <c r="E218" s="23" t="n">
        <v>9999999</v>
      </c>
      <c r="F218" s="24" t="n">
        <v>0.2</v>
      </c>
      <c r="G218" s="25" t="n"/>
    </row>
    <row r="219">
      <c r="B219" s="21" t="n">
        <v>2023</v>
      </c>
      <c r="C219" s="22" t="inlineStr">
        <is>
          <t>MFS</t>
        </is>
      </c>
      <c r="D219" s="23" t="n">
        <v>0</v>
      </c>
      <c r="E219" s="23" t="n">
        <v>48350</v>
      </c>
      <c r="F219" s="24" t="n">
        <v>0</v>
      </c>
      <c r="G219" s="25" t="n"/>
    </row>
    <row r="220">
      <c r="B220" s="21" t="n">
        <v>2023</v>
      </c>
      <c r="C220" s="22" t="inlineStr">
        <is>
          <t>MFS</t>
        </is>
      </c>
      <c r="D220" s="23" t="n">
        <v>48350</v>
      </c>
      <c r="E220" s="23" t="n">
        <v>300025</v>
      </c>
      <c r="F220" s="24" t="n">
        <v>0.15</v>
      </c>
      <c r="G220" s="25" t="n"/>
    </row>
    <row r="221">
      <c r="B221" s="21" t="n">
        <v>2023</v>
      </c>
      <c r="C221" s="22" t="inlineStr">
        <is>
          <t>MFS</t>
        </is>
      </c>
      <c r="D221" s="23" t="n">
        <v>300025</v>
      </c>
      <c r="E221" s="23" t="n">
        <v>9999999</v>
      </c>
      <c r="F221" s="24" t="n">
        <v>0.2</v>
      </c>
      <c r="G221" s="25" t="n"/>
    </row>
    <row r="222">
      <c r="B222" s="21" t="n">
        <v>2024</v>
      </c>
      <c r="C222" s="22" t="inlineStr">
        <is>
          <t>MFJ</t>
        </is>
      </c>
      <c r="D222" s="23" t="n">
        <v>0</v>
      </c>
      <c r="E222" s="23" t="n">
        <v>96700</v>
      </c>
      <c r="F222" s="24" t="n">
        <v>0</v>
      </c>
      <c r="G222" s="25" t="n"/>
    </row>
    <row r="223">
      <c r="B223" s="21" t="n">
        <v>2024</v>
      </c>
      <c r="C223" s="22" t="inlineStr">
        <is>
          <t>MFJ</t>
        </is>
      </c>
      <c r="D223" s="23" t="n">
        <v>96700</v>
      </c>
      <c r="E223" s="23" t="n">
        <v>600050</v>
      </c>
      <c r="F223" s="24" t="n">
        <v>0.15</v>
      </c>
      <c r="G223" s="25" t="n"/>
    </row>
    <row r="224">
      <c r="B224" s="21" t="n">
        <v>2024</v>
      </c>
      <c r="C224" s="22" t="inlineStr">
        <is>
          <t>MFJ</t>
        </is>
      </c>
      <c r="D224" s="23" t="n">
        <v>600050</v>
      </c>
      <c r="E224" s="23" t="n">
        <v>9999999</v>
      </c>
      <c r="F224" s="24" t="n">
        <v>0.2</v>
      </c>
      <c r="G224" s="25" t="n"/>
    </row>
    <row r="225">
      <c r="B225" s="21" t="n">
        <v>2024</v>
      </c>
      <c r="C225" s="22" t="inlineStr">
        <is>
          <t>Single</t>
        </is>
      </c>
      <c r="D225" s="23" t="n">
        <v>0</v>
      </c>
      <c r="E225" s="23" t="n">
        <v>48350</v>
      </c>
      <c r="F225" s="24" t="n">
        <v>0</v>
      </c>
      <c r="G225" s="25" t="n"/>
    </row>
    <row r="226">
      <c r="B226" s="21" t="n">
        <v>2024</v>
      </c>
      <c r="C226" s="22" t="inlineStr">
        <is>
          <t>Single</t>
        </is>
      </c>
      <c r="D226" s="23" t="n">
        <v>48350</v>
      </c>
      <c r="E226" s="23" t="n">
        <v>533400</v>
      </c>
      <c r="F226" s="24" t="n">
        <v>0.15</v>
      </c>
      <c r="G226" s="25" t="n"/>
    </row>
    <row r="227">
      <c r="B227" s="21" t="n">
        <v>2024</v>
      </c>
      <c r="C227" s="22" t="inlineStr">
        <is>
          <t>Single</t>
        </is>
      </c>
      <c r="D227" s="23" t="n">
        <v>533400</v>
      </c>
      <c r="E227" s="23" t="n">
        <v>9999999</v>
      </c>
      <c r="F227" s="24" t="n">
        <v>0.2</v>
      </c>
      <c r="G227" s="25" t="n"/>
    </row>
    <row r="228">
      <c r="B228" s="21" t="n">
        <v>2024</v>
      </c>
      <c r="C228" s="22" t="inlineStr">
        <is>
          <t>HOH</t>
        </is>
      </c>
      <c r="D228" s="23" t="n">
        <v>0</v>
      </c>
      <c r="E228" s="23" t="n">
        <v>64750</v>
      </c>
      <c r="F228" s="24" t="n">
        <v>0</v>
      </c>
      <c r="G228" s="25" t="n"/>
    </row>
    <row r="229">
      <c r="B229" s="21" t="n">
        <v>2024</v>
      </c>
      <c r="C229" s="22" t="inlineStr">
        <is>
          <t>HOH</t>
        </is>
      </c>
      <c r="D229" s="23" t="n">
        <v>64750</v>
      </c>
      <c r="E229" s="23" t="n">
        <v>566700</v>
      </c>
      <c r="F229" s="24" t="n">
        <v>0.15</v>
      </c>
      <c r="G229" s="25" t="n"/>
    </row>
    <row r="230">
      <c r="B230" s="21" t="n">
        <v>2024</v>
      </c>
      <c r="C230" s="22" t="inlineStr">
        <is>
          <t>HOH</t>
        </is>
      </c>
      <c r="D230" s="23" t="n">
        <v>566700</v>
      </c>
      <c r="E230" s="23" t="n">
        <v>9999999</v>
      </c>
      <c r="F230" s="24" t="n">
        <v>0.2</v>
      </c>
      <c r="G230" s="25" t="n"/>
    </row>
    <row r="231">
      <c r="B231" s="21" t="n">
        <v>2024</v>
      </c>
      <c r="C231" s="22" t="inlineStr">
        <is>
          <t>MFS</t>
        </is>
      </c>
      <c r="D231" s="23" t="n">
        <v>0</v>
      </c>
      <c r="E231" s="23" t="n">
        <v>48350</v>
      </c>
      <c r="F231" s="24" t="n">
        <v>0</v>
      </c>
      <c r="G231" s="25" t="n"/>
    </row>
    <row r="232">
      <c r="B232" s="21" t="n">
        <v>2024</v>
      </c>
      <c r="C232" s="22" t="inlineStr">
        <is>
          <t>MFS</t>
        </is>
      </c>
      <c r="D232" s="23" t="n">
        <v>48350</v>
      </c>
      <c r="E232" s="23" t="n">
        <v>300025</v>
      </c>
      <c r="F232" s="24" t="n">
        <v>0.15</v>
      </c>
      <c r="G232" s="25" t="n"/>
    </row>
    <row r="233">
      <c r="B233" s="21" t="n">
        <v>2024</v>
      </c>
      <c r="C233" s="22" t="inlineStr">
        <is>
          <t>MFS</t>
        </is>
      </c>
      <c r="D233" s="23" t="n">
        <v>300025</v>
      </c>
      <c r="E233" s="23" t="n">
        <v>9999999</v>
      </c>
      <c r="F233" s="24" t="n">
        <v>0.2</v>
      </c>
      <c r="G233" s="25" t="n"/>
    </row>
    <row r="234">
      <c r="B234" s="21" t="n">
        <v>2025</v>
      </c>
      <c r="C234" s="22" t="inlineStr">
        <is>
          <t>MFJ</t>
        </is>
      </c>
      <c r="D234" s="23" t="n">
        <v>0</v>
      </c>
      <c r="E234" s="23" t="n">
        <v>96700</v>
      </c>
      <c r="F234" s="24" t="n">
        <v>0</v>
      </c>
      <c r="G234" s="25" t="n"/>
    </row>
    <row r="235">
      <c r="B235" s="21" t="n">
        <v>2025</v>
      </c>
      <c r="C235" s="22" t="inlineStr">
        <is>
          <t>MFJ</t>
        </is>
      </c>
      <c r="D235" s="23" t="n">
        <v>96700</v>
      </c>
      <c r="E235" s="23" t="n">
        <v>600050</v>
      </c>
      <c r="F235" s="24" t="n">
        <v>0.15</v>
      </c>
      <c r="G235" s="25" t="n"/>
    </row>
    <row r="236">
      <c r="B236" s="21" t="n">
        <v>2025</v>
      </c>
      <c r="C236" s="22" t="inlineStr">
        <is>
          <t>MFJ</t>
        </is>
      </c>
      <c r="D236" s="23" t="n">
        <v>600050</v>
      </c>
      <c r="E236" s="23" t="n">
        <v>9999999</v>
      </c>
      <c r="F236" s="24" t="n">
        <v>0.2</v>
      </c>
      <c r="G236" s="25" t="n"/>
    </row>
    <row r="237">
      <c r="B237" s="21" t="n">
        <v>2025</v>
      </c>
      <c r="C237" s="22" t="inlineStr">
        <is>
          <t>Single</t>
        </is>
      </c>
      <c r="D237" s="23" t="n">
        <v>0</v>
      </c>
      <c r="E237" s="23" t="n">
        <v>48350</v>
      </c>
      <c r="F237" s="24" t="n">
        <v>0</v>
      </c>
      <c r="G237" s="25" t="n"/>
    </row>
    <row r="238">
      <c r="B238" s="21" t="n">
        <v>2025</v>
      </c>
      <c r="C238" s="22" t="inlineStr">
        <is>
          <t>Single</t>
        </is>
      </c>
      <c r="D238" s="23" t="n">
        <v>48350</v>
      </c>
      <c r="E238" s="23" t="n">
        <v>533400</v>
      </c>
      <c r="F238" s="24" t="n">
        <v>0.15</v>
      </c>
      <c r="G238" s="25" t="n"/>
    </row>
    <row r="239">
      <c r="B239" s="21" t="n">
        <v>2025</v>
      </c>
      <c r="C239" s="22" t="inlineStr">
        <is>
          <t>Single</t>
        </is>
      </c>
      <c r="D239" s="23" t="n">
        <v>533400</v>
      </c>
      <c r="E239" s="23" t="n">
        <v>9999999</v>
      </c>
      <c r="F239" s="24" t="n">
        <v>0.2</v>
      </c>
      <c r="G239" s="25" t="n"/>
    </row>
    <row r="240">
      <c r="B240" s="21" t="n">
        <v>2025</v>
      </c>
      <c r="C240" s="22" t="inlineStr">
        <is>
          <t>HOH</t>
        </is>
      </c>
      <c r="D240" s="23" t="n">
        <v>0</v>
      </c>
      <c r="E240" s="23" t="n">
        <v>64750</v>
      </c>
      <c r="F240" s="24" t="n">
        <v>0</v>
      </c>
      <c r="G240" s="25" t="n"/>
    </row>
    <row r="241">
      <c r="B241" s="21" t="n">
        <v>2025</v>
      </c>
      <c r="C241" s="22" t="inlineStr">
        <is>
          <t>HOH</t>
        </is>
      </c>
      <c r="D241" s="23" t="n">
        <v>64750</v>
      </c>
      <c r="E241" s="23" t="n">
        <v>566700</v>
      </c>
      <c r="F241" s="24" t="n">
        <v>0.15</v>
      </c>
      <c r="G241" s="25" t="n"/>
    </row>
    <row r="242">
      <c r="B242" s="21" t="n">
        <v>2025</v>
      </c>
      <c r="C242" s="22" t="inlineStr">
        <is>
          <t>HOH</t>
        </is>
      </c>
      <c r="D242" s="23" t="n">
        <v>566700</v>
      </c>
      <c r="E242" s="23" t="n">
        <v>9999999</v>
      </c>
      <c r="F242" s="24" t="n">
        <v>0.2</v>
      </c>
      <c r="G242" s="25" t="n"/>
    </row>
    <row r="243">
      <c r="B243" s="21" t="n">
        <v>2025</v>
      </c>
      <c r="C243" s="22" t="inlineStr">
        <is>
          <t>MFS</t>
        </is>
      </c>
      <c r="D243" s="23" t="n">
        <v>0</v>
      </c>
      <c r="E243" s="23" t="n">
        <v>48350</v>
      </c>
      <c r="F243" s="24" t="n">
        <v>0</v>
      </c>
      <c r="G243" s="25" t="n"/>
    </row>
    <row r="244">
      <c r="B244" s="21" t="n">
        <v>2025</v>
      </c>
      <c r="C244" s="22" t="inlineStr">
        <is>
          <t>MFS</t>
        </is>
      </c>
      <c r="D244" s="23" t="n">
        <v>48350</v>
      </c>
      <c r="E244" s="23" t="n">
        <v>300025</v>
      </c>
      <c r="F244" s="24" t="n">
        <v>0.15</v>
      </c>
      <c r="G244" s="25" t="n"/>
    </row>
    <row r="245">
      <c r="B245" s="21" t="n">
        <v>2025</v>
      </c>
      <c r="C245" s="22" t="inlineStr">
        <is>
          <t>MFS</t>
        </is>
      </c>
      <c r="D245" s="23" t="n">
        <v>300025</v>
      </c>
      <c r="E245" s="23" t="n">
        <v>9999999</v>
      </c>
      <c r="F245" s="24" t="n">
        <v>0.2</v>
      </c>
      <c r="G245" s="25" t="n"/>
    </row>
    <row r="246">
      <c r="B246" s="21" t="n">
        <v>2026</v>
      </c>
      <c r="C246" s="22" t="inlineStr">
        <is>
          <t>MFJ</t>
        </is>
      </c>
      <c r="D246" s="23" t="n">
        <v>0</v>
      </c>
      <c r="E246" s="23" t="n">
        <v>96700</v>
      </c>
      <c r="F246" s="24" t="n">
        <v>0</v>
      </c>
      <c r="G246" s="25" t="n"/>
    </row>
    <row r="247">
      <c r="B247" s="21" t="n">
        <v>2026</v>
      </c>
      <c r="C247" s="22" t="inlineStr">
        <is>
          <t>MFJ</t>
        </is>
      </c>
      <c r="D247" s="23" t="n">
        <v>96700</v>
      </c>
      <c r="E247" s="23" t="n">
        <v>600050</v>
      </c>
      <c r="F247" s="24" t="n">
        <v>0.15</v>
      </c>
      <c r="G247" s="25" t="n"/>
    </row>
    <row r="248">
      <c r="B248" s="21" t="n">
        <v>2026</v>
      </c>
      <c r="C248" s="22" t="inlineStr">
        <is>
          <t>MFJ</t>
        </is>
      </c>
      <c r="D248" s="23" t="n">
        <v>600050</v>
      </c>
      <c r="E248" s="23" t="n">
        <v>9999999</v>
      </c>
      <c r="F248" s="24" t="n">
        <v>0.2</v>
      </c>
      <c r="G248" s="25" t="n"/>
    </row>
    <row r="249">
      <c r="B249" s="21" t="n">
        <v>2026</v>
      </c>
      <c r="C249" s="22" t="inlineStr">
        <is>
          <t>Single</t>
        </is>
      </c>
      <c r="D249" s="23" t="n">
        <v>0</v>
      </c>
      <c r="E249" s="23" t="n">
        <v>48350</v>
      </c>
      <c r="F249" s="24" t="n">
        <v>0</v>
      </c>
      <c r="G249" s="25" t="n"/>
    </row>
    <row r="250">
      <c r="B250" s="21" t="n">
        <v>2026</v>
      </c>
      <c r="C250" s="22" t="inlineStr">
        <is>
          <t>Single</t>
        </is>
      </c>
      <c r="D250" s="23" t="n">
        <v>48350</v>
      </c>
      <c r="E250" s="23" t="n">
        <v>533400</v>
      </c>
      <c r="F250" s="24" t="n">
        <v>0.15</v>
      </c>
      <c r="G250" s="25" t="n"/>
    </row>
    <row r="251">
      <c r="B251" s="21" t="n">
        <v>2026</v>
      </c>
      <c r="C251" s="22" t="inlineStr">
        <is>
          <t>Single</t>
        </is>
      </c>
      <c r="D251" s="23" t="n">
        <v>533400</v>
      </c>
      <c r="E251" s="23" t="n">
        <v>9999999</v>
      </c>
      <c r="F251" s="24" t="n">
        <v>0.2</v>
      </c>
      <c r="G251" s="25" t="n"/>
    </row>
    <row r="252">
      <c r="B252" s="21" t="n">
        <v>2026</v>
      </c>
      <c r="C252" s="22" t="inlineStr">
        <is>
          <t>HOH</t>
        </is>
      </c>
      <c r="D252" s="23" t="n">
        <v>0</v>
      </c>
      <c r="E252" s="23" t="n">
        <v>64750</v>
      </c>
      <c r="F252" s="24" t="n">
        <v>0</v>
      </c>
      <c r="G252" s="25" t="n"/>
    </row>
    <row r="253">
      <c r="B253" s="21" t="n">
        <v>2026</v>
      </c>
      <c r="C253" s="22" t="inlineStr">
        <is>
          <t>HOH</t>
        </is>
      </c>
      <c r="D253" s="23" t="n">
        <v>64750</v>
      </c>
      <c r="E253" s="23" t="n">
        <v>566700</v>
      </c>
      <c r="F253" s="24" t="n">
        <v>0.15</v>
      </c>
      <c r="G253" s="25" t="n"/>
    </row>
    <row r="254">
      <c r="B254" s="21" t="n">
        <v>2026</v>
      </c>
      <c r="C254" s="22" t="inlineStr">
        <is>
          <t>HOH</t>
        </is>
      </c>
      <c r="D254" s="23" t="n">
        <v>566700</v>
      </c>
      <c r="E254" s="23" t="n">
        <v>9999999</v>
      </c>
      <c r="F254" s="24" t="n">
        <v>0.2</v>
      </c>
      <c r="G254" s="25" t="n"/>
    </row>
    <row r="255">
      <c r="B255" s="21" t="n">
        <v>2026</v>
      </c>
      <c r="C255" s="22" t="inlineStr">
        <is>
          <t>MFS</t>
        </is>
      </c>
      <c r="D255" s="23" t="n">
        <v>0</v>
      </c>
      <c r="E255" s="23" t="n">
        <v>48350</v>
      </c>
      <c r="F255" s="24" t="n">
        <v>0</v>
      </c>
      <c r="G255" s="25" t="n"/>
    </row>
    <row r="256">
      <c r="B256" s="21" t="n">
        <v>2026</v>
      </c>
      <c r="C256" s="22" t="inlineStr">
        <is>
          <t>MFS</t>
        </is>
      </c>
      <c r="D256" s="23" t="n">
        <v>48350</v>
      </c>
      <c r="E256" s="23" t="n">
        <v>300025</v>
      </c>
      <c r="F256" s="24" t="n">
        <v>0.15</v>
      </c>
      <c r="G256" s="25" t="n"/>
    </row>
    <row r="257">
      <c r="B257" s="21" t="n">
        <v>2026</v>
      </c>
      <c r="C257" s="22" t="inlineStr">
        <is>
          <t>MFS</t>
        </is>
      </c>
      <c r="D257" s="23" t="n">
        <v>300025</v>
      </c>
      <c r="E257" s="23" t="n">
        <v>9999999</v>
      </c>
      <c r="F257" s="24" t="n">
        <v>0.2</v>
      </c>
      <c r="G257" s="25" t="n"/>
    </row>
    <row r="258">
      <c r="B258" s="21" t="n">
        <v>2027</v>
      </c>
      <c r="C258" s="22" t="inlineStr">
        <is>
          <t>MFJ</t>
        </is>
      </c>
      <c r="D258" s="23" t="n">
        <v>0</v>
      </c>
      <c r="E258" s="23" t="n">
        <v>96700</v>
      </c>
      <c r="F258" s="24" t="n">
        <v>0</v>
      </c>
      <c r="G258" s="25" t="n"/>
    </row>
    <row r="259">
      <c r="B259" s="21" t="n">
        <v>2027</v>
      </c>
      <c r="C259" s="22" t="inlineStr">
        <is>
          <t>MFJ</t>
        </is>
      </c>
      <c r="D259" s="23" t="n">
        <v>96700</v>
      </c>
      <c r="E259" s="23" t="n">
        <v>600050</v>
      </c>
      <c r="F259" s="24" t="n">
        <v>0.15</v>
      </c>
      <c r="G259" s="25" t="n"/>
    </row>
    <row r="260">
      <c r="B260" s="21" t="n">
        <v>2027</v>
      </c>
      <c r="C260" s="22" t="inlineStr">
        <is>
          <t>MFJ</t>
        </is>
      </c>
      <c r="D260" s="23" t="n">
        <v>600050</v>
      </c>
      <c r="E260" s="23" t="n">
        <v>9999999</v>
      </c>
      <c r="F260" s="24" t="n">
        <v>0.2</v>
      </c>
      <c r="G260" s="25" t="n"/>
    </row>
    <row r="261">
      <c r="B261" s="21" t="n">
        <v>2027</v>
      </c>
      <c r="C261" s="22" t="inlineStr">
        <is>
          <t>Single</t>
        </is>
      </c>
      <c r="D261" s="23" t="n">
        <v>0</v>
      </c>
      <c r="E261" s="23" t="n">
        <v>48350</v>
      </c>
      <c r="F261" s="24" t="n">
        <v>0</v>
      </c>
      <c r="G261" s="25" t="n"/>
    </row>
    <row r="262">
      <c r="B262" s="21" t="n">
        <v>2027</v>
      </c>
      <c r="C262" s="22" t="inlineStr">
        <is>
          <t>Single</t>
        </is>
      </c>
      <c r="D262" s="23" t="n">
        <v>48350</v>
      </c>
      <c r="E262" s="23" t="n">
        <v>533400</v>
      </c>
      <c r="F262" s="24" t="n">
        <v>0.15</v>
      </c>
      <c r="G262" s="25" t="n"/>
    </row>
    <row r="263">
      <c r="B263" s="21" t="n">
        <v>2027</v>
      </c>
      <c r="C263" s="22" t="inlineStr">
        <is>
          <t>Single</t>
        </is>
      </c>
      <c r="D263" s="23" t="n">
        <v>533400</v>
      </c>
      <c r="E263" s="23" t="n">
        <v>9999999</v>
      </c>
      <c r="F263" s="24" t="n">
        <v>0.2</v>
      </c>
      <c r="G263" s="25" t="n"/>
    </row>
    <row r="264">
      <c r="B264" s="21" t="n">
        <v>2027</v>
      </c>
      <c r="C264" s="22" t="inlineStr">
        <is>
          <t>HOH</t>
        </is>
      </c>
      <c r="D264" s="23" t="n">
        <v>0</v>
      </c>
      <c r="E264" s="23" t="n">
        <v>64750</v>
      </c>
      <c r="F264" s="24" t="n">
        <v>0</v>
      </c>
      <c r="G264" s="25" t="n"/>
    </row>
    <row r="265">
      <c r="B265" s="21" t="n">
        <v>2027</v>
      </c>
      <c r="C265" s="22" t="inlineStr">
        <is>
          <t>HOH</t>
        </is>
      </c>
      <c r="D265" s="23" t="n">
        <v>64750</v>
      </c>
      <c r="E265" s="23" t="n">
        <v>566700</v>
      </c>
      <c r="F265" s="24" t="n">
        <v>0.15</v>
      </c>
      <c r="G265" s="25" t="n"/>
    </row>
    <row r="266">
      <c r="B266" s="21" t="n">
        <v>2027</v>
      </c>
      <c r="C266" s="22" t="inlineStr">
        <is>
          <t>HOH</t>
        </is>
      </c>
      <c r="D266" s="23" t="n">
        <v>566700</v>
      </c>
      <c r="E266" s="23" t="n">
        <v>9999999</v>
      </c>
      <c r="F266" s="24" t="n">
        <v>0.2</v>
      </c>
      <c r="G266" s="25" t="n"/>
    </row>
    <row r="267">
      <c r="B267" s="21" t="n">
        <v>2027</v>
      </c>
      <c r="C267" s="22" t="inlineStr">
        <is>
          <t>MFS</t>
        </is>
      </c>
      <c r="D267" s="23" t="n">
        <v>0</v>
      </c>
      <c r="E267" s="23" t="n">
        <v>48350</v>
      </c>
      <c r="F267" s="24" t="n">
        <v>0</v>
      </c>
      <c r="G267" s="25" t="n"/>
    </row>
    <row r="268">
      <c r="B268" s="21" t="n">
        <v>2027</v>
      </c>
      <c r="C268" s="22" t="inlineStr">
        <is>
          <t>MFS</t>
        </is>
      </c>
      <c r="D268" s="23" t="n">
        <v>48350</v>
      </c>
      <c r="E268" s="23" t="n">
        <v>300025</v>
      </c>
      <c r="F268" s="24" t="n">
        <v>0.15</v>
      </c>
      <c r="G268" s="25" t="n"/>
    </row>
    <row r="269">
      <c r="B269" s="21" t="n">
        <v>2027</v>
      </c>
      <c r="C269" s="22" t="inlineStr">
        <is>
          <t>MFS</t>
        </is>
      </c>
      <c r="D269" s="23" t="n">
        <v>300025</v>
      </c>
      <c r="E269" s="23" t="n">
        <v>9999999</v>
      </c>
      <c r="F269" s="24" t="n">
        <v>0.2</v>
      </c>
      <c r="G269" s="25" t="n"/>
    </row>
    <row r="270">
      <c r="B270" s="21" t="n">
        <v>2028</v>
      </c>
      <c r="C270" s="22" t="inlineStr">
        <is>
          <t>MFJ</t>
        </is>
      </c>
      <c r="D270" s="23" t="n">
        <v>0</v>
      </c>
      <c r="E270" s="23" t="n">
        <v>96700</v>
      </c>
      <c r="F270" s="24" t="n">
        <v>0</v>
      </c>
      <c r="G270" s="25" t="n"/>
    </row>
    <row r="271">
      <c r="B271" s="21" t="n">
        <v>2028</v>
      </c>
      <c r="C271" s="22" t="inlineStr">
        <is>
          <t>MFJ</t>
        </is>
      </c>
      <c r="D271" s="23" t="n">
        <v>96700</v>
      </c>
      <c r="E271" s="23" t="n">
        <v>600050</v>
      </c>
      <c r="F271" s="24" t="n">
        <v>0.15</v>
      </c>
      <c r="G271" s="25" t="n"/>
    </row>
    <row r="272">
      <c r="B272" s="21" t="n">
        <v>2028</v>
      </c>
      <c r="C272" s="22" t="inlineStr">
        <is>
          <t>MFJ</t>
        </is>
      </c>
      <c r="D272" s="23" t="n">
        <v>600050</v>
      </c>
      <c r="E272" s="23" t="n">
        <v>9999999</v>
      </c>
      <c r="F272" s="24" t="n">
        <v>0.2</v>
      </c>
      <c r="G272" s="25" t="n"/>
    </row>
    <row r="273">
      <c r="B273" s="21" t="n">
        <v>2028</v>
      </c>
      <c r="C273" s="22" t="inlineStr">
        <is>
          <t>Single</t>
        </is>
      </c>
      <c r="D273" s="12" t="n">
        <v>0</v>
      </c>
      <c r="E273" s="12" t="n">
        <v>48350</v>
      </c>
      <c r="F273" s="24" t="n">
        <v>0</v>
      </c>
    </row>
    <row r="274">
      <c r="B274" s="21" t="n">
        <v>2028</v>
      </c>
      <c r="C274" s="22" t="inlineStr">
        <is>
          <t>Single</t>
        </is>
      </c>
      <c r="D274" s="12" t="n">
        <v>48350</v>
      </c>
      <c r="E274" s="12" t="n">
        <v>533400</v>
      </c>
      <c r="F274" s="24" t="n">
        <v>0.15</v>
      </c>
    </row>
    <row r="275">
      <c r="B275" s="21" t="n">
        <v>2028</v>
      </c>
      <c r="C275" s="22" t="inlineStr">
        <is>
          <t>Single</t>
        </is>
      </c>
      <c r="D275" s="12" t="n">
        <v>533400</v>
      </c>
      <c r="E275" s="12" t="n">
        <v>9999999</v>
      </c>
      <c r="F275" s="24" t="n">
        <v>0.2</v>
      </c>
    </row>
    <row r="276">
      <c r="B276" s="21" t="n">
        <v>2028</v>
      </c>
      <c r="C276" s="22" t="inlineStr">
        <is>
          <t>HOH</t>
        </is>
      </c>
      <c r="D276" s="12" t="n">
        <v>0</v>
      </c>
      <c r="E276" s="12" t="n">
        <v>64750</v>
      </c>
      <c r="F276" s="24" t="n">
        <v>0</v>
      </c>
    </row>
    <row r="277">
      <c r="B277" s="21" t="n">
        <v>2028</v>
      </c>
      <c r="C277" s="22" t="inlineStr">
        <is>
          <t>HOH</t>
        </is>
      </c>
      <c r="D277" s="12" t="n">
        <v>64750</v>
      </c>
      <c r="E277" s="12" t="n">
        <v>566700</v>
      </c>
      <c r="F277" s="24" t="n">
        <v>0.15</v>
      </c>
    </row>
    <row r="278">
      <c r="B278" s="21" t="n">
        <v>2028</v>
      </c>
      <c r="C278" s="22" t="inlineStr">
        <is>
          <t>HOH</t>
        </is>
      </c>
      <c r="D278" s="12" t="n">
        <v>566700</v>
      </c>
      <c r="E278" s="12" t="n">
        <v>9999999</v>
      </c>
      <c r="F278" s="24" t="n">
        <v>0.2</v>
      </c>
    </row>
    <row r="279">
      <c r="B279" s="21" t="n">
        <v>2028</v>
      </c>
      <c r="C279" s="22" t="inlineStr">
        <is>
          <t>MFS</t>
        </is>
      </c>
      <c r="D279" s="12" t="n">
        <v>0</v>
      </c>
      <c r="E279" s="12" t="n">
        <v>48350</v>
      </c>
      <c r="F279" s="24" t="n">
        <v>0</v>
      </c>
    </row>
    <row r="280">
      <c r="B280" s="21" t="n">
        <v>2028</v>
      </c>
      <c r="C280" s="22" t="inlineStr">
        <is>
          <t>MFS</t>
        </is>
      </c>
      <c r="D280" s="12" t="n">
        <v>48350</v>
      </c>
      <c r="E280" s="12" t="n">
        <v>300025</v>
      </c>
      <c r="F280" s="24" t="n">
        <v>0.15</v>
      </c>
    </row>
    <row r="281">
      <c r="B281" s="21" t="n">
        <v>2028</v>
      </c>
      <c r="C281" s="22" t="inlineStr">
        <is>
          <t>MFS</t>
        </is>
      </c>
      <c r="D281" s="12" t="n">
        <v>300025</v>
      </c>
      <c r="E281" s="12" t="n">
        <v>9999999</v>
      </c>
      <c r="F281" s="24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1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1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1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1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1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1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1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1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1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1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1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1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1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1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1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1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1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1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1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1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1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1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1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1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1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1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1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1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1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1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1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1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1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1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1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1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1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1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1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1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1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1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1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1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1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1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1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1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1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1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1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1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1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1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1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1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1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1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1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1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1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1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1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1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1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1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1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1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1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1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1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1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1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1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1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1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1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1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1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1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1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1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1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1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1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1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1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1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1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1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1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1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1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1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1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1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1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1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1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1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1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1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1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1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1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1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1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1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1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1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1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1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1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1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1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1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1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1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1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1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1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1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1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1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1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1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1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1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1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1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1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1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1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1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1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1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1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1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1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1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1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1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1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1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1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1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1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1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1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1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1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1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1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1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1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1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1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1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1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1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1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1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1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1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1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1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1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1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1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1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1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1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1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1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1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1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1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1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1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1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1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1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1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1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1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1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1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1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1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1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1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1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1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1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1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1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1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1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1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1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1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1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1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1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1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1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1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1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1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1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1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1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1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1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1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1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1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1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1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1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1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1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1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1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1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1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1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1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1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1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1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1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1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1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1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1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1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1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1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1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1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1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1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1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1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1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1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1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1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1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1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1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1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1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1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1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1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1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1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1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1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1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1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1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1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1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1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1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1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1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1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1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1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1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1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1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1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1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1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1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1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1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1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1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1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1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1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1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19" min="1" max="12"/>
  </cols>
  <sheetData>
    <row r="1" ht="18.5" customHeight="1" s="1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FRAMEWORK REFERENCE</t>
        </is>
      </c>
      <c r="B1" s="30" t="n"/>
      <c r="C1" s="30" t="n"/>
      <c r="D1" s="30" t="n"/>
      <c r="E1" s="30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1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19">
      <c r="A59" t="n">
        <v>1</v>
      </c>
      <c r="B59" t="inlineStr">
        <is>
          <t>CLASSIFY ALL INCOME</t>
        </is>
      </c>
      <c r="C59" s="58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19">
      <c r="A60" t="n">
        <v>2</v>
      </c>
      <c r="B60" t="inlineStr">
        <is>
          <t>COMPUTE SE TAX EARLY</t>
        </is>
      </c>
      <c r="C60" s="58" t="inlineStr">
        <is>
          <t>SE tax is computed on net SE earnings × 92.35%
The 1/2 SE tax deduction reduces AGI
This affects MAGI for NIIT and many phaseouts</t>
        </is>
      </c>
    </row>
    <row r="61" ht="348" customHeight="1" s="19">
      <c r="A61" t="n">
        <v>3</v>
      </c>
      <c r="B61" t="inlineStr">
        <is>
          <t>BUILD AGI</t>
        </is>
      </c>
      <c r="C61" s="58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19">
      <c r="A62" t="n">
        <v>4</v>
      </c>
      <c r="B62" t="inlineStr">
        <is>
          <t>BUILD MAGI</t>
        </is>
      </c>
      <c r="C62" s="58" t="inlineStr">
        <is>
          <t>For NIIT: MAGI = AGI (for most people)
Note: QBI does NOT reduce AGI or MAGI</t>
        </is>
      </c>
    </row>
    <row r="63" ht="217.5" customHeight="1" s="19">
      <c r="A63" t="n">
        <v>5</v>
      </c>
      <c r="B63" t="inlineStr">
        <is>
          <t>BUILD TAXABLE INCOME (pre-QBI)</t>
        </is>
      </c>
      <c r="C63" s="58" t="inlineStr">
        <is>
          <t>Taxable Income = AGI - Standard/Itemized deduction
Compare: Standard vs Itemized, take the greater</t>
        </is>
      </c>
    </row>
    <row r="64" ht="275.5" customHeight="1" s="19">
      <c r="A64" t="n">
        <v>6</v>
      </c>
      <c r="B64" t="inlineStr">
        <is>
          <t>COMPUTE QBI DEDUCTION</t>
        </is>
      </c>
      <c r="C64" s="58" t="inlineStr">
        <is>
          <t>QBI deduction keys off taxable income (pre-QBI)
Needs: QBI amount, SSTB status, W-2 wages, UBIA
Limited to 20% of QBI or taxable income</t>
        </is>
      </c>
    </row>
    <row r="65" ht="246.5" customHeight="1" s="19">
      <c r="A65" t="n">
        <v>7</v>
      </c>
      <c r="B65" t="inlineStr">
        <is>
          <t>COMPUTE ORDINARY INCOME TAX</t>
        </is>
      </c>
      <c r="C65" s="58" t="inlineStr">
        <is>
          <t>Uses stacking: Ordinary income fills brackets first
Taxable Ordinary = Taxable Income - LTCG - QD
Apply progressive tax rates</t>
        </is>
      </c>
    </row>
    <row r="66" ht="319" customHeight="1" s="19">
      <c r="A66" t="n">
        <v>8</v>
      </c>
      <c r="B66" t="inlineStr">
        <is>
          <t>COMPUTE CAPITAL GAINS TAX</t>
        </is>
      </c>
      <c r="C66" s="58" t="inlineStr">
        <is>
          <t>LTCG + QD stack ON TOP of ordinary income
Apply 0%/15%/20% rates based on total taxable income
Special buckets: 1250 (25% max), Collectibles (28% max)</t>
        </is>
      </c>
    </row>
    <row r="67" ht="290" customHeight="1" s="19">
      <c r="A67" t="n">
        <v>9</v>
      </c>
      <c r="B67" t="inlineStr">
        <is>
          <t>COMPUTE NIIT</t>
        </is>
      </c>
      <c r="C67" s="58" t="inlineStr">
        <is>
          <t>NIIT = 3.8% × MIN(NII, MAGI - threshold)
NII includes: Interest, dividends, cap gains, passive income
Excludes: W-2 wages, active business income</t>
        </is>
      </c>
    </row>
    <row r="68" ht="246.5" customHeight="1" s="19">
      <c r="A68" t="n">
        <v>10</v>
      </c>
      <c r="B68" t="inlineStr">
        <is>
          <t>FINAL OVERLAYS</t>
        </is>
      </c>
      <c r="C68" s="58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1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GLOSSARY &amp; MECHANICS</t>
        </is>
      </c>
      <c r="B1" s="30" t="n"/>
      <c r="C1" s="30" t="n"/>
      <c r="D1" s="30" t="n"/>
      <c r="E1" s="30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9" t="n">
        <v>0.1</v>
      </c>
      <c r="B44" t="n">
        <v>0</v>
      </c>
      <c r="C44" t="n">
        <v>0</v>
      </c>
      <c r="D44" t="n">
        <v>0</v>
      </c>
      <c r="E44" s="59" t="n">
        <v>0.1</v>
      </c>
    </row>
    <row r="45">
      <c r="A45" s="59" t="n">
        <v>0.12</v>
      </c>
      <c r="B45" t="n">
        <v>23200</v>
      </c>
      <c r="C45" t="n">
        <v>23850</v>
      </c>
      <c r="D45" t="n">
        <v>24500</v>
      </c>
      <c r="E45" s="59" t="n">
        <v>0.12</v>
      </c>
    </row>
    <row r="46">
      <c r="A46" s="59" t="n">
        <v>0.22</v>
      </c>
      <c r="B46" t="n">
        <v>94300</v>
      </c>
      <c r="C46" t="n">
        <v>96950</v>
      </c>
      <c r="D46" t="n">
        <v>99150</v>
      </c>
      <c r="E46" s="59" t="n">
        <v>0.22</v>
      </c>
    </row>
    <row r="47">
      <c r="A47" s="59" t="n">
        <v>0.24</v>
      </c>
      <c r="B47" t="n">
        <v>201050</v>
      </c>
      <c r="C47" t="n">
        <v>206700</v>
      </c>
      <c r="D47" t="n">
        <v>211450</v>
      </c>
      <c r="E47" s="59" t="n">
        <v>0.24</v>
      </c>
    </row>
    <row r="48">
      <c r="A48" s="59" t="n">
        <v>0.32</v>
      </c>
      <c r="B48" t="n">
        <v>383900</v>
      </c>
      <c r="C48" t="n">
        <v>394600</v>
      </c>
      <c r="D48" t="n">
        <v>403650</v>
      </c>
      <c r="E48" s="59" t="n">
        <v>0.32</v>
      </c>
    </row>
    <row r="49">
      <c r="A49" s="59" t="n">
        <v>0.35</v>
      </c>
      <c r="B49" t="n">
        <v>487450</v>
      </c>
      <c r="C49" t="n">
        <v>501050</v>
      </c>
      <c r="D49" t="n">
        <v>512600</v>
      </c>
      <c r="E49" s="59" t="n">
        <v>0.35</v>
      </c>
    </row>
    <row r="50">
      <c r="A50" s="59" t="n">
        <v>0.37</v>
      </c>
      <c r="B50" t="n">
        <v>731200</v>
      </c>
      <c r="C50" t="n">
        <v>751600</v>
      </c>
      <c r="D50" t="n">
        <v>768950</v>
      </c>
      <c r="E50" s="59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4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4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4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4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4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4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4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4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4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4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4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4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4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4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4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4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4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4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4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4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4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4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4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4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4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4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4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4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4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4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4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4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4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4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4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4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4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4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1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QUICK CARRYOVER CALCULATOR — Manual Entry</t>
        </is>
      </c>
      <c r="B1" s="30" t="n"/>
      <c r="C1" s="30" t="n"/>
      <c r="D1" s="30" t="n"/>
      <c r="E1" s="30" t="n"/>
      <c r="F1" s="30" t="n"/>
      <c r="G1" s="30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2">
        <f>MIN(0, INDIRECT("Y"&amp;Active_Year&amp;"!J32"))</f>
        <v/>
      </c>
      <c r="C36" s="12">
        <f>MIN(0, INDIRECT("Y"&amp;Active_Year&amp;"!J31"))</f>
        <v/>
      </c>
      <c r="D36" s="12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2">
        <f>B34+B36</f>
        <v/>
      </c>
      <c r="C37" s="12">
        <f>C35+C36</f>
        <v/>
      </c>
      <c r="D37" s="12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2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2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2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2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2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2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2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2">
        <f>F50+F51</f>
        <v/>
      </c>
    </row>
    <row r="53">
      <c r="A53" t="inlineStr">
        <is>
          <t>NOL Carryover to Next Year</t>
        </is>
      </c>
      <c r="B53" s="12">
        <f>MAX(0, B45-F50)</f>
        <v/>
      </c>
      <c r="C53" s="12">
        <f>MAX(0, C46-F51)</f>
        <v/>
      </c>
      <c r="D53" s="12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2">
        <f t="array" ref="B59">INDIRECT("Y"&amp;Active_Year&amp;"!J28")</f>
        <v/>
      </c>
      <c r="D59" s="12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2">
        <f>B57+B59</f>
        <v/>
      </c>
      <c r="C60">
        <f>C58</f>
        <v/>
      </c>
      <c r="D60" s="12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2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2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2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2">
        <f>F63+F64</f>
        <v/>
      </c>
    </row>
    <row r="66">
      <c r="A66" t="inlineStr">
        <is>
          <t>Suspended PAL to Next Year - Rental</t>
        </is>
      </c>
      <c r="B66" s="12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19">
      <c r="B1" s="30" t="inlineStr">
        <is>
          <t>TAX STRATEGY QUESTIONNAIRE</t>
        </is>
      </c>
      <c r="C1" s="30" t="n"/>
      <c r="D1" s="30" t="n"/>
      <c r="E1" s="30" t="n"/>
      <c r="F1" s="30" t="n"/>
      <c r="G1" s="30" t="n"/>
      <c r="H1" s="30" t="n"/>
      <c r="I1" s="30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FILE CONNECTIONS — Extraction Integration</t>
        </is>
      </c>
      <c r="B1" s="30" t="n"/>
      <c r="C1" s="30" t="n"/>
      <c r="D1" s="30" t="n"/>
      <c r="E1" s="30" t="n"/>
      <c r="F1" s="30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PROJECTION HISTORY — Track projection accuracy over time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CHANGE LOG</t>
        </is>
      </c>
      <c r="B1" s="30" t="n"/>
      <c r="C1" s="30" t="n"/>
      <c r="D1" s="30" t="n"/>
      <c r="E1" s="30" t="n"/>
      <c r="F1" s="30" t="n"/>
      <c r="G1" s="30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4" t="n"/>
      <c r="F5" s="73" t="n"/>
    </row>
    <row r="6">
      <c r="A6" s="74" t="n"/>
    </row>
    <row r="7">
      <c r="A7" s="74" t="n"/>
    </row>
    <row r="8">
      <c r="A8" s="74" t="n"/>
    </row>
    <row r="9">
      <c r="A9" s="74" t="n"/>
    </row>
    <row r="10">
      <c r="A10" s="74" t="n"/>
      <c r="F10" s="73" t="n"/>
    </row>
    <row r="11">
      <c r="A11" s="74" t="n"/>
    </row>
    <row r="12">
      <c r="A12" s="74" t="n"/>
    </row>
    <row r="13">
      <c r="A13" s="74" t="n"/>
    </row>
    <row r="14">
      <c r="A14" s="74" t="n"/>
    </row>
    <row r="15">
      <c r="A15" s="74" t="n"/>
    </row>
    <row r="16">
      <c r="A16" s="74" t="n"/>
    </row>
    <row r="17">
      <c r="A17" s="74" t="n"/>
    </row>
    <row r="18">
      <c r="A18" s="74" t="n"/>
      <c r="F18" s="12" t="n"/>
    </row>
    <row r="19">
      <c r="A19" s="74" t="n"/>
    </row>
    <row r="22" ht="15.5" customHeight="1" s="19">
      <c r="A22" s="99" t="n"/>
    </row>
    <row r="23">
      <c r="A23" s="71" t="n"/>
      <c r="B23" s="71" t="n"/>
      <c r="C23" s="71" t="n"/>
    </row>
    <row r="24">
      <c r="B24" s="72" t="n"/>
    </row>
    <row r="25">
      <c r="B25" s="72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19">
      <c r="A1" s="14" t="inlineStr">
        <is>
          <t>SETUP GUIDE — Master_Pivot_Framework</t>
        </is>
      </c>
      <c r="B1" s="30" t="n"/>
      <c r="C1" s="30" t="n"/>
      <c r="D1" s="30" t="n"/>
      <c r="E1" s="30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1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1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19">
      <c r="A118" s="69" t="inlineStr">
        <is>
          <t>⚠️ VBA MACRO REFERENCE — FROM V3 PRODUCTION WORKBOOK</t>
        </is>
      </c>
    </row>
    <row r="119">
      <c r="A119" s="64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4">
      <c r="A164" t="inlineStr">
        <is>
          <t>    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2">
      <c r="A172" t="inlineStr">
        <is>
          <t>    </t>
        </is>
      </c>
    </row>
    <row r="173">
      <c r="A173" t="inlineStr">
        <is>
          <t xml:space="preserve">    If Target.Row &lt; 4 Or Target.Cells.Count &gt; 1 Then Exit Sub</t>
        </is>
      </c>
    </row>
    <row r="174">
      <c r="A174" t="inlineStr">
        <is>
          <t>    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8">
      <c r="A178" t="inlineStr">
        <is>
          <t>    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2">
      <c r="A192" t="inlineStr">
        <is>
          <t>    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7">
      <c r="A197" t="inlineStr">
        <is>
          <t>    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0">
      <c r="A200" t="inlineStr">
        <is>
          <t>    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5">
      <c r="A205" t="inlineStr">
        <is>
          <t>    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4">
      <c r="A214" t="inlineStr">
        <is>
          <t>            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1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2026-05-19T12:51:14Z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
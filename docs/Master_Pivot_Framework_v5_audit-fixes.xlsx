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8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19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20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21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45" yWindow="-16320" windowWidth="29040" windowHeight="15720" tabRatio="681" firstSheet="1" activeTab="8" autoFilterDateGrouping="1"/>
  </bookViews>
  <sheets>
    <sheet name="Control_Panel" sheetId="1" state="visible" r:id="rId1"/>
    <sheet name="Master_Inputs" sheetId="2" state="visible" r:id="rId2"/>
    <sheet name="AsFiled" sheetId="3" state="visible" r:id="rId3"/>
    <sheet name="Tax_Plan_Dashboard" sheetId="4" state="visible" r:id="rId4"/>
    <sheet name="PY_Recon" sheetId="5" state="visible" r:id="rId5"/>
    <sheet name="Pivot_GPD" sheetId="6" state="visible" r:id="rId6"/>
    <sheet name="Y2023" sheetId="7" state="visible" r:id="rId7"/>
    <sheet name="Y2024" sheetId="8" state="visible" r:id="rId8"/>
    <sheet name="Y2025" sheetId="9" state="visible" r:id="rId9"/>
    <sheet name="Y2026" sheetId="10" state="visible" r:id="rId10"/>
    <sheet name="Y2027" sheetId="11" state="visible" r:id="rId11"/>
    <sheet name="Y2028" sheetId="12" state="visible" r:id="rId12"/>
    <sheet name="Pivot_Summary" sheetId="13" state="visible" r:id="rId13"/>
    <sheet name="Pivot_Medium" sheetId="14" state="visible" r:id="rId14"/>
    <sheet name="Pivot_Detailed" sheetId="15" state="visible" r:id="rId15"/>
    <sheet name="Pivot_Helpers" sheetId="16" state="visible" r:id="rId16"/>
    <sheet name="Visual_Pivot_Income" sheetId="17" state="visible" r:id="rId17"/>
    <sheet name="Visual_Pivot_BusinessIncome" sheetId="18" state="visible" r:id="rId18"/>
    <sheet name="Visual_Pivot_ByPayor" sheetId="19" state="visible" r:id="rId19"/>
    <sheet name="Visual_Pivot_HelperCarveOuts" sheetId="20" state="visible" r:id="rId20"/>
    <sheet name="Tax_Ref" sheetId="21" state="visible" r:id="rId21"/>
    <sheet name="Dropdown_Lists" sheetId="22" state="visible" r:id="rId22"/>
    <sheet name="Framework_Ref" sheetId="23" state="visible" r:id="rId23"/>
    <sheet name="Glossary" sheetId="24" state="visible" r:id="rId24"/>
    <sheet name="Carryovers" sheetId="25" state="visible" r:id="rId25"/>
    <sheet name="Questionnaire" sheetId="26" state="visible" r:id="rId26"/>
    <sheet name="Connections" sheetId="27" state="visible" r:id="rId27"/>
    <sheet name="Projection_History" sheetId="28" state="visible" r:id="rId28"/>
    <sheet name="Change_Log" sheetId="29" state="visible" r:id="rId29"/>
    <sheet name="Setup_Guide" sheetId="30" state="visible" r:id="rId30"/>
  </sheets>
  <definedNames>
    <definedName name="Active_Client" comment="Active client for scoping">Control_Panel!$C$11</definedName>
    <definedName name="Active_Year" comment="Plan year for scoping">Control_Panel!$C$8</definedName>
    <definedName name="Activity_Type">Dropdown_Lists!$G$4:$G$5</definedName>
    <definedName name="AdjToIncome">INDIRECT("Y"&amp;Active_Year&amp;"!$N$14")</definedName>
    <definedName name="Adjustment_Docs">Dropdown_Lists!$E$35:$E$39</definedName>
    <definedName name="Adjustment_Profiles">Dropdown_Lists!$E$19:$E$23</definedName>
    <definedName name="AGI">INDIRECT("Y"&amp;Active_Year&amp;"!$N$15")</definedName>
    <definedName name="BI_ACTIVE_NONSE">INDIRECT("Y"&amp;Active_Year&amp;"!$J$27")</definedName>
    <definedName name="BI_PASSIVE">INDIRECT("Y"&amp;Active_Year&amp;"!$J$28")</definedName>
    <definedName name="BI_SE_SUBJECT">INDIRECT("Y"&amp;Active_Year&amp;"!$J$26")</definedName>
    <definedName name="Bucket">Dropdown_Lists!$A$4:$A$11</definedName>
    <definedName name="BusinessIncome_Docs">Dropdown_Lists!$A$35:$A$41</definedName>
    <definedName name="BusinessIncome_Profiles">Dropdown_Lists!$A$19:$A$27</definedName>
    <definedName name="BusinessLoss">INDIRECT("Y"&amp;Active_Year&amp;"!$J$42")</definedName>
    <definedName name="CapitalGains_Docs">Dropdown_Lists!$D$35:$D$38</definedName>
    <definedName name="CapitalGains_Profiles">Dropdown_Lists!$D$19:$D$23</definedName>
    <definedName name="CG_LT">INDIRECT("Y"&amp;Active_Year&amp;"!$J$31")</definedName>
    <definedName name="CG_ST">INDIRECT("Y"&amp;Active_Year&amp;"!$J$32")</definedName>
    <definedName name="Credit_Docs">Dropdown_Lists!$G$35:$G$37</definedName>
    <definedName name="Credit_Profiles">Dropdown_Lists!$G$19:$G$21</definedName>
    <definedName name="Drill_Line">INDIRECT("Y"&amp;Active_Year&amp;"!$I$49")</definedName>
    <definedName name="Filing_Status" comment="Filing status for tax calculations">Control_Panel!$C$15</definedName>
    <definedName name="InvestmentIncome_Docs">Dropdown_Lists!$C$35:$C$37</definedName>
    <definedName name="InvestmentIncome_Profiles">Dropdown_Lists!$C$19:$C$22</definedName>
    <definedName name="IsSSTB">INDIRECT("Y"&amp;Active_Year&amp;"!$J$45")</definedName>
    <definedName name="Itemized_Docs">Dropdown_Lists!$F$35:$F$38</definedName>
    <definedName name="Itemized_Profiles">Dropdown_Lists!$F$19:$F$22</definedName>
    <definedName name="Line_1z_Wages">INDIRECT("Y"&amp;Active_Year&amp;"!$N$6")</definedName>
    <definedName name="Line_2a_TaxExempt">INDIRECT("Y"&amp;Active_Year&amp;"!$N$7")</definedName>
    <definedName name="Line_2b_TaxInt">INDIRECT("Y"&amp;Active_Year&amp;"!$N$8")</definedName>
    <definedName name="Line_3a_QualDiv">INDIRECT("Y"&amp;Active_Year&amp;"!$N$9")</definedName>
    <definedName name="Line_3b_OrdDiv">INDIRECT("Y"&amp;Active_Year&amp;"!$N$10")</definedName>
    <definedName name="Line_7_CapGain">INDIRECT("Y"&amp;Active_Year&amp;"!$N$11")</definedName>
    <definedName name="Line_8_OtherInc">INDIRECT("Y"&amp;Active_Year&amp;"!$N$12")</definedName>
    <definedName name="MAGI">INDIRECT("Y"&amp;Active_Year&amp;"!$J$38")</definedName>
    <definedName name="NetSEIncome">INDIRECT("Y"&amp;Active_Year&amp;"!$J$43")</definedName>
    <definedName name="NII">INDIRECT("Y"&amp;Active_Year&amp;"!$J$39")</definedName>
    <definedName name="NIIT_Class">Dropdown_Lists!$C$4:$C$7</definedName>
    <definedName name="NOL_Carryforward">INDIRECT("Y"&amp;Active_Year&amp;"!$J$46")</definedName>
    <definedName name="OrdIncome">INDIRECT("Y"&amp;Active_Year&amp;"!$J$37")</definedName>
    <definedName name="Payment_Docs">Dropdown_Lists!$H$35:$H$36</definedName>
    <definedName name="Payment_Profiles">Dropdown_Lists!$H$19:$H$20</definedName>
    <definedName name="Provenance">Dropdown_Lists!$D$4:$D$13</definedName>
    <definedName name="QBI_Deduction">INDIRECT("Y"&amp;Active_Year&amp;"!$N$17")</definedName>
    <definedName name="QBI_Income">INDIRECT("Y"&amp;Active_Year&amp;"!$J$40")</definedName>
    <definedName name="QUAL_DIV">INDIRECT("Y"&amp;Active_Year&amp;"!$J$30")</definedName>
    <definedName name="SEC1250">INDIRECT("Y"&amp;Active_Year&amp;"!$J$33")</definedName>
    <definedName name="Slicer_Activity_Type">#N/A</definedName>
    <definedName name="Slicer_Activity_Type1">#N/A</definedName>
    <definedName name="Slicer_Activity_Type2">#N/A</definedName>
    <definedName name="Slicer_Activity_Type3">#N/A</definedName>
    <definedName name="Slicer_Bucket">#N/A</definedName>
    <definedName name="Slicer_Bucket1">#N/A</definedName>
    <definedName name="Slicer_ClientID">#N/A</definedName>
    <definedName name="Slicer_ClientID1">#N/A</definedName>
    <definedName name="Slicer_NIIT_Class">#N/A</definedName>
    <definedName name="Slicer_QBI_Eligible">#N/A</definedName>
    <definedName name="Slicer_SE_Subject">#N/A</definedName>
    <definedName name="Slicer_Year">#N/A</definedName>
    <definedName name="Slicer_Year1">#N/A</definedName>
    <definedName name="Slicer_Year2">#N/A</definedName>
    <definedName name="Slicer_Year3">#N/A</definedName>
    <definedName name="Status">Dropdown_Lists!$E$4:$E$8</definedName>
    <definedName name="StdItemDed">INDIRECT("Y"&amp;Active_Year&amp;"!$N$16")</definedName>
    <definedName name="TAX_EXEMPT">INDIRECT("Y"&amp;Active_Year&amp;"!$J$29")</definedName>
    <definedName name="TaxableIncome">INDIRECT("Y"&amp;Active_Year&amp;"!$N$18")</definedName>
    <definedName name="TaxableIncome_BeforeQBI">INDIRECT("Y"&amp;Active_Year&amp;"!$J$41")</definedName>
    <definedName name="TaxLines">Dropdown_Lists!$F$4:$F$13</definedName>
    <definedName name="TotalIncome">INDIRECT("Y"&amp;Active_Year&amp;"!$N$13")</definedName>
    <definedName name="UBIA">INDIRECT("Y"&amp;Active_Year&amp;"!$J$44")</definedName>
    <definedName name="VP_BI_K1_PTP_Passive" comment="PTP K-1 passive — Active Year">Pivot_GPD!$J$23</definedName>
    <definedName name="VP_BI_K1_SCorp_Active" comment="S-Corp K-1 active — Active Year">Pivot_GPD!$J$22</definedName>
    <definedName name="VP_BI_SchE_Rental" comment="Schedule E rental — Active Year">Pivot_GPD!$J$24</definedName>
    <definedName name="VP_BI_Total" comment="Business income total — Active Year">Pivot_GPD!$J$25</definedName>
    <definedName name="VP_Line_12_Deduction" comment="Std/itemized deduction — Active Year">Pivot_GPD!$J$12</definedName>
    <definedName name="VP_Line_1z_Wages" comment="Wages — Active Year from visual pivot">Pivot_GPD!$J$7</definedName>
    <definedName name="VP_Line_2b_TaxInt" comment="Taxable interest — Active Year">Pivot_GPD!$J$8</definedName>
    <definedName name="VP_Line_3b_OrdDiv" comment="Ordinary dividends — Active Year">Pivot_GPD!$J$9</definedName>
    <definedName name="VP_Line_7_CapGain" comment="Capital gains — Active Year">Pivot_GPD!$J$10</definedName>
    <definedName name="VP_Line_8_OtherInc" comment="Other/business income — Active Year">Pivot_GPD!$J$11</definedName>
    <definedName name="VP_OWNER_PAY" comment="Owner wages helper — Active Year">Pivot_GPD!$J$17</definedName>
    <definedName name="VP_QUAL_DIV" comment="Qualified dividends helper — Active Year">Pivot_GPD!$J$18</definedName>
    <definedName name="VP_TotalIncome" comment="Total income — Active Year">Pivot_GPD!$J$13</definedName>
    <definedName name="W2_OWNER">INDIRECT("Y"&amp;Active_Year&amp;"!$J$23")</definedName>
    <definedName name="W2_THIRD_PARTY">INDIRECT("Y"&amp;Active_Year&amp;"!$J$24")</definedName>
    <definedName name="W2_TOTAL">INDIRECT("Y"&amp;Active_Year&amp;"!$J$25")</definedName>
    <definedName name="Wages_Docs">Dropdown_Lists!$B$35:$B$37</definedName>
    <definedName name="Wages_Profiles">Dropdown_Lists!$B$19:$B$20</definedName>
    <definedName name="Yes_No">Dropdown_Lists!$B$4:$B$5</definedName>
  </definedNames>
  <calcPr calcId="191029" fullCalcOnLoad="1" iterate="1"/>
  <pivotCaches>
    <pivotCache cacheId="23" r:id="rId31"/>
  </pivotCaches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&quot;$&quot;#,##0.00"/>
    <numFmt numFmtId="166" formatCode="yyyy\-mm\-dd"/>
    <numFmt numFmtId="167" formatCode="0.0%"/>
  </numFmts>
  <fonts count="45">
    <font>
      <name val="Calibri"/>
      <family val="2"/>
      <color theme="1"/>
      <sz val="11"/>
      <scheme val="minor"/>
    </font>
    <font>
      <name val="Calibri"/>
      <family val="2"/>
      <b val="1"/>
      <color rgb="FF305496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305496"/>
      <sz val="10"/>
    </font>
    <font>
      <name val="Calibri"/>
      <family val="2"/>
      <i val="1"/>
      <color rgb="FF595959"/>
      <sz val="9"/>
    </font>
    <font>
      <name val="Calibri"/>
      <family val="2"/>
      <color rgb="FF0563C1"/>
      <sz val="11"/>
      <u val="single"/>
    </font>
    <font>
      <name val="Calibri"/>
      <family val="2"/>
      <b val="1"/>
      <color rgb="FF305496"/>
      <sz val="11"/>
    </font>
    <font>
      <name val="Calibri"/>
      <family val="2"/>
      <b val="1"/>
      <sz val="11"/>
    </font>
    <font>
      <name val="Calibri"/>
      <family val="2"/>
      <i val="1"/>
      <color rgb="FF595959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1F4E79"/>
      <sz val="14"/>
      <scheme val="minor"/>
    </font>
    <font>
      <name val="Calibri"/>
      <family val="2"/>
      <i val="1"/>
      <color rgb="FF808080"/>
      <sz val="10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8000"/>
      <sz val="10"/>
      <scheme val="minor"/>
    </font>
    <font>
      <name val="Calibri"/>
      <family val="2"/>
      <b val="1"/>
      <color rgb="FF1F4E79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808080"/>
      <sz val="10"/>
      <scheme val="minor"/>
    </font>
    <font>
      <name val="Calibri"/>
      <family val="2"/>
      <i val="1"/>
      <color rgb="FF808080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F4E79"/>
      <sz val="10"/>
      <scheme val="minor"/>
    </font>
    <font>
      <name val="Calibri"/>
      <family val="2"/>
      <b val="1"/>
      <color rgb="FF1F4E79"/>
      <sz val="12"/>
      <scheme val="minor"/>
    </font>
    <font>
      <name val="Calibri"/>
      <family val="2"/>
      <b val="1"/>
      <color rgb="FFFFFFFF"/>
      <sz val="10"/>
    </font>
    <font>
      <name val="Calibri"/>
      <family val="2"/>
      <color rgb="FF0000FF"/>
      <sz val="11"/>
      <scheme val="minor"/>
    </font>
    <font>
      <name val="Calibri"/>
      <family val="2"/>
      <color rgb="FF444444"/>
      <sz val="10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0000FF"/>
      <sz val="10"/>
      <scheme val="minor"/>
    </font>
    <font>
      <name val="Calibri"/>
      <family val="2"/>
      <b val="1"/>
      <color rgb="FF1F4E79"/>
      <sz val="11"/>
      <u val="single"/>
      <scheme val="minor"/>
    </font>
    <font>
      <name val="Calibri"/>
      <family val="2"/>
      <b val="1"/>
      <color rgb="FF1F4E79"/>
      <sz val="12"/>
      <u val="single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color rgb="FF008000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rgb="FF0563C1"/>
      <sz val="10"/>
      <u val="single"/>
      <scheme val="minor"/>
    </font>
    <font>
      <name val="Calibri"/>
      <family val="2"/>
      <b val="1"/>
      <color rgb="FF333333"/>
      <sz val="10"/>
      <scheme val="minor"/>
    </font>
    <font>
      <name val="Calibri"/>
      <family val="2"/>
      <color rgb="FF333333"/>
      <sz val="10"/>
      <scheme val="minor"/>
    </font>
    <font>
      <name val="Calibri"/>
      <family val="2"/>
      <b val="1"/>
      <color rgb="FF333333"/>
      <sz val="10"/>
      <u val="single"/>
      <scheme val="minor"/>
    </font>
    <font>
      <name val="Calibri"/>
      <family val="2"/>
      <color rgb="FF333333"/>
      <sz val="10"/>
      <u val="single"/>
      <scheme val="minor"/>
    </font>
    <font>
      <name val="Calibri"/>
      <family val="2"/>
      <i val="1"/>
      <color rgb="FF666666"/>
      <sz val="10"/>
      <scheme val="minor"/>
    </font>
    <font>
      <name val="Calibri"/>
      <family val="2"/>
      <i val="1"/>
      <color rgb="FF666666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008000"/>
      <sz val="10"/>
      <scheme val="minor"/>
    </font>
  </fonts>
  <fills count="18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1F4E79"/>
      </top>
      <bottom/>
      <diagonal/>
    </border>
  </borders>
  <cellStyleXfs count="2">
    <xf numFmtId="0" fontId="0" fillId="0" borderId="0"/>
    <xf numFmtId="0" fontId="9" fillId="0" borderId="0"/>
  </cellStyleXfs>
  <cellXfs count="102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1" quotePrefix="0" xfId="0"/>
    <xf numFmtId="3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1" pivotButton="0" quotePrefix="0" xfId="0"/>
    <xf numFmtId="0" fontId="0" fillId="0" borderId="0" pivotButton="0" quotePrefix="0" xfId="0"/>
    <xf numFmtId="3" fontId="1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3" fontId="19" fillId="0" borderId="0" applyAlignment="1" pivotButton="0" quotePrefix="0" xfId="0">
      <alignment horizontal="right"/>
    </xf>
    <xf numFmtId="0" fontId="19" fillId="0" borderId="0" pivotButton="0" quotePrefix="0" xfId="0"/>
    <xf numFmtId="0" fontId="19" fillId="6" borderId="0" pivotButton="0" quotePrefix="0" xfId="0"/>
    <xf numFmtId="3" fontId="19" fillId="6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" fontId="14" fillId="0" borderId="1" pivotButton="0" quotePrefix="0" xfId="0"/>
    <xf numFmtId="0" fontId="15" fillId="7" borderId="0" applyAlignment="1" pivotButton="0" quotePrefix="0" xfId="0">
      <alignment horizontal="center"/>
    </xf>
    <xf numFmtId="0" fontId="15" fillId="7" borderId="0" applyAlignment="1" pivotButton="0" quotePrefix="0" xfId="0">
      <alignment horizontal="left"/>
    </xf>
    <xf numFmtId="0" fontId="10" fillId="0" borderId="2" pivotButton="0" quotePrefix="0" xfId="0"/>
    <xf numFmtId="3" fontId="10" fillId="0" borderId="2" pivotButton="0" quotePrefix="0" xfId="0"/>
    <xf numFmtId="49" fontId="10" fillId="0" borderId="2" pivotButton="0" quotePrefix="0" xfId="0"/>
    <xf numFmtId="49" fontId="10" fillId="0" borderId="0" pivotButton="0" quotePrefix="0" xfId="0"/>
    <xf numFmtId="0" fontId="16" fillId="6" borderId="0" pivotButton="0" quotePrefix="0" xfId="0"/>
    <xf numFmtId="3" fontId="14" fillId="0" borderId="1" pivotButton="0" quotePrefix="0" xfId="0"/>
    <xf numFmtId="3" fontId="16" fillId="0" borderId="0" pivotButton="0" quotePrefix="0" xfId="0"/>
    <xf numFmtId="3" fontId="16" fillId="6" borderId="0" pivotButton="0" quotePrefix="0" xfId="0"/>
    <xf numFmtId="3" fontId="0" fillId="6" borderId="0" pivotButton="0" quotePrefix="0" xfId="0"/>
    <xf numFmtId="0" fontId="22" fillId="5" borderId="0" applyAlignment="1" pivotButton="0" quotePrefix="0" xfId="0">
      <alignment horizontal="center"/>
    </xf>
    <xf numFmtId="0" fontId="23" fillId="5" borderId="0" pivotButton="0" quotePrefix="0" xfId="0"/>
    <xf numFmtId="0" fontId="24" fillId="0" borderId="1" pivotButton="0" quotePrefix="0" xfId="0"/>
    <xf numFmtId="0" fontId="25" fillId="0" borderId="0" pivotButton="0" quotePrefix="0" xfId="0"/>
    <xf numFmtId="0" fontId="25" fillId="0" borderId="1" pivotButton="0" quotePrefix="0" xfId="0"/>
    <xf numFmtId="3" fontId="19" fillId="6" borderId="0" pivotButton="0" quotePrefix="0" xfId="0"/>
    <xf numFmtId="3" fontId="12" fillId="8" borderId="0" pivotButton="0" quotePrefix="0" xfId="0"/>
    <xf numFmtId="0" fontId="26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3" fontId="0" fillId="3" borderId="0" pivotButton="0" quotePrefix="0" xfId="0"/>
    <xf numFmtId="10" fontId="10" fillId="0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27" fillId="0" borderId="0" pivotButton="0" quotePrefix="0" xfId="0"/>
    <xf numFmtId="0" fontId="23" fillId="7" borderId="0" pivotButton="0" quotePrefix="0" xfId="0"/>
    <xf numFmtId="0" fontId="0" fillId="7" borderId="0" pivotButton="0" quotePrefix="0" xfId="0"/>
    <xf numFmtId="0" fontId="28" fillId="0" borderId="0" pivotButton="0" quotePrefix="0" xfId="0"/>
    <xf numFmtId="0" fontId="29" fillId="0" borderId="0" pivotButton="0" quotePrefix="0" xfId="0"/>
    <xf numFmtId="14" fontId="27" fillId="0" borderId="0" pivotButton="0" quotePrefix="0" xfId="0"/>
    <xf numFmtId="0" fontId="30" fillId="0" borderId="0" pivotButton="0" quotePrefix="0" xfId="0"/>
    <xf numFmtId="0" fontId="31" fillId="0" borderId="0" pivotButton="0" quotePrefix="0" xfId="1"/>
    <xf numFmtId="0" fontId="32" fillId="0" borderId="0" pivotButton="0" quotePrefix="0" xfId="1"/>
    <xf numFmtId="0" fontId="33" fillId="0" borderId="0" pivotButton="0" quotePrefix="0" xfId="0"/>
    <xf numFmtId="3" fontId="34" fillId="3" borderId="0" pivotButton="0" quotePrefix="0" xfId="0"/>
    <xf numFmtId="0" fontId="10" fillId="9" borderId="0" pivotButton="0" quotePrefix="0" xfId="0"/>
    <xf numFmtId="0" fontId="35" fillId="0" borderId="0" pivotButton="0" quotePrefix="0" xfId="0"/>
    <xf numFmtId="0" fontId="0" fillId="0" borderId="0" pivotButton="0" quotePrefix="1" xfId="0"/>
    <xf numFmtId="166" fontId="0" fillId="0" borderId="0" pivotButton="0" quotePrefix="0" xfId="0"/>
    <xf numFmtId="0" fontId="23" fillId="10" borderId="0" pivotButton="0" quotePrefix="0" xfId="0"/>
    <xf numFmtId="0" fontId="36" fillId="0" borderId="0" pivotButton="0" quotePrefix="0" xfId="1"/>
    <xf numFmtId="0" fontId="23" fillId="11" borderId="0" pivotButton="0" quotePrefix="0" xfId="0"/>
    <xf numFmtId="0" fontId="23" fillId="12" borderId="0" pivotButton="0" quotePrefix="0" xfId="0"/>
    <xf numFmtId="0" fontId="23" fillId="13" borderId="0" pivotButton="0" quotePrefix="0" xfId="0"/>
    <xf numFmtId="0" fontId="23" fillId="14" borderId="0" pivotButton="0" quotePrefix="0" xfId="0"/>
    <xf numFmtId="0" fontId="24" fillId="0" borderId="0" pivotButton="0" quotePrefix="0" xfId="0"/>
    <xf numFmtId="0" fontId="14" fillId="15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1"/>
    <xf numFmtId="0" fontId="40" fillId="0" borderId="0" pivotButton="0" quotePrefix="0" xfId="1"/>
    <xf numFmtId="1" fontId="30" fillId="0" borderId="0" pivotButton="0" quotePrefix="0" xfId="0"/>
    <xf numFmtId="0" fontId="41" fillId="0" borderId="0" pivotButton="0" quotePrefix="0" xfId="0"/>
    <xf numFmtId="166" fontId="30" fillId="0" borderId="0" pivotButton="0" quotePrefix="0" xfId="0"/>
    <xf numFmtId="0" fontId="42" fillId="0" borderId="0" pivotButton="0" quotePrefix="0" xfId="0"/>
    <xf numFmtId="0" fontId="0" fillId="16" borderId="0" pivotButton="0" quotePrefix="0" xfId="0"/>
    <xf numFmtId="3" fontId="34" fillId="0" borderId="0" pivotButton="0" quotePrefix="0" xfId="0"/>
    <xf numFmtId="0" fontId="43" fillId="9" borderId="0" pivotButton="0" quotePrefix="0" xfId="0"/>
    <xf numFmtId="3" fontId="30" fillId="0" borderId="0" pivotButton="0" quotePrefix="0" xfId="0"/>
    <xf numFmtId="164" fontId="44" fillId="0" borderId="0" pivotButton="0" quotePrefix="0" xfId="0"/>
    <xf numFmtId="164" fontId="17" fillId="0" borderId="0" pivotButton="0" quotePrefix="0" xfId="0"/>
    <xf numFmtId="167" fontId="44" fillId="0" borderId="0" pivotButton="0" quotePrefix="0" xfId="0"/>
    <xf numFmtId="0" fontId="44" fillId="0" borderId="0" pivotButton="0" quotePrefix="0" xfId="0"/>
    <xf numFmtId="0" fontId="25" fillId="0" borderId="0" pivotButton="0" quotePrefix="0" xfId="0"/>
    <xf numFmtId="0" fontId="2" fillId="17" borderId="0" applyAlignment="1" pivotButton="0" quotePrefix="0" xfId="0">
      <alignment horizontal="center" vertical="center" wrapText="1"/>
    </xf>
    <xf numFmtId="0" fontId="24" fillId="0" borderId="0" pivotButton="0" quotePrefix="0" xfId="0"/>
  </cellXfs>
  <cellStyles count="2">
    <cellStyle name="Normal" xfId="0" builtinId="0"/>
    <cellStyle name="Hyperlink" xfId="1" builtinId="8"/>
  </cellStyles>
  <dxfs count="56"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1" formatCode="0"/>
    </dxf>
    <dxf>
      <numFmt numFmtId="1" formatCode="0"/>
    </dxf>
    <dxf>
      <numFmt numFmtId="1" formatCode="0"/>
    </dxf>
    <dxf>
      <numFmt numFmtId="164" formatCode="&quot;$&quot;#,##0"/>
    </dxf>
    <dxf>
      <numFmt numFmtId="1" formatCode="0"/>
    </dxf>
    <dxf>
      <numFmt numFmtId="3" formatCode="#,##0"/>
    </dxf>
    <dxf>
      <numFmt numFmtId="3" formatCode="#,##0"/>
    </dxf>
    <dxf>
      <fill>
        <patternFill patternType="solid">
          <fgColor indexed="64"/>
          <bgColor rgb="FF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pivotCacheDefinition" Target="/xl/pivotCache/pivotCacheDefinition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200" b="1">
                <a:solidFill>
                  <a:srgbClr val="1F4E79"/>
                </a:solidFill>
              </a:defRPr>
            </a:pPr>
            <a:r>
              <a:rPr lang="en-US"/>
              <a:t>Income by 1040 Line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tx>
            <strRef>
              <f>Tax_Plan_Dashboard!$I$6:$I$7</f>
              <strCache>
                <ptCount val="2"/>
                <pt idx="0">
                  <v>Amount</v>
                </pt>
                <pt idx="1">
                  <v>Amount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Tax_Plan_Dashboard!$H$8:$H$12</f>
              <strCache>
                <ptCount val="5"/>
                <pt idx="0">
                  <v>1z Wages</v>
                </pt>
                <pt idx="1">
                  <v>2b Tax Interest</v>
                </pt>
                <pt idx="2">
                  <v>3b Dividends</v>
                </pt>
                <pt idx="3">
                  <v>7 Cap Gains</v>
                </pt>
                <pt idx="4">
                  <v>8 Business</v>
                </pt>
              </strCache>
            </strRef>
          </cat>
          <val>
            <numRef>
              <f>Tax_Plan_Dashboard!$I$8:$I$12</f>
              <numCache>
                <formatCode>#,##0</formatCode>
                <ptCount val="5"/>
                <pt idx="0">
                  <v>100000</v>
                </pt>
                <pt idx="1">
                  <v>500</v>
                </pt>
                <pt idx="2">
                  <v>10000</v>
                </pt>
                <pt idx="3">
                  <v>25000</v>
                </pt>
                <pt idx="4">
                  <v>120000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354047488"/>
        <axId val="1354052288"/>
      </barChart>
      <catAx>
        <axId val="135404748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crossAx val="1354052288"/>
        <crosses val="autoZero"/>
        <auto val="1"/>
        <lblAlgn val="ctr"/>
        <lblOffset val="100"/>
        <noMultiLvlLbl val="0"/>
      </catAx>
      <valAx>
        <axId val="1354052288"/>
        <scaling>
          <orientation val="minMax"/>
        </scaling>
        <delete val="0"/>
        <axPos val="b"/>
        <majorGridlines/>
        <numFmt formatCode="#,##0" sourceLinked="0"/>
        <majorTickMark val="none"/>
        <minorTickMark val="none"/>
        <tickLblPos val="nextTo"/>
        <crossAx val="1354047488"/>
        <crosses val="autoZero"/>
        <crossBetween val="between"/>
      </valAx>
    </plotArea>
    <plotVisOnly val="1"/>
    <dispBlanksAs val="gap"/>
  </chart>
  <spPr>
    <a:ln w="25400"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200" b="1">
                <a:solidFill>
                  <a:srgbClr val="1F4E79"/>
                </a:solidFill>
              </a:defRPr>
            </a:pPr>
            <a:r>
              <a:rPr lang="en-US"/>
              <a:t>Business Income by Treatment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tx>
            <strRef>
              <f>Tax_Plan_Dashboard!$I$15:$I$16</f>
              <strCache>
                <ptCount val="2"/>
                <pt idx="0">
                  <v>Amount</v>
                </pt>
                <pt idx="1">
                  <v>Amount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Tax_Plan_Dashboard!$H$17:$H$18</f>
              <strCache>
                <ptCount val="2"/>
                <pt idx="0">
                  <v>K1_SCorp_Active</v>
                </pt>
                <pt idx="1">
                  <v>K1_PTP_Passive</v>
                </pt>
              </strCache>
            </strRef>
          </cat>
          <val>
            <numRef>
              <f>Tax_Plan_Dashboard!$I$17:$I$18</f>
              <numCache>
                <formatCode>#,##0</formatCode>
                <ptCount val="2"/>
                <pt idx="0">
                  <v>200000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1354036448"/>
        <axId val="1354060928"/>
      </barChart>
      <catAx>
        <axId val="135403644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crossAx val="1354060928"/>
        <crosses val="autoZero"/>
        <auto val="1"/>
        <lblAlgn val="ctr"/>
        <lblOffset val="100"/>
        <noMultiLvlLbl val="0"/>
      </catAx>
      <valAx>
        <axId val="1354060928"/>
        <scaling>
          <orientation val="minMax"/>
        </scaling>
        <delete val="0"/>
        <axPos val="b"/>
        <majorGridlines/>
        <numFmt formatCode="#,##0" sourceLinked="0"/>
        <majorTickMark val="none"/>
        <minorTickMark val="none"/>
        <tickLblPos val="nextTo"/>
        <crossAx val="1354036448"/>
        <crosses val="autoZero"/>
        <crossBetween val="between"/>
      </valAx>
    </plotArea>
    <plotVisOnly val="1"/>
    <dispBlanksAs val="gap"/>
  </chart>
  <spPr>
    <a:ln w="25400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257174</colOff>
      <row>19</row>
      <rowOff>161925</rowOff>
    </from>
    <to>
      <col>3</col>
      <colOff>377824</colOff>
      <row>35</row>
      <rowOff>15875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0</col>
      <colOff>257174</colOff>
      <row>35</row>
      <rowOff>25400</rowOff>
    </from>
    <to>
      <col>3</col>
      <colOff>377824</colOff>
      <row>48</row>
      <rowOff>66675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Seth Johnson" refreshedDate="46160.83311967592" createdVersion="8" refreshedVersion="8" minRefreshableVersion="3" recordCount="11" r:id="rId1">
  <cacheSource type="worksheet">
    <worksheetSource name="tblMaster_Inputs"/>
  </cacheSource>
  <cacheFields count="19">
    <cacheField name="InputID" uniqueList="1" numFmtId="0" sqlType="0" hierarchy="0" level="0" databaseField="1">
      <sharedItems count="0"/>
    </cacheField>
    <cacheField name="Year" uniqueList="1" numFmtId="0" sqlType="0" hierarchy="0" level="0" databaseField="1">
      <sharedItems count="2" containsInteger="1" containsNumber="1" containsSemiMixedTypes="0" containsString="0" minValue="2024" maxValue="2025">
        <n v="2024"/>
        <n v="2025"/>
      </sharedItems>
    </cacheField>
    <cacheField name="ClientID" uniqueList="1" numFmtId="0" sqlType="0" hierarchy="0" level="0" databaseField="1">
      <sharedItems count="2">
        <s v="CEDILLO"/>
        <s v="SAMPLE"/>
      </sharedItems>
    </cacheField>
    <cacheField name="ClientName" uniqueList="1" numFmtId="0" sqlType="0" hierarchy="0" level="0" databaseField="1">
      <sharedItems count="0"/>
    </cacheField>
    <cacheField name="Bucket" uniqueList="1" numFmtId="0" sqlType="0" hierarchy="0" level="0" databaseField="1">
      <sharedItems count="5">
        <s v="Wages"/>
        <s v="Business Income"/>
        <s v="Investment Income"/>
        <s v="Capital Gains"/>
        <s v="Itemized"/>
      </sharedItems>
    </cacheField>
    <cacheField name="Treatment_Profile" uniqueList="1" numFmtId="0" sqlType="0" hierarchy="0" level="0" databaseField="1">
      <sharedItems count="9">
        <s v="W2_SCorpOwner"/>
        <s v="K1_PTP_Passive"/>
        <s v="Div_Ordinary"/>
        <s v="LTCG_Stock"/>
        <s v="K1_SCorp_Active"/>
        <s v="Div_Qualified"/>
        <s v="Int_Taxable"/>
        <s v="Itm_SALT"/>
        <s v="SchE_Rental"/>
      </sharedItems>
    </cacheField>
    <cacheField name="Source_Document" uniqueList="1" numFmtId="0" sqlType="0" hierarchy="0" level="0" databaseField="1">
      <sharedItems count="0" containsBlank="1"/>
    </cacheField>
    <cacheField name="Activity_Type" uniqueList="1" numFmtId="0" sqlType="0" hierarchy="0" level="0" databaseField="1">
      <sharedItems count="2">
        <s v="Baseline"/>
        <s v="Strategy"/>
      </sharedItems>
    </cacheField>
    <cacheField name="Provenance" uniqueList="1" numFmtId="0" sqlType="0" hierarchy="0" level="0" databaseField="1">
      <sharedItems count="0"/>
    </cacheField>
    <cacheField name="Payor" uniqueList="1" numFmtId="0" sqlType="0" hierarchy="0" level="0" databaseField="1">
      <sharedItems count="6" containsBlank="1">
        <s v="Acme S-Corp"/>
        <s v="Cedillo Partnership"/>
        <s v="Brokerage"/>
        <s v="SampleCo S-Corp"/>
        <s v="SampleCo S-Corp K-1"/>
        <m/>
      </sharedItems>
    </cacheField>
    <cacheField name="Baseline_Amount" uniqueList="1" numFmtId="0" sqlType="0" hierarchy="0" level="0" databaseField="1">
      <sharedItems count="0" containsInteger="1" containsNumber="1" containsSemiMixedTypes="0" containsString="0" minValue="-100766" maxValue="200000"/>
    </cacheField>
    <cacheField name="Helper_Amount" uniqueList="1" numFmtId="0" sqlType="0" hierarchy="0" level="0" databaseField="1">
      <sharedItems count="0" containsInteger="1" containsNumber="1" containsSemiMixedTypes="0" containsString="0" minValue="0" maxValue="100000"/>
    </cacheField>
    <cacheField name="SE_Subject" uniqueList="1" numFmtId="0" sqlType="0" hierarchy="0" level="0" databaseField="1">
      <sharedItems count="1">
        <s v="No"/>
      </sharedItems>
    </cacheField>
    <cacheField name="NIIT_Class" uniqueList="1" numFmtId="0" sqlType="0" hierarchy="0" level="0" databaseField="1">
      <sharedItems count="4">
        <s v="Active"/>
        <s v="Passive"/>
        <s v="Portfolio"/>
        <s v="N/A"/>
      </sharedItems>
    </cacheField>
    <cacheField name="QBI_Eligible" uniqueList="1" numFmtId="0" sqlType="0" hierarchy="0" level="0" databaseField="1">
      <sharedItems count="2">
        <s v="No"/>
        <s v="Yes"/>
      </sharedItems>
    </cacheField>
    <cacheField name="Primary_Line" uniqueList="1" numFmtId="0" sqlType="0" hierarchy="0" level="0" databaseField="1">
      <sharedItems count="6">
        <s v="1z"/>
        <s v="8"/>
        <s v="3b"/>
        <s v="7"/>
        <s v="2b"/>
        <s v="12"/>
      </sharedItems>
    </cacheField>
    <cacheField name="Helper_Treatment" uniqueList="1" numFmtId="0" sqlType="0" hierarchy="0" level="0" databaseField="1">
      <sharedItems count="7">
        <s v="OWNER_PAY"/>
        <s v="K1_SPLIT"/>
        <s v="QUAL_DIV"/>
        <s v="LTCG_SPLIT"/>
        <s v="TAX_EXEMPT"/>
        <s v="SALT"/>
        <s v="PASSIVE"/>
      </sharedItems>
    </cacheField>
    <cacheField name="Consider" uniqueList="1" numFmtId="0" sqlType="0" hierarchy="0" level="0" databaseField="1">
      <sharedItems count="0"/>
    </cacheField>
    <cacheField name="Note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11">
  <r>
    <s v="CED|2024|Wages|01"/>
    <x v="0"/>
    <x v="0"/>
    <s v="Ron Cedillo"/>
    <x v="0"/>
    <x v="0"/>
    <s v="W-2"/>
    <x v="0"/>
    <s v="PBC - Reviewed"/>
    <x v="0"/>
    <n v="153648"/>
    <n v="0"/>
    <x v="0"/>
    <x v="0"/>
    <x v="0"/>
    <x v="0"/>
    <x v="0"/>
    <s v="Owner reasonable comp"/>
    <m/>
  </r>
  <r>
    <s v="CED|2024|BI|01"/>
    <x v="0"/>
    <x v="0"/>
    <s v="Ron Cedillo"/>
    <x v="1"/>
    <x v="1"/>
    <s v="K-1"/>
    <x v="0"/>
    <s v="PBC - Reviewed"/>
    <x v="1"/>
    <n v="-100766"/>
    <n v="0"/>
    <x v="0"/>
    <x v="1"/>
    <x v="1"/>
    <x v="1"/>
    <x v="1"/>
    <s v="Passive loss"/>
    <m/>
  </r>
  <r>
    <s v="CED|2024|II|01"/>
    <x v="0"/>
    <x v="0"/>
    <s v="Ron Cedillo"/>
    <x v="2"/>
    <x v="2"/>
    <s v="1099-DIV"/>
    <x v="0"/>
    <s v="PBC - Reviewed"/>
    <x v="2"/>
    <n v="25922"/>
    <n v="0"/>
    <x v="0"/>
    <x v="2"/>
    <x v="0"/>
    <x v="2"/>
    <x v="2"/>
    <s v="All non-qualified"/>
    <m/>
  </r>
  <r>
    <s v="CED|2024|CG|01"/>
    <x v="0"/>
    <x v="0"/>
    <s v="Ron Cedillo"/>
    <x v="3"/>
    <x v="3"/>
    <s v="1099-B"/>
    <x v="0"/>
    <s v="PBC - Reviewed"/>
    <x v="2"/>
    <n v="14487"/>
    <n v="0"/>
    <x v="0"/>
    <x v="2"/>
    <x v="0"/>
    <x v="3"/>
    <x v="3"/>
    <s v="All long-term"/>
    <m/>
  </r>
  <r>
    <s v="SAM|2025|Wages|01"/>
    <x v="1"/>
    <x v="1"/>
    <s v="Sample Client"/>
    <x v="0"/>
    <x v="0"/>
    <s v="W-2"/>
    <x v="0"/>
    <s v="Estimate - Preparer"/>
    <x v="3"/>
    <n v="100000"/>
    <n v="100000"/>
    <x v="0"/>
    <x v="0"/>
    <x v="0"/>
    <x v="0"/>
    <x v="0"/>
    <s v="Owner reasonable comp"/>
    <m/>
  </r>
  <r>
    <s v="SAM|2025|BI|01"/>
    <x v="1"/>
    <x v="1"/>
    <s v="Sample Client"/>
    <x v="1"/>
    <x v="4"/>
    <s v="K-1"/>
    <x v="0"/>
    <s v="PY Rolled Forward"/>
    <x v="4"/>
    <n v="200000"/>
    <n v="0"/>
    <x v="0"/>
    <x v="0"/>
    <x v="1"/>
    <x v="1"/>
    <x v="1"/>
    <s v="Active S-corp K-1"/>
    <m/>
  </r>
  <r>
    <s v="SAM|2025|II_Div|01"/>
    <x v="1"/>
    <x v="1"/>
    <s v="Sample Client"/>
    <x v="2"/>
    <x v="5"/>
    <s v="1099-DIV"/>
    <x v="0"/>
    <s v="PBC - Received"/>
    <x v="2"/>
    <n v="10000"/>
    <n v="7000"/>
    <x v="0"/>
    <x v="2"/>
    <x v="0"/>
    <x v="2"/>
    <x v="2"/>
    <s v="$7K qualified"/>
    <m/>
  </r>
  <r>
    <s v="SAM|2025|II_Int|01"/>
    <x v="1"/>
    <x v="1"/>
    <s v="Sample Client"/>
    <x v="2"/>
    <x v="6"/>
    <s v="1099-INT"/>
    <x v="0"/>
    <s v="PBC - Received"/>
    <x v="2"/>
    <n v="500"/>
    <n v="0"/>
    <x v="0"/>
    <x v="2"/>
    <x v="0"/>
    <x v="4"/>
    <x v="4"/>
    <s v="All taxable"/>
    <m/>
  </r>
  <r>
    <s v="SAM|2025|CG|01"/>
    <x v="1"/>
    <x v="1"/>
    <s v="Sample Client"/>
    <x v="3"/>
    <x v="3"/>
    <s v="1099-B"/>
    <x v="0"/>
    <s v="PBC - Requested"/>
    <x v="2"/>
    <n v="25000"/>
    <n v="0"/>
    <x v="0"/>
    <x v="2"/>
    <x v="0"/>
    <x v="3"/>
    <x v="3"/>
    <s v="All long-term"/>
    <m/>
  </r>
  <r>
    <s v="SAM|2025|Itm|01"/>
    <x v="1"/>
    <x v="1"/>
    <s v="Sample Client"/>
    <x v="4"/>
    <x v="7"/>
    <s v="Property Tax Receipt"/>
    <x v="0"/>
    <s v="PBC - Received"/>
    <x v="5"/>
    <n v="10000"/>
    <n v="0"/>
    <x v="0"/>
    <x v="3"/>
    <x v="0"/>
    <x v="5"/>
    <x v="5"/>
    <s v="SALT cap"/>
    <m/>
  </r>
  <r>
    <s v="SAM|2025|Strategy|CostSeg|01"/>
    <x v="1"/>
    <x v="1"/>
    <s v="Sample Client"/>
    <x v="1"/>
    <x v="8"/>
    <m/>
    <x v="1"/>
    <s v="Estimate - Preparer"/>
    <x v="5"/>
    <n v="-80000"/>
    <n v="0"/>
    <x v="0"/>
    <x v="1"/>
    <x v="0"/>
    <x v="1"/>
    <x v="6"/>
    <s v="Cost Seg accelerated depreciation"/>
    <s v="STD-012 Committed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Income" cacheId="2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13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7">
        <item t="data" sd="1" x="5"/>
        <item t="data" sd="1" x="0"/>
        <item t="data" sd="1" x="4"/>
        <item t="data" sd="1" x="2"/>
        <item t="data" sd="1" x="3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5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BusinessIncome" cacheId="2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10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6">
        <item t="data" sd="1" x="1"/>
        <item t="data" h="1" sd="1" x="3"/>
        <item t="data" h="1" sd="1" x="2"/>
        <item t="data" h="1" sd="1" x="4"/>
        <item t="data" h="1" sd="1" x="0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10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8"/>
        <item t="data" sd="1" x="0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>
      <items count="5">
        <item t="data" sd="1" x="0"/>
        <item t="data" sd="1" x="3"/>
        <item t="data" sd="1" x="1"/>
        <item t="data" sd="1" x="2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5"/>
  </rowFields>
  <rowItems count="4">
    <i t="data" r="0" i="0">
      <x v="4"/>
    </i>
    <i t="data" r="0" i="0">
      <x v="5"/>
    </i>
    <i t="data" r="0" i="0">
      <x v="7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4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ByPayor" cacheId="2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F29" firstHeaderRow="1" firstDataRow="2" firstDataCol="2"/>
  <pivotFields count="19">
    <pivotField showDropDowns="1" compact="0" outline="1" subtotalTop="0" dragToRow="1" dragToCol="1" dragToPage="1" dragToData="1" dragOff="1" showAll="0" topAutoShow="1" itemPageCount="10" sortType="manual" defaultSubtotal="1"/>
    <pivotField axis="axisCol" showDropDowns="1" compact="0" outline="1" subtotalTop="0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1" subtotalTop="0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1" subtotalTop="0" dragToRow="1" dragToCol="1" dragToPage="1" dragToData="1" dragOff="1" showAll="0" topAutoShow="1" itemPageCount="10" sortType="manual" defaultSubtotal="1"/>
    <pivotField showDropDowns="1" compact="0" outline="1" subtotalTop="0" dragToRow="1" dragToCol="1" dragToPage="1" dragToData="1" dragOff="1" showAll="0" topAutoShow="1" itemPageCount="10" sortType="manual" defaultSubtotal="1">
      <items count="6">
        <item t="data" sd="1" x="1"/>
        <item t="data" sd="1" x="3"/>
        <item t="data" sd="1" x="2"/>
        <item t="data" sd="1" x="4"/>
        <item t="data" sd="1" x="0"/>
        <item t="default" sd="1"/>
      </items>
    </pivotField>
    <pivotField axis="axisRow" showDropDowns="1" compact="0" outline="1" subtotalTop="0" dragToRow="1" dragToCol="1" dragToPage="1" dragToData="1" dragOff="1" showAll="0" topAutoShow="1" itemPageCount="10" sortType="manual" defaultSubtotal="1">
      <items count="10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8"/>
        <item t="data" sd="1" x="0"/>
        <item t="default" sd="1"/>
      </items>
    </pivotField>
    <pivotField showDropDowns="1" compact="0" outline="1" subtotalTop="0" dragToRow="1" dragToCol="1" dragToPage="1" dragToData="1" dragOff="1" showAll="0" topAutoShow="1" itemPageCount="10" sortType="manual" defaultSubtotal="1"/>
    <pivotField showDropDowns="1" compact="0" outline="1" subtotalTop="0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1" subtotalTop="0" dragToRow="1" dragToCol="1" dragToPage="1" dragToData="1" dragOff="1" showAll="0" topAutoShow="1" itemPageCount="10" sortType="manual" defaultSubtotal="1"/>
    <pivotField axis="axisRow" showDropDowns="1" compact="0" outline="1" subtotalTop="0" dragToRow="1" dragToCol="1" dragToPage="1" dragToData="1" dragOff="1" showAll="0" topAutoShow="1" itemPageCount="10" sortType="manual" defaultSubtotal="1">
      <items count="7">
        <item t="data" sd="1" x="0"/>
        <item t="data" sd="1" x="2"/>
        <item t="data" sd="1" x="1"/>
        <item t="data" sd="1" x="3"/>
        <item t="data" sd="1" x="4"/>
        <item t="data" sd="1" x="5"/>
        <item t="default" sd="1"/>
      </items>
    </pivotField>
    <pivotField dataField="1" showDropDowns="1" compact="0" outline="1" subtotalTop="0" dragToRow="1" dragToCol="1" dragToPage="1" dragToData="1" dragOff="1" showAll="0" topAutoShow="1" itemPageCount="10" sortType="manual" defaultSubtotal="1"/>
    <pivotField showDropDowns="1" compact="0" outline="1" subtotalTop="0" dragToRow="1" dragToCol="1" dragToPage="1" dragToData="1" dragOff="1" showAll="0" topAutoShow="1" itemPageCount="10" sortType="manual" defaultSubtotal="1"/>
    <pivotField showDropDowns="1" compact="0" outline="1" subtotalTop="0" dragToRow="1" dragToCol="1" dragToPage="1" dragToData="1" dragOff="1" showAll="0" topAutoShow="1" itemPageCount="10" sortType="manual" defaultSubtotal="1"/>
    <pivotField showDropDowns="1" compact="0" outline="1" subtotalTop="0" dragToRow="1" dragToCol="1" dragToPage="1" dragToData="1" dragOff="1" showAll="0" topAutoShow="1" itemPageCount="10" sortType="manual" defaultSubtotal="1"/>
    <pivotField showDropDowns="1" compact="0" outline="1" subtotalTop="0" dragToRow="1" dragToCol="1" dragToPage="1" dragToData="1" dragOff="1" showAll="0" topAutoShow="1" itemPageCount="10" sortType="manual" defaultSubtotal="1"/>
    <pivotField showDropDowns="1" compact="0" outline="1" subtotalTop="0" dragToRow="1" dragToCol="1" dragToPage="1" dragToData="1" dragOff="1" showAll="0" topAutoShow="1" itemPageCount="10" sortType="manual" defaultSubtotal="1"/>
    <pivotField showDropDowns="1" compact="0" outline="1" subtotalTop="0" dragToRow="1" dragToCol="1" dragToPage="1" dragToData="1" dragOff="1" showAll="0" topAutoShow="1" itemPageCount="10" sortType="manual" defaultSubtotal="1"/>
    <pivotField showDropDowns="1" compact="0" outline="1" subtotalTop="0" dragToRow="1" dragToCol="1" dragToPage="1" dragToData="1" dragOff="1" showAll="0" topAutoShow="1" itemPageCount="10" sortType="manual" defaultSubtotal="1"/>
    <pivotField showDropDowns="1" compact="0" outline="1" subtotalTop="0" dragToRow="1" dragToCol="1" dragToPage="1" dragToData="1" dragOff="1" showAll="0" topAutoShow="1" itemPageCount="10" sortType="manual" defaultSubtotal="1"/>
  </pivotFields>
  <rowFields count="2">
    <field x="9"/>
    <field x="5"/>
  </rowFields>
  <rowItems count="23">
    <i t="data" r="0" i="0">
      <x v="0"/>
    </i>
    <i t="data" r="1" i="0">
      <x v="8"/>
    </i>
    <i t="default" r="0" i="0">
      <x v="0"/>
    </i>
    <i t="data" r="0" i="0">
      <x v="1"/>
    </i>
    <i t="data" r="1" i="0">
      <x v="0"/>
    </i>
    <i t="data" r="1" i="0">
      <x v="1"/>
    </i>
    <i t="data" r="1" i="0">
      <x v="2"/>
    </i>
    <i t="data" r="1" i="0">
      <x v="6"/>
    </i>
    <i t="default" r="0" i="0">
      <x v="1"/>
    </i>
    <i t="data" r="0" i="0">
      <x v="2"/>
    </i>
    <i t="data" r="1" i="0">
      <x v="4"/>
    </i>
    <i t="default" r="0" i="0">
      <x v="2"/>
    </i>
    <i t="data" r="0" i="0">
      <x v="3"/>
    </i>
    <i t="data" r="1" i="0">
      <x v="8"/>
    </i>
    <i t="default" r="0" i="0">
      <x v="3"/>
    </i>
    <i t="data" r="0" i="0">
      <x v="4"/>
    </i>
    <i t="data" r="1" i="0">
      <x v="5"/>
    </i>
    <i t="default" r="0" i="0">
      <x v="4"/>
    </i>
    <i t="data" r="0" i="0">
      <x v="5"/>
    </i>
    <i t="data" r="1" i="0">
      <x v="3"/>
    </i>
    <i t="data" r="1" i="0">
      <x v="7"/>
    </i>
    <i t="default" r="0" i="0">
      <x v="5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HelperCarveOuts" cacheId="2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9" firstHeaderRow="1" firstDataRow="2" firstDataCol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>
      <items count="6">
        <item t="data" sd="1" x="1"/>
        <item t="data" sd="1" x="3"/>
        <item t="data" sd="1" x="2"/>
        <item t="data" sd="1" x="4"/>
        <item t="data" sd="1" x="0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measureFilter="1" itemPageCount="10" sortType="manual" defaultSubtotal="1">
      <items count="8">
        <item t="data" sd="1" x="1"/>
        <item t="data" sd="1" x="3"/>
        <item t="data" sd="1" x="0"/>
        <item t="data" sd="1" x="6"/>
        <item t="data" sd="1" x="2"/>
        <item t="data" sd="1" x="5"/>
        <item t="data" sd="1" x="4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6"/>
  </rowFields>
  <rowItems count="3">
    <i t="data" r="0" i="0">
      <x v="2"/>
    </i>
    <i t="data" r="0" i="0">
      <x v="4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dataFields count="1">
    <dataField name="Sum of Helper_Amount" fld="11" subtotal="sum" showDataAs="normal" baseField="0" baseItem="0" numFmtId="3"/>
  </dataFields>
  <pivotTableStyleInfo name="PivotStyleLight16" showRowHeaders="1" showColHeaders="1" showRowStripes="0" showColStripes="0" showLastColumn="1"/>
  <filters count="1">
    <filter fld="16" type="valueGreaterThan" evalOrder="-1" id="1" iMeasureFld="0">
      <autoFilter ref="A1">
        <filterColumn colId="0" hiddenButton="0" showButton="1">
          <customFilters>
            <customFilter val="0" operator="greaterThan"/>
          </customFilters>
        </filterColumn>
      </autoFilter>
    </filter>
  </filters>
</pivotTableDefinition>
</file>

<file path=xl/tables/table1.xml><?xml version="1.0" encoding="utf-8"?>
<table xmlns="http://schemas.openxmlformats.org/spreadsheetml/2006/main" id="1" name="tblMaster_Inputs" displayName="tblMaster_Inputs" ref="A4:S18" headerRowCount="1">
  <autoFilter ref="A4:S18"/>
  <tableColumns count="19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Activity_Type"/>
    <tableColumn id="9" name="Provenance"/>
    <tableColumn id="10" name="Payor"/>
    <tableColumn id="11" name="Baseline_Amount"/>
    <tableColumn id="12" name="Helper_Amount"/>
    <tableColumn id="20" name="Helper_Treatment" dataDxfId="55"/>
    <tableColumn id="13" name="SE_Subject"/>
    <tableColumn id="14" name="NIIT_Class"/>
    <tableColumn id="15" name="QBI_Eligible"/>
    <tableColumn id="16" name="Primary_Line"/>
    <tableColumn id="18" name="Consider"/>
    <tableColumn id="1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sFiled" displayName="tblAsFiled" ref="B5:O14" headerRowCount="1" totalsRowShown="0">
  <autoFilter ref="B5:O14"/>
  <tableColumns count="14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Provenance"/>
    <tableColumn id="9" name="Payor"/>
    <tableColumn id="10" name="Filed_Amount" dataDxfId="54"/>
    <tableColumn id="11" name="Helper_Amount" dataDxfId="53"/>
    <tableColumn id="12" name="Helper_Treatment"/>
    <tableColumn id="13" name="Primary_Lin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Y2023_Strategies" displayName="tblY2023_Strategies" ref="A5:G20" headerRowCount="1" totalsRowShown="0" dataDxfId="34">
  <autoFilter ref="A5:G20"/>
  <tableColumns count="7">
    <tableColumn id="1" name="StrategyID" dataDxfId="40"/>
    <tableColumn id="2" name="Strategy Name" dataDxfId="39"/>
    <tableColumn id="3" name="TargetLine" dataDxfId="38"/>
    <tableColumn id="4" name="Amount" dataDxfId="37"/>
    <tableColumn id="5" name="Status" dataDxfId="36"/>
    <tableColumn id="6" name="Notes" dataDxfId="35"/>
    <tableColumn id="7" name="CounterLine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Y2024_Strategies" displayName="tblY2024_Strategies" ref="A5:G20" headerRowCount="1" totalsRowShown="0" dataDxfId="27">
  <autoFilter ref="A5:G20"/>
  <tableColumns count="7">
    <tableColumn id="1" name="StrategyID" dataDxfId="33"/>
    <tableColumn id="2" name="Strategy Name" dataDxfId="32"/>
    <tableColumn id="3" name="TargetLine" dataDxfId="31"/>
    <tableColumn id="4" name="Amount" dataDxfId="30"/>
    <tableColumn id="5" name="Status" dataDxfId="29"/>
    <tableColumn id="6" name="Notes" dataDxfId="28"/>
    <tableColumn id="7" name="CounterLine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Y2025_Strategies" displayName="tblY2025_Strategies" ref="A5:G20" headerRowCount="1" totalsRowShown="0" dataDxfId="41">
  <autoFilter ref="A5:G20"/>
  <tableColumns count="7">
    <tableColumn id="1" name="StrategyID" dataDxfId="47"/>
    <tableColumn id="2" name="Strategy Name" dataDxfId="46"/>
    <tableColumn id="3" name="TargetLine" dataDxfId="45"/>
    <tableColumn id="4" name="Amount" dataDxfId="44"/>
    <tableColumn id="5" name="Status" dataDxfId="43"/>
    <tableColumn id="6" name="Notes" dataDxfId="42"/>
    <tableColumn id="7" name="CounterLine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Y2026_Strategies" displayName="tblY2026_Strategies" ref="A5:G20" headerRowCount="1" totalsRowShown="0" dataDxfId="20">
  <autoFilter ref="A5:G20"/>
  <tableColumns count="7">
    <tableColumn id="1" name="StrategyID" dataDxfId="26"/>
    <tableColumn id="2" name="Strategy Name" dataDxfId="25"/>
    <tableColumn id="3" name="TargetLine" dataDxfId="24"/>
    <tableColumn id="4" name="Amount" dataDxfId="23"/>
    <tableColumn id="5" name="Status" dataDxfId="22"/>
    <tableColumn id="6" name="Notes" dataDxfId="21"/>
    <tableColumn id="7" name="CounterLine" dataDxf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Y2027_Strategies" displayName="tblY2027_Strategies" ref="A5:G20" headerRowCount="1" totalsRowShown="0" dataDxfId="13">
  <autoFilter ref="A5:G20"/>
  <tableColumns count="7">
    <tableColumn id="1" name="StrategyID" dataDxfId="19"/>
    <tableColumn id="2" name="Strategy Name" dataDxfId="18"/>
    <tableColumn id="3" name="TargetLine" dataDxfId="17"/>
    <tableColumn id="4" name="Amount" dataDxfId="16"/>
    <tableColumn id="5" name="Status" dataDxfId="15"/>
    <tableColumn id="6" name="Notes" dataDxfId="14"/>
    <tableColumn id="7" name="CounterLine" dataDxfId="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Y2028_Strategies" displayName="tblY2028_Strategies" ref="A5:G20" headerRowCount="1" totalsRowShown="0" dataDxfId="6">
  <autoFilter ref="A5:G20"/>
  <tableColumns count="7">
    <tableColumn id="1" name="StrategyID" dataDxfId="12"/>
    <tableColumn id="2" name="Strategy Name" dataDxfId="11"/>
    <tableColumn id="3" name="TargetLine" dataDxfId="10"/>
    <tableColumn id="4" name="Amount" dataDxfId="9"/>
    <tableColumn id="5" name="Status" dataDxfId="8"/>
    <tableColumn id="6" name="Notes" dataDxfId="7"/>
    <tableColumn id="7" name="CounterLine" dataDxfId="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rackets_FIT" displayName="tblBrackets_FIT" ref="B8:G176" headerRowCount="1" totalsRowShown="0">
  <autoFilter ref="B8:G176"/>
  <tableColumns count="6">
    <tableColumn id="1" name="Year" dataDxfId="50"/>
    <tableColumn id="2" name="FilingStatus"/>
    <tableColumn id="3" name="Lower"/>
    <tableColumn id="4" name="Upper"/>
    <tableColumn id="5" name="Rate"/>
    <tableColumn id="6" name="Add_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tdDed" displayName="tblStdDed" ref="B181:D205" headerRowCount="1" totalsRowShown="0">
  <autoFilter ref="B181:D205"/>
  <tableColumns count="3">
    <tableColumn id="1" name="Year" dataDxfId="52"/>
    <tableColumn id="2" name="FilingStatus"/>
    <tableColumn id="3" name="Amount" dataDxfId="5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Brackets_LTCG" displayName="tblBrackets_LTCG" ref="B209:F281" headerRowCount="1" totalsRowShown="0">
  <autoFilter ref="B209:F281"/>
  <tableColumns count="5">
    <tableColumn id="1" name="Year" dataDxfId="49"/>
    <tableColumn id="2" name="FilingStatus"/>
    <tableColumn id="3" name="Lower"/>
    <tableColumn id="4" name="Upper"/>
    <tableColumn id="5" name="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Thresholds" displayName="tblThresholds" ref="B285:E573" headerRowCount="1" totalsRowShown="0">
  <autoFilter ref="B285:E573"/>
  <tableColumns count="4">
    <tableColumn id="1" name="Year" dataDxfId="48"/>
    <tableColumn id="2" name="FilingStatus"/>
    <tableColumn id="3" name="Item"/>
    <tableColumn id="4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TreatmentProfileMap" displayName="tblTreatmentProfileMap" ref="B578:J612" headerRowCount="1" totalsRowShown="0">
  <autoFilter ref="B578:J612"/>
  <tableColumns count="9">
    <tableColumn id="1" name="Profile"/>
    <tableColumn id="2" name="Bucket"/>
    <tableColumn id="3" name="SE_Subject"/>
    <tableColumn id="4" name="NIIT_Class"/>
    <tableColumn id="5" name="QBI_Eligible"/>
    <tableColumn id="6" name="Primary_Line"/>
    <tableColumn id="7" name="Helper_Treatment"/>
    <tableColumn id="8" name="Consider_Prompt"/>
    <tableColumn id="9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7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18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19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20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Relationship Type="http://schemas.openxmlformats.org/officeDocument/2006/relationships/table" Target="/xl/tables/table13.xml" Id="rId5" /></Relationships>
</file>

<file path=xl/worksheets/sheet1.xml><?xml version="1.0" encoding="utf-8"?>
<worksheet xmlns="http://schemas.openxmlformats.org/spreadsheetml/2006/main">
  <sheetPr>
    <tabColor rgb="FF228B22"/>
    <outlinePr summaryBelow="1" summaryRight="1"/>
    <pageSetUpPr/>
  </sheetPr>
  <dimension ref="B2:D80"/>
  <sheetViews>
    <sheetView workbookViewId="0">
      <selection activeCell="C27" sqref="C27"/>
    </sheetView>
  </sheetViews>
  <sheetFormatPr baseColWidth="8" defaultRowHeight="14.5"/>
  <cols>
    <col width="36.36328125" customWidth="1" style="19" min="2" max="2"/>
    <col width="32.7265625" customWidth="1" style="19" min="3" max="3"/>
    <col width="45.453125" customWidth="1" style="19" min="4" max="4"/>
  </cols>
  <sheetData>
    <row r="2" ht="18.5" customHeight="1" s="19">
      <c r="B2" s="15" t="inlineStr">
        <is>
          <t>TAX WORKBOOK — CONTROL PANEL</t>
        </is>
      </c>
    </row>
    <row r="3">
      <c r="B3" s="88" t="inlineStr">
        <is>
          <t>Settings, navigation, and input reference — start here.</t>
        </is>
      </c>
    </row>
    <row r="5">
      <c r="B5" s="82" t="inlineStr">
        <is>
          <t>▸ SETTINGS</t>
        </is>
      </c>
    </row>
    <row r="6">
      <c r="C6" s="60" t="n"/>
    </row>
    <row r="7">
      <c r="B7" s="61" t="inlineStr">
        <is>
          <t>PLAN STATUS</t>
        </is>
      </c>
      <c r="C7" s="61" t="n"/>
      <c r="D7" s="62" t="n"/>
    </row>
    <row r="8">
      <c r="B8" s="83" t="inlineStr">
        <is>
          <t>Plan Year</t>
        </is>
      </c>
      <c r="C8" s="87" t="n">
        <v>2025</v>
      </c>
    </row>
    <row r="9">
      <c r="B9" s="84" t="inlineStr">
        <is>
          <t>Plan Maturity</t>
        </is>
      </c>
      <c r="C9" s="87" t="inlineStr">
        <is>
          <t>Standard Assumptions</t>
        </is>
      </c>
    </row>
    <row r="10">
      <c r="B10" s="84" t="inlineStr">
        <is>
          <t>Engagement Leader</t>
        </is>
      </c>
      <c r="C10" s="66" t="inlineStr">
        <is>
          <t>TBD</t>
        </is>
      </c>
    </row>
    <row r="11">
      <c r="B11" s="84" t="inlineStr">
        <is>
          <t>Active Client</t>
        </is>
      </c>
      <c r="C11" s="66" t="inlineStr">
        <is>
          <t>SAMPLE</t>
        </is>
      </c>
    </row>
    <row r="12">
      <c r="B12" s="84" t="inlineStr">
        <is>
          <t>Last Refresh</t>
        </is>
      </c>
      <c r="C12" s="89" t="n">
        <v>46161</v>
      </c>
    </row>
    <row r="13" ht="15.5" customHeight="1" s="19">
      <c r="B13" s="99" t="n"/>
      <c r="C13" s="65" t="n"/>
    </row>
    <row r="14">
      <c r="B14" s="61" t="inlineStr">
        <is>
          <t>TAX PROFILE</t>
        </is>
      </c>
      <c r="C14" s="61" t="n"/>
      <c r="D14" s="62" t="n"/>
    </row>
    <row r="15">
      <c r="B15" s="85" t="inlineStr">
        <is>
          <t>Filing Status</t>
        </is>
      </c>
      <c r="C15" s="66" t="inlineStr">
        <is>
          <t>MFJ</t>
        </is>
      </c>
    </row>
    <row r="16">
      <c r="B16" s="86" t="inlineStr">
        <is>
          <t>State of Residence</t>
        </is>
      </c>
      <c r="C16" s="66" t="inlineStr">
        <is>
          <t>UT</t>
        </is>
      </c>
    </row>
    <row r="17">
      <c r="B17" s="86" t="inlineStr">
        <is>
          <t>Taxpayer Age</t>
        </is>
      </c>
      <c r="C17" s="66" t="n">
        <v>42</v>
      </c>
    </row>
    <row r="18">
      <c r="B18" s="86" t="inlineStr">
        <is>
          <t>Spouse Age</t>
        </is>
      </c>
      <c r="C18" s="66" t="n">
        <v>40</v>
      </c>
    </row>
    <row r="19">
      <c r="B19" s="86" t="inlineStr">
        <is>
          <t>Dependent Children</t>
        </is>
      </c>
      <c r="C19" s="66" t="n">
        <v>2</v>
      </c>
    </row>
    <row r="20">
      <c r="B20" s="86" t="inlineStr">
        <is>
          <t>REPS Qualified</t>
        </is>
      </c>
      <c r="C20" s="66" t="inlineStr">
        <is>
          <t>No</t>
        </is>
      </c>
    </row>
    <row r="21">
      <c r="B21" s="86" t="inlineStr">
        <is>
          <t>Business is SSTB?</t>
        </is>
      </c>
      <c r="C21" s="66" t="inlineStr">
        <is>
          <t>No</t>
        </is>
      </c>
    </row>
    <row r="23">
      <c r="B23" s="67" t="inlineStr">
        <is>
          <t>▸ ACTIVE YEAR SNAPSHOT</t>
        </is>
      </c>
    </row>
    <row r="24">
      <c r="B24" s="86" t="inlineStr">
        <is>
          <t>AGI</t>
        </is>
      </c>
      <c r="C24" s="27">
        <f t="array" ref="C24">TEXT(AGI,"$#,##0")</f>
        <v/>
      </c>
    </row>
    <row r="25">
      <c r="B25" s="86" t="inlineStr">
        <is>
          <t>Taxable Income</t>
        </is>
      </c>
      <c r="C25" s="27">
        <f t="array" ref="C25">TEXT(TaxableIncome,"$#,##0")</f>
        <v/>
      </c>
    </row>
    <row r="26">
      <c r="B26" s="86" t="inlineStr">
        <is>
          <t>Effective Rate</t>
        </is>
      </c>
      <c r="C26" s="27">
        <f t="array" ref="C26">TEXT(IFERROR(INDIRECT("Y"&amp;Active_Year&amp;"!I130"),0),"0.0%")</f>
        <v/>
      </c>
    </row>
    <row r="27">
      <c r="B27" s="86" t="inlineStr">
        <is>
          <t>Total Tax</t>
        </is>
      </c>
      <c r="C27" s="27">
        <f t="array" ref="C27">TEXT(IFERROR(INDIRECT("Y"&amp;Active_Year&amp;"!I129"),0),"$#,##0")</f>
        <v/>
      </c>
    </row>
    <row r="28">
      <c r="B28" s="86" t="inlineStr">
        <is>
          <t>QBI Deduction</t>
        </is>
      </c>
      <c r="C28" s="27">
        <f t="array" ref="C28">TEXT(QBI_Deduction,"($#,##0)")</f>
        <v/>
      </c>
    </row>
    <row r="30" ht="15.5" customHeight="1" s="19">
      <c r="B30" s="68" t="inlineStr">
        <is>
          <t>▸ NAVIGATION</t>
        </is>
      </c>
    </row>
    <row r="32">
      <c r="B32" s="75" t="inlineStr">
        <is>
          <t>INPUT / CONFIG</t>
        </is>
      </c>
      <c r="C32" s="75" t="n"/>
    </row>
    <row r="33">
      <c r="B33" s="76">
        <f>HYPERLINK("#Master_Inputs!A1", "Master_Inputs")</f>
        <v/>
      </c>
      <c r="C33" s="63" t="inlineStr">
        <is>
          <t>Baseline income/deductions + committed strategies</t>
        </is>
      </c>
    </row>
    <row r="34">
      <c r="B34" s="76">
        <f>HYPERLINK("#AsFiled!A1", "AsFiled")</f>
        <v/>
      </c>
      <c r="C34" s="63" t="inlineStr">
        <is>
          <t>Filed return data by year for PY reconciliation</t>
        </is>
      </c>
    </row>
    <row r="35">
      <c r="B35" s="76">
        <f>HYPERLINK("#Carryovers!A1", "Carryovers")</f>
        <v/>
      </c>
      <c r="C35" s="63" t="inlineStr">
        <is>
          <t>PAL, CL, NOL manual inputs + calculator</t>
        </is>
      </c>
    </row>
    <row r="37">
      <c r="B37" s="48" t="inlineStr">
        <is>
          <t>YEAR SANDBOXES</t>
        </is>
      </c>
      <c r="C37" s="48" t="n"/>
    </row>
    <row r="38">
      <c r="B38" s="76">
        <f>HYPERLINK("#Y2023!A1", "Y2023")</f>
        <v/>
      </c>
      <c r="C38" s="63" t="inlineStr">
        <is>
          <t>Strategies (A5:F10), rollup, 7-calculator</t>
        </is>
      </c>
    </row>
    <row r="39">
      <c r="B39" s="76">
        <f>HYPERLINK("#Y2024!A1", "Y2024")</f>
        <v/>
      </c>
      <c r="C39" s="63" t="inlineStr">
        <is>
          <t>Strategies (A5:F10), rollup, 7-calculator</t>
        </is>
      </c>
    </row>
    <row r="40">
      <c r="B40" s="76">
        <f>HYPERLINK("#Y2025!A1", "Y2025")</f>
        <v/>
      </c>
      <c r="C40" s="63" t="inlineStr">
        <is>
          <t>Strategies (A5:F10), rollup, 7-calculator</t>
        </is>
      </c>
    </row>
    <row r="41">
      <c r="B41" s="76">
        <f>HYPERLINK("#Y2026!A1", "Y2026")</f>
        <v/>
      </c>
      <c r="C41" s="63" t="inlineStr">
        <is>
          <t>Strategies (A5:F10), rollup, 7-calculator</t>
        </is>
      </c>
    </row>
    <row r="42">
      <c r="B42" s="76">
        <f>HYPERLINK("#Y2027!A1", "Y2027")</f>
        <v/>
      </c>
      <c r="C42" s="63" t="inlineStr">
        <is>
          <t>Strategies (A5:F10), rollup, 7-calculator</t>
        </is>
      </c>
    </row>
    <row r="43">
      <c r="B43" s="76">
        <f>HYPERLINK("#Y2028!A1", "Y2028")</f>
        <v/>
      </c>
      <c r="C43" s="63" t="inlineStr">
        <is>
          <t>Strategies (A5:F10), rollup, 7-calculator</t>
        </is>
      </c>
    </row>
    <row r="45">
      <c r="B45" s="77" t="inlineStr">
        <is>
          <t>DASHBOARDS / RECON</t>
        </is>
      </c>
      <c r="C45" s="77" t="n"/>
    </row>
    <row r="46">
      <c r="B46" s="76">
        <f>HYPERLINK("#Tax_Plan_Dashboard!A1", "Tax_Plan_Dashboard")</f>
        <v/>
      </c>
      <c r="C46" s="63" t="inlineStr">
        <is>
          <t>KPIs + charts with year dropdown</t>
        </is>
      </c>
    </row>
    <row r="47">
      <c r="B47" s="76">
        <f>HYPERLINK("#PY_Recon!A1", "PY_Recon")</f>
        <v/>
      </c>
      <c r="C47" s="63" t="inlineStr">
        <is>
          <t>Prior year baseline vs AsFiled reconciliation</t>
        </is>
      </c>
    </row>
    <row r="48">
      <c r="B48" s="76">
        <f>HYPERLINK("#Pivot_GPD!A1", "Pivot_GPD")</f>
        <v/>
      </c>
      <c r="C48" s="63" t="inlineStr">
        <is>
          <t>Multi-year GETPIVOTDATA bridge + VP_ named ranges</t>
        </is>
      </c>
    </row>
    <row r="50">
      <c r="B50" s="78" t="inlineStr">
        <is>
          <t>PIVOT ENGINE (do not modify)</t>
        </is>
      </c>
      <c r="C50" s="78" t="n"/>
    </row>
    <row r="51">
      <c r="B51" s="76">
        <f>HYPERLINK("#Pivot_Summary!A1", "Pivot_Summary")</f>
        <v/>
      </c>
      <c r="C51" s="63" t="inlineStr">
        <is>
          <t>SUMIFS grid: 1040 lines × years</t>
        </is>
      </c>
    </row>
    <row r="52">
      <c r="B52" s="76">
        <f>HYPERLINK("#Pivot_Medium!A1", "Pivot_Medium")</f>
        <v/>
      </c>
      <c r="C52" s="63" t="inlineStr">
        <is>
          <t>SUMIFS grid: Line 8 breakout by treatment</t>
        </is>
      </c>
    </row>
    <row r="53">
      <c r="B53" s="76">
        <f>HYPERLINK("#Pivot_Detailed!A1", "Pivot_Detailed")</f>
        <v/>
      </c>
      <c r="C53" s="63" t="inlineStr">
        <is>
          <t>SUMIFS grid: informational lines (2a, 3a)</t>
        </is>
      </c>
    </row>
    <row r="54">
      <c r="B54" s="76">
        <f>HYPERLINK("#Pivot_Helpers!A1", "Pivot_Helpers")</f>
        <v/>
      </c>
      <c r="C54" s="63" t="inlineStr">
        <is>
          <t>SUMIFS grid: helper amounts × years</t>
        </is>
      </c>
    </row>
    <row r="56">
      <c r="B56" s="79" t="inlineStr">
        <is>
          <t>VISUAL PIVOTS</t>
        </is>
      </c>
      <c r="C56" s="79" t="n"/>
    </row>
    <row r="57">
      <c r="B57" s="76">
        <f>HYPERLINK("#Visual_Pivot_Income!A1", "Visual_Pivot_Income")</f>
        <v/>
      </c>
      <c r="C57" s="63" t="inlineStr">
        <is>
          <t>PivotTable: income by 1040 line</t>
        </is>
      </c>
    </row>
    <row r="58">
      <c r="B58" s="76">
        <f>HYPERLINK("#Visual_Pivot_BusinessIncome!A1", "Visual_Pivot_BusinessIncome")</f>
        <v/>
      </c>
      <c r="C58" s="63" t="inlineStr">
        <is>
          <t>PivotTable: business by treatment</t>
        </is>
      </c>
    </row>
    <row r="59">
      <c r="B59" s="76">
        <f>HYPERLINK("#Visual_Pivot_ByPayor!A1", "Visual_Pivot_ByPayor")</f>
        <v/>
      </c>
      <c r="C59" s="63" t="inlineStr">
        <is>
          <t>PivotTable: income by payor</t>
        </is>
      </c>
    </row>
    <row r="60">
      <c r="B60" s="76">
        <f>HYPERLINK("#Visual_Pivot_HelperCarveOuts!A1", "Visual_Pivot_HelperCarveOuts")</f>
        <v/>
      </c>
      <c r="C60" s="63" t="inlineStr">
        <is>
          <t>PivotTable: helper carve-outs</t>
        </is>
      </c>
    </row>
    <row r="62">
      <c r="B62" s="80" t="inlineStr">
        <is>
          <t>REFERENCE</t>
        </is>
      </c>
      <c r="C62" s="80" t="n"/>
    </row>
    <row r="63">
      <c r="B63" s="76">
        <f>HYPERLINK("#Tax_Ref!A1", "Tax_Ref")</f>
        <v/>
      </c>
      <c r="C63" s="63" t="inlineStr">
        <is>
          <t>Rate tables + Treatment_Profile_Map (5 tables)</t>
        </is>
      </c>
    </row>
    <row r="64">
      <c r="B64" s="76">
        <f>HYPERLINK("#Dropdown_Lists!A1", "Dropdown_Lists")</f>
        <v/>
      </c>
      <c r="C64" s="63" t="inlineStr">
        <is>
          <t>Validation source lists</t>
        </is>
      </c>
    </row>
    <row r="65">
      <c r="B65" s="76">
        <f>HYPERLINK("#Framework_Ref!A1", "Framework_Ref")</f>
        <v/>
      </c>
      <c r="C65" s="63" t="inlineStr">
        <is>
          <t>Canon v1.4 + Pecking Order + Strategies catalog</t>
        </is>
      </c>
    </row>
    <row r="66">
      <c r="B66" s="76">
        <f>HYPERLINK("#Glossary!A1", "Glossary")</f>
        <v/>
      </c>
      <c r="C66" s="63" t="inlineStr">
        <is>
          <t>100+ terms, PTET table + Tax Limitations</t>
        </is>
      </c>
    </row>
    <row r="67">
      <c r="B67" s="76">
        <f>HYPERLINK("#Questionnaire!A1", "Questionnaire")</f>
        <v/>
      </c>
      <c r="C67" s="63" t="inlineStr">
        <is>
          <t>26-question strategy intake (auto-detects from data)</t>
        </is>
      </c>
    </row>
    <row r="68">
      <c r="B68" s="76">
        <f>HYPERLINK("#Connections!A1", "Connections")</f>
        <v/>
      </c>
      <c r="C68" s="63" t="inlineStr">
        <is>
          <t>External file paths + extraction mapping</t>
        </is>
      </c>
    </row>
    <row r="69">
      <c r="B69" s="76">
        <f>HYPERLINK("#Projection_History!A1", "Projection_History")</f>
        <v/>
      </c>
      <c r="C69" s="63" t="inlineStr">
        <is>
          <t>Projected vs filed accuracy tracking</t>
        </is>
      </c>
    </row>
    <row r="70">
      <c r="B70" s="76">
        <f>HYPERLINK("#Change_Log!A1", "Change_Log")</f>
        <v/>
      </c>
      <c r="C70" s="63" t="inlineStr">
        <is>
          <t>Audit trail</t>
        </is>
      </c>
    </row>
    <row r="71">
      <c r="B71" s="76">
        <f>HYPERLINK("#Setup_Guide!A1", "Setup_Guide")</f>
        <v/>
      </c>
      <c r="C71" s="63" t="inlineStr">
        <is>
          <t>Onboarding + LAMBDA/VBA/Schema docs</t>
        </is>
      </c>
    </row>
    <row r="80">
      <c r="B80" s="76" t="n"/>
      <c r="C80" s="63" t="n"/>
    </row>
  </sheetData>
  <dataValidations count="5">
    <dataValidation sqref="C8" showDropDown="0" showInputMessage="1" showErrorMessage="1" allowBlank="1" promptTitle="Plan Year" prompt="Select active planning year" type="list">
      <formula1>"2023,2024,2025,2026,2027,2028"</formula1>
    </dataValidation>
    <dataValidation sqref="C9" showDropDown="0" showInputMessage="1" showErrorMessage="1" allowBlank="1" type="list">
      <formula1>"Standard Assumptions,Draft,Final,Filed"</formula1>
    </dataValidation>
    <dataValidation sqref="C15" showDropDown="0" showInputMessage="1" showErrorMessage="1" allowBlank="1" promptTitle="Filing Status" prompt="MFJ, MFS, Single, or HOH" type="list">
      <formula1>"MFJ,MFS,Single,HOH"</formula1>
    </dataValidation>
    <dataValidation sqref="C20 C21 C23 C24 C25 C26" showDropDown="0" showInputMessage="1" showErrorMessage="1" allowBlank="1" type="list">
      <formula1>"Yes,No"</formula1>
    </dataValidation>
    <dataValidation sqref="C28" showDropDown="0" showInputMessage="1" showErrorMessage="1" allowBlank="1" promptTitle="Retirement Plan" prompt="Select retirement plan type" type="list">
      <formula1>"None,Traditional IRA,Roth IRA,SEP-IRA,SIMPLE IRA,Solo 401(k),Self-Directed Solo 401(k),Defined Benefit Plan"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228B22"/>
    <outlinePr summaryBelow="1" summaryRight="1"/>
    <pageSetUpPr/>
  </sheetPr>
  <dimension ref="A1:S18"/>
  <sheetViews>
    <sheetView topLeftCell="J1" workbookViewId="0">
      <pane ySplit="4" topLeftCell="A5" activePane="bottomLeft" state="frozen"/>
      <selection pane="bottomLeft" activeCell="I22" sqref="I22"/>
    </sheetView>
  </sheetViews>
  <sheetFormatPr baseColWidth="8" defaultRowHeight="14.5"/>
  <cols>
    <col width="22" customWidth="1" style="19" min="1" max="1"/>
    <col width="7" customWidth="1" style="19" min="2" max="2"/>
    <col width="11" customWidth="1" style="19" min="3" max="3"/>
    <col width="18" customWidth="1" style="19" min="4" max="5"/>
    <col width="22" customWidth="1" style="19" min="6" max="7"/>
    <col width="14" customWidth="1" style="19" min="8" max="8"/>
    <col width="18" customWidth="1" style="19" min="9" max="9"/>
    <col width="22" customWidth="1" style="19" min="10" max="10"/>
    <col width="14" customWidth="1" style="19" min="11" max="13"/>
    <col width="11" customWidth="1" style="19" min="14" max="14"/>
    <col width="12" customWidth="1" style="19" min="15" max="15"/>
    <col width="13" customWidth="1" style="19" min="16" max="16"/>
    <col width="11" customWidth="1" style="19" min="17" max="17"/>
    <col width="30" customWidth="1" style="19" min="18" max="19"/>
  </cols>
  <sheetData>
    <row r="1" ht="18.5" customHeight="1" s="19">
      <c r="A1" s="1" t="inlineStr">
        <is>
          <t>MASTER INPUTS — committed baseline source-input items (one row per source document per year)</t>
        </is>
      </c>
    </row>
    <row r="2">
      <c r="A2" s="2" t="inlineStr">
        <is>
          <t>Adjustments and strategies live on the year sheet. Master is just where baseline data lives.</t>
        </is>
      </c>
    </row>
    <row r="4" ht="29" customHeight="1" s="19">
      <c r="A4" s="3" t="inlineStr">
        <is>
          <t>InputID</t>
        </is>
      </c>
      <c r="B4" s="3" t="inlineStr">
        <is>
          <t>Year</t>
        </is>
      </c>
      <c r="C4" s="3" t="inlineStr">
        <is>
          <t>ClientID</t>
        </is>
      </c>
      <c r="D4" s="3" t="inlineStr">
        <is>
          <t>ClientName</t>
        </is>
      </c>
      <c r="E4" s="3" t="inlineStr">
        <is>
          <t>Bucket</t>
        </is>
      </c>
      <c r="F4" s="3" t="inlineStr">
        <is>
          <t>Treatment_Profile</t>
        </is>
      </c>
      <c r="G4" s="3" t="inlineStr">
        <is>
          <t>Source_Document</t>
        </is>
      </c>
      <c r="H4" s="3" t="inlineStr">
        <is>
          <t>Activity_Type</t>
        </is>
      </c>
      <c r="I4" s="3" t="inlineStr">
        <is>
          <t>Provenance</t>
        </is>
      </c>
      <c r="J4" s="3" t="inlineStr">
        <is>
          <t>Payor</t>
        </is>
      </c>
      <c r="K4" s="3" t="inlineStr">
        <is>
          <t>Baseline_Amount</t>
        </is>
      </c>
      <c r="L4" s="3" t="inlineStr">
        <is>
          <t>Helper_Amount</t>
        </is>
      </c>
      <c r="M4" s="3" t="inlineStr">
        <is>
          <t>Helper_Treatment</t>
        </is>
      </c>
      <c r="N4" s="3" t="inlineStr">
        <is>
          <t>SE_Subject</t>
        </is>
      </c>
      <c r="O4" s="3" t="inlineStr">
        <is>
          <t>NIIT_Class</t>
        </is>
      </c>
      <c r="P4" s="3" t="inlineStr">
        <is>
          <t>QBI_Eligible</t>
        </is>
      </c>
      <c r="Q4" s="3" t="inlineStr">
        <is>
          <t>Primary_Line</t>
        </is>
      </c>
      <c r="R4" s="3" t="inlineStr">
        <is>
          <t>Consider</t>
        </is>
      </c>
      <c r="S4" s="3" t="inlineStr">
        <is>
          <t>Notes</t>
        </is>
      </c>
    </row>
    <row r="5">
      <c r="A5" s="4" t="inlineStr">
        <is>
          <t>CED|2024|Wages|01</t>
        </is>
      </c>
      <c r="B5" s="4" t="n">
        <v>2024</v>
      </c>
      <c r="C5" s="4" t="inlineStr">
        <is>
          <t>CEDILLO</t>
        </is>
      </c>
      <c r="D5" s="4" t="inlineStr">
        <is>
          <t>Ron Cedillo</t>
        </is>
      </c>
      <c r="E5" s="4" t="inlineStr">
        <is>
          <t>Wages</t>
        </is>
      </c>
      <c r="F5" s="4" t="inlineStr">
        <is>
          <t>W2_SCorpOwner</t>
        </is>
      </c>
      <c r="G5" s="4" t="inlineStr">
        <is>
          <t>W-2</t>
        </is>
      </c>
      <c r="H5" s="4" t="inlineStr">
        <is>
          <t>Baseline</t>
        </is>
      </c>
      <c r="I5" s="4" t="inlineStr">
        <is>
          <t>PBC - Reviewed</t>
        </is>
      </c>
      <c r="J5" s="4" t="inlineStr">
        <is>
          <t>Acme S-Corp</t>
        </is>
      </c>
      <c r="K5" s="4" t="n">
        <v>153648</v>
      </c>
      <c r="L5" s="4" t="n">
        <v>0</v>
      </c>
      <c r="M5" s="4" t="inlineStr">
        <is>
          <t>OWNER_PAY</t>
        </is>
      </c>
      <c r="N5" s="4" t="inlineStr">
        <is>
          <t>No</t>
        </is>
      </c>
      <c r="O5" s="4" t="inlineStr">
        <is>
          <t>Active</t>
        </is>
      </c>
      <c r="P5" s="4" t="inlineStr">
        <is>
          <t>No</t>
        </is>
      </c>
      <c r="Q5" s="4" t="inlineStr">
        <is>
          <t>1z</t>
        </is>
      </c>
      <c r="R5" s="4" t="inlineStr">
        <is>
          <t>Owner reasonable comp</t>
        </is>
      </c>
      <c r="S5" s="4" t="n"/>
    </row>
    <row r="6">
      <c r="A6" s="4" t="inlineStr">
        <is>
          <t>CED|2024|BI|01</t>
        </is>
      </c>
      <c r="B6" s="4" t="n">
        <v>2024</v>
      </c>
      <c r="C6" s="4" t="inlineStr">
        <is>
          <t>CEDILLO</t>
        </is>
      </c>
      <c r="D6" s="4" t="inlineStr">
        <is>
          <t>Ron Cedillo</t>
        </is>
      </c>
      <c r="E6" s="4" t="inlineStr">
        <is>
          <t>Business Income</t>
        </is>
      </c>
      <c r="F6" s="4" t="inlineStr">
        <is>
          <t>K1_PTP_Passive</t>
        </is>
      </c>
      <c r="G6" s="4" t="inlineStr">
        <is>
          <t>K-1</t>
        </is>
      </c>
      <c r="H6" s="4" t="inlineStr">
        <is>
          <t>Baseline</t>
        </is>
      </c>
      <c r="I6" s="4" t="inlineStr">
        <is>
          <t>PBC - Reviewed</t>
        </is>
      </c>
      <c r="J6" s="4" t="inlineStr">
        <is>
          <t>Cedillo Partnership</t>
        </is>
      </c>
      <c r="K6" s="4" t="n">
        <v>-100766</v>
      </c>
      <c r="L6" s="4" t="n">
        <v>0</v>
      </c>
      <c r="M6" s="4" t="inlineStr">
        <is>
          <t>K1_SPLIT</t>
        </is>
      </c>
      <c r="N6" s="4" t="inlineStr">
        <is>
          <t>No</t>
        </is>
      </c>
      <c r="O6" s="4" t="inlineStr">
        <is>
          <t>Passive</t>
        </is>
      </c>
      <c r="P6" s="4" t="inlineStr">
        <is>
          <t>Yes</t>
        </is>
      </c>
      <c r="Q6" s="4" t="inlineStr">
        <is>
          <t>8</t>
        </is>
      </c>
      <c r="R6" s="4" t="inlineStr">
        <is>
          <t>Passive loss</t>
        </is>
      </c>
      <c r="S6" s="4" t="n"/>
    </row>
    <row r="7">
      <c r="A7" s="4" t="inlineStr">
        <is>
          <t>CED|2024|II|01</t>
        </is>
      </c>
      <c r="B7" s="4" t="n">
        <v>2024</v>
      </c>
      <c r="C7" s="4" t="inlineStr">
        <is>
          <t>CEDILLO</t>
        </is>
      </c>
      <c r="D7" s="4" t="inlineStr">
        <is>
          <t>Ron Cedillo</t>
        </is>
      </c>
      <c r="E7" s="4" t="inlineStr">
        <is>
          <t>Investment Income</t>
        </is>
      </c>
      <c r="F7" s="4" t="inlineStr">
        <is>
          <t>Div_Ordinary</t>
        </is>
      </c>
      <c r="G7" s="4" t="inlineStr">
        <is>
          <t>1099-DIV</t>
        </is>
      </c>
      <c r="H7" s="4" t="inlineStr">
        <is>
          <t>Baseline</t>
        </is>
      </c>
      <c r="I7" s="4" t="inlineStr">
        <is>
          <t>PBC - Reviewed</t>
        </is>
      </c>
      <c r="J7" s="4" t="inlineStr">
        <is>
          <t>Brokerage</t>
        </is>
      </c>
      <c r="K7" s="4" t="n">
        <v>25922</v>
      </c>
      <c r="L7" s="4" t="n">
        <v>0</v>
      </c>
      <c r="M7" s="4" t="inlineStr">
        <is>
          <t>QUAL_DIV</t>
        </is>
      </c>
      <c r="N7" s="4" t="inlineStr">
        <is>
          <t>No</t>
        </is>
      </c>
      <c r="O7" s="4" t="inlineStr">
        <is>
          <t>Portfolio</t>
        </is>
      </c>
      <c r="P7" s="4" t="inlineStr">
        <is>
          <t>No</t>
        </is>
      </c>
      <c r="Q7" s="4" t="inlineStr">
        <is>
          <t>3b</t>
        </is>
      </c>
      <c r="R7" s="4" t="inlineStr">
        <is>
          <t>All non-qualified</t>
        </is>
      </c>
      <c r="S7" s="4" t="n"/>
    </row>
    <row r="8">
      <c r="A8" s="4" t="inlineStr">
        <is>
          <t>CED|2024|CG|01</t>
        </is>
      </c>
      <c r="B8" s="4" t="n">
        <v>2024</v>
      </c>
      <c r="C8" s="4" t="inlineStr">
        <is>
          <t>CEDILLO</t>
        </is>
      </c>
      <c r="D8" s="4" t="inlineStr">
        <is>
          <t>Ron Cedillo</t>
        </is>
      </c>
      <c r="E8" s="4" t="inlineStr">
        <is>
          <t>Capital Gains</t>
        </is>
      </c>
      <c r="F8" s="4" t="inlineStr">
        <is>
          <t>LTCG_Stock</t>
        </is>
      </c>
      <c r="G8" s="4" t="inlineStr">
        <is>
          <t>1099-B</t>
        </is>
      </c>
      <c r="H8" s="4" t="inlineStr">
        <is>
          <t>Baseline</t>
        </is>
      </c>
      <c r="I8" s="4" t="inlineStr">
        <is>
          <t>PBC - Reviewed</t>
        </is>
      </c>
      <c r="J8" s="4" t="inlineStr">
        <is>
          <t>Brokerage</t>
        </is>
      </c>
      <c r="K8" s="4" t="n">
        <v>14487</v>
      </c>
      <c r="L8" s="4" t="n">
        <v>0</v>
      </c>
      <c r="M8" s="4" t="inlineStr">
        <is>
          <t>LTCG_SPLIT</t>
        </is>
      </c>
      <c r="N8" s="4" t="inlineStr">
        <is>
          <t>No</t>
        </is>
      </c>
      <c r="O8" s="4" t="inlineStr">
        <is>
          <t>Portfolio</t>
        </is>
      </c>
      <c r="P8" s="4" t="inlineStr">
        <is>
          <t>No</t>
        </is>
      </c>
      <c r="Q8" s="4" t="inlineStr">
        <is>
          <t>7</t>
        </is>
      </c>
      <c r="R8" s="4" t="inlineStr">
        <is>
          <t>All long-term</t>
        </is>
      </c>
      <c r="S8" s="4" t="n"/>
    </row>
    <row r="9">
      <c r="A9" s="4" t="inlineStr">
        <is>
          <t>SAM|2025|Wages|01</t>
        </is>
      </c>
      <c r="B9" s="4" t="n">
        <v>2025</v>
      </c>
      <c r="C9" s="4" t="inlineStr">
        <is>
          <t>SAMPLE</t>
        </is>
      </c>
      <c r="D9" s="4" t="inlineStr">
        <is>
          <t>Sample Client</t>
        </is>
      </c>
      <c r="E9" s="4" t="inlineStr">
        <is>
          <t>Wages</t>
        </is>
      </c>
      <c r="F9" s="4" t="inlineStr">
        <is>
          <t>W2_SCorpOwner</t>
        </is>
      </c>
      <c r="G9" s="4" t="inlineStr">
        <is>
          <t>W-2</t>
        </is>
      </c>
      <c r="H9" s="4" t="inlineStr">
        <is>
          <t>Baseline</t>
        </is>
      </c>
      <c r="I9" s="4" t="inlineStr">
        <is>
          <t>Estimate - Preparer</t>
        </is>
      </c>
      <c r="J9" s="4" t="inlineStr">
        <is>
          <t>SampleCo S-Corp</t>
        </is>
      </c>
      <c r="K9" s="4" t="n">
        <v>100000</v>
      </c>
      <c r="L9" s="4" t="n">
        <v>100000</v>
      </c>
      <c r="M9" s="4" t="inlineStr">
        <is>
          <t>OWNER_PAY</t>
        </is>
      </c>
      <c r="N9" s="4" t="inlineStr">
        <is>
          <t>No</t>
        </is>
      </c>
      <c r="O9" s="4" t="inlineStr">
        <is>
          <t>Active</t>
        </is>
      </c>
      <c r="P9" s="4" t="inlineStr">
        <is>
          <t>No</t>
        </is>
      </c>
      <c r="Q9" s="4" t="inlineStr">
        <is>
          <t>1z</t>
        </is>
      </c>
      <c r="R9" s="4" t="inlineStr">
        <is>
          <t>Owner reasonable comp</t>
        </is>
      </c>
      <c r="S9" s="4" t="n"/>
    </row>
    <row r="10">
      <c r="A10" s="4" t="inlineStr">
        <is>
          <t>SAM|2025|BI|01</t>
        </is>
      </c>
      <c r="B10" s="4" t="n">
        <v>2025</v>
      </c>
      <c r="C10" s="4" t="inlineStr">
        <is>
          <t>SAMPLE</t>
        </is>
      </c>
      <c r="D10" s="4" t="inlineStr">
        <is>
          <t>Sample Client</t>
        </is>
      </c>
      <c r="E10" s="4" t="inlineStr">
        <is>
          <t>Business Income</t>
        </is>
      </c>
      <c r="F10" s="4" t="inlineStr">
        <is>
          <t>K1_SCorp_Active</t>
        </is>
      </c>
      <c r="G10" s="4" t="inlineStr">
        <is>
          <t>K-1</t>
        </is>
      </c>
      <c r="H10" s="4" t="inlineStr">
        <is>
          <t>Baseline</t>
        </is>
      </c>
      <c r="I10" s="4" t="inlineStr">
        <is>
          <t>PY Rolled Forward</t>
        </is>
      </c>
      <c r="J10" s="4" t="inlineStr">
        <is>
          <t>SampleCo S-Corp K-1</t>
        </is>
      </c>
      <c r="K10" s="4" t="n">
        <v>200000</v>
      </c>
      <c r="L10" s="4" t="n">
        <v>0</v>
      </c>
      <c r="M10" s="4" t="inlineStr">
        <is>
          <t>K1_SPLIT</t>
        </is>
      </c>
      <c r="N10" s="4" t="inlineStr">
        <is>
          <t>No</t>
        </is>
      </c>
      <c r="O10" s="4" t="inlineStr">
        <is>
          <t>Active</t>
        </is>
      </c>
      <c r="P10" s="4" t="inlineStr">
        <is>
          <t>Yes</t>
        </is>
      </c>
      <c r="Q10" s="4" t="inlineStr">
        <is>
          <t>8</t>
        </is>
      </c>
      <c r="R10" s="4" t="inlineStr">
        <is>
          <t>Active S-corp K-1</t>
        </is>
      </c>
      <c r="S10" s="4" t="n"/>
    </row>
    <row r="11">
      <c r="A11" s="4" t="inlineStr">
        <is>
          <t>SAM|2025|II_Div|01</t>
        </is>
      </c>
      <c r="B11" s="4" t="n">
        <v>2025</v>
      </c>
      <c r="C11" s="4" t="inlineStr">
        <is>
          <t>SAMPLE</t>
        </is>
      </c>
      <c r="D11" s="4" t="inlineStr">
        <is>
          <t>Sample Client</t>
        </is>
      </c>
      <c r="E11" s="4" t="inlineStr">
        <is>
          <t>Investment Income</t>
        </is>
      </c>
      <c r="F11" s="4" t="inlineStr">
        <is>
          <t>Div_Qualified</t>
        </is>
      </c>
      <c r="G11" s="4" t="inlineStr">
        <is>
          <t>1099-DIV</t>
        </is>
      </c>
      <c r="H11" s="4" t="inlineStr">
        <is>
          <t>Baseline</t>
        </is>
      </c>
      <c r="I11" s="4" t="inlineStr">
        <is>
          <t>PBC - Received</t>
        </is>
      </c>
      <c r="J11" s="4" t="inlineStr">
        <is>
          <t>Brokerage</t>
        </is>
      </c>
      <c r="K11" s="4" t="n">
        <v>10000</v>
      </c>
      <c r="L11" s="4" t="n">
        <v>7000</v>
      </c>
      <c r="M11" s="4" t="inlineStr">
        <is>
          <t>QUAL_DIV</t>
        </is>
      </c>
      <c r="N11" s="4" t="inlineStr">
        <is>
          <t>No</t>
        </is>
      </c>
      <c r="O11" s="4" t="inlineStr">
        <is>
          <t>Portfolio</t>
        </is>
      </c>
      <c r="P11" s="4" t="inlineStr">
        <is>
          <t>No</t>
        </is>
      </c>
      <c r="Q11" s="4" t="inlineStr">
        <is>
          <t>3b</t>
        </is>
      </c>
      <c r="R11" s="4" t="inlineStr">
        <is>
          <t>$7K qualified</t>
        </is>
      </c>
      <c r="S11" s="4" t="n"/>
    </row>
    <row r="12">
      <c r="A12" s="4" t="inlineStr">
        <is>
          <t>SAM|2025|II_Int|01</t>
        </is>
      </c>
      <c r="B12" s="4" t="n">
        <v>2025</v>
      </c>
      <c r="C12" s="4" t="inlineStr">
        <is>
          <t>SAMPLE</t>
        </is>
      </c>
      <c r="D12" s="4" t="inlineStr">
        <is>
          <t>Sample Client</t>
        </is>
      </c>
      <c r="E12" s="4" t="inlineStr">
        <is>
          <t>Investment Income</t>
        </is>
      </c>
      <c r="F12" s="4" t="inlineStr">
        <is>
          <t>Int_Taxable</t>
        </is>
      </c>
      <c r="G12" s="4" t="inlineStr">
        <is>
          <t>1099-INT</t>
        </is>
      </c>
      <c r="H12" s="4" t="inlineStr">
        <is>
          <t>Baseline</t>
        </is>
      </c>
      <c r="I12" s="4" t="inlineStr">
        <is>
          <t>PBC - Received</t>
        </is>
      </c>
      <c r="J12" s="4" t="inlineStr">
        <is>
          <t>Brokerage</t>
        </is>
      </c>
      <c r="K12" s="4" t="n">
        <v>500</v>
      </c>
      <c r="L12" s="4" t="n">
        <v>0</v>
      </c>
      <c r="M12" s="4" t="inlineStr">
        <is>
          <t>NONE</t>
        </is>
      </c>
      <c r="N12" s="4" t="inlineStr">
        <is>
          <t>No</t>
        </is>
      </c>
      <c r="O12" s="4" t="inlineStr">
        <is>
          <t>Portfolio</t>
        </is>
      </c>
      <c r="P12" s="4" t="inlineStr">
        <is>
          <t>No</t>
        </is>
      </c>
      <c r="Q12" s="4" t="inlineStr">
        <is>
          <t>2b</t>
        </is>
      </c>
      <c r="R12" s="4" t="inlineStr">
        <is>
          <t>All taxable</t>
        </is>
      </c>
      <c r="S12" s="4" t="n"/>
    </row>
    <row r="13">
      <c r="A13" s="4" t="inlineStr">
        <is>
          <t>SAM|2025|CG|01</t>
        </is>
      </c>
      <c r="B13" s="4" t="n">
        <v>2025</v>
      </c>
      <c r="C13" s="4" t="inlineStr">
        <is>
          <t>SAMPLE</t>
        </is>
      </c>
      <c r="D13" s="4" t="inlineStr">
        <is>
          <t>Sample Client</t>
        </is>
      </c>
      <c r="E13" s="4" t="inlineStr">
        <is>
          <t>Capital Gains</t>
        </is>
      </c>
      <c r="F13" s="4" t="inlineStr">
        <is>
          <t>LTCG_Stock</t>
        </is>
      </c>
      <c r="G13" s="4" t="inlineStr">
        <is>
          <t>1099-B</t>
        </is>
      </c>
      <c r="H13" s="4" t="inlineStr">
        <is>
          <t>Baseline</t>
        </is>
      </c>
      <c r="I13" s="4" t="inlineStr">
        <is>
          <t>PBC - Requested</t>
        </is>
      </c>
      <c r="J13" s="4" t="inlineStr">
        <is>
          <t>Brokerage</t>
        </is>
      </c>
      <c r="K13" s="4" t="n">
        <v>25000</v>
      </c>
      <c r="L13" s="4" t="n">
        <v>0</v>
      </c>
      <c r="M13" s="4" t="inlineStr">
        <is>
          <t>LTCG_SPLIT</t>
        </is>
      </c>
      <c r="N13" s="4" t="inlineStr">
        <is>
          <t>No</t>
        </is>
      </c>
      <c r="O13" s="4" t="inlineStr">
        <is>
          <t>Portfolio</t>
        </is>
      </c>
      <c r="P13" s="4" t="inlineStr">
        <is>
          <t>No</t>
        </is>
      </c>
      <c r="Q13" s="4" t="inlineStr">
        <is>
          <t>7</t>
        </is>
      </c>
      <c r="R13" s="4" t="inlineStr">
        <is>
          <t>All long-term</t>
        </is>
      </c>
      <c r="S13" s="4" t="n"/>
    </row>
    <row r="14">
      <c r="A14" s="4" t="inlineStr">
        <is>
          <t>SAM|2025|Itm|01</t>
        </is>
      </c>
      <c r="B14" s="4" t="n">
        <v>2025</v>
      </c>
      <c r="C14" s="4" t="inlineStr">
        <is>
          <t>SAMPLE</t>
        </is>
      </c>
      <c r="D14" s="4" t="inlineStr">
        <is>
          <t>Sample Client</t>
        </is>
      </c>
      <c r="E14" s="4" t="inlineStr">
        <is>
          <t>Itemized</t>
        </is>
      </c>
      <c r="F14" s="4" t="inlineStr">
        <is>
          <t>Itm_SALT</t>
        </is>
      </c>
      <c r="G14" s="4" t="inlineStr">
        <is>
          <t>Property Tax Receipt</t>
        </is>
      </c>
      <c r="H14" s="4" t="inlineStr">
        <is>
          <t>Baseline</t>
        </is>
      </c>
      <c r="I14" s="4" t="inlineStr">
        <is>
          <t>PBC - Received</t>
        </is>
      </c>
      <c r="J14" s="4" t="n"/>
      <c r="K14" s="4" t="n">
        <v>-10000</v>
      </c>
      <c r="L14" s="4" t="n">
        <v>0</v>
      </c>
      <c r="M14" s="4" t="inlineStr">
        <is>
          <t>SALT</t>
        </is>
      </c>
      <c r="N14" s="4" t="inlineStr">
        <is>
          <t>No</t>
        </is>
      </c>
      <c r="O14" s="4" t="inlineStr">
        <is>
          <t>N/A</t>
        </is>
      </c>
      <c r="P14" s="4" t="inlineStr">
        <is>
          <t>No</t>
        </is>
      </c>
      <c r="Q14" s="4" t="inlineStr">
        <is>
          <t>12</t>
        </is>
      </c>
      <c r="R14" s="4" t="inlineStr">
        <is>
          <t>SALT cap</t>
        </is>
      </c>
      <c r="S14" s="4" t="n"/>
    </row>
    <row r="15">
      <c r="A15" s="4" t="inlineStr">
        <is>
          <t>SAM|2025|Strategy|WageOpt|01</t>
        </is>
      </c>
      <c r="B15" s="4" t="n">
        <v>2025</v>
      </c>
      <c r="C15" s="4" t="inlineStr">
        <is>
          <t>SAMPLE</t>
        </is>
      </c>
      <c r="D15" s="4" t="inlineStr">
        <is>
          <t>Sample Client</t>
        </is>
      </c>
      <c r="E15" s="4" t="inlineStr">
        <is>
          <t>Wages</t>
        </is>
      </c>
      <c r="F15" s="4" t="inlineStr">
        <is>
          <t>W2_SCorpOwner</t>
        </is>
      </c>
      <c r="G15" s="4" t="n"/>
      <c r="H15" s="4" t="inlineStr">
        <is>
          <t>Strategy</t>
        </is>
      </c>
      <c r="I15" s="4" t="inlineStr">
        <is>
          <t>Planning</t>
        </is>
      </c>
      <c r="J15" s="4" t="inlineStr">
        <is>
          <t>SampleCo S-Corp</t>
        </is>
      </c>
      <c r="K15" s="4" t="n">
        <v>-25000</v>
      </c>
      <c r="L15" s="4" t="n">
        <v>0</v>
      </c>
      <c r="M15" s="91" t="inlineStr">
        <is>
          <t>OWNER_PAY</t>
        </is>
      </c>
      <c r="N15" s="4" t="inlineStr">
        <is>
          <t>No</t>
        </is>
      </c>
      <c r="O15" s="4" t="inlineStr">
        <is>
          <t>Active</t>
        </is>
      </c>
      <c r="P15" s="4" t="inlineStr">
        <is>
          <t>No</t>
        </is>
      </c>
      <c r="Q15" s="4" t="inlineStr">
        <is>
          <t>1z</t>
        </is>
      </c>
      <c r="R15" s="4" t="inlineStr">
        <is>
          <t>Reduce owner W-2 by $25K</t>
        </is>
      </c>
      <c r="S15" s="4" t="inlineStr">
        <is>
          <t>STR-001 Committed</t>
        </is>
      </c>
    </row>
    <row r="16">
      <c r="A16" s="4" t="inlineStr">
        <is>
          <t>SAM|2025|Strategy|WageOpt|02</t>
        </is>
      </c>
      <c r="B16" s="4" t="n">
        <v>2025</v>
      </c>
      <c r="C16" s="4" t="inlineStr">
        <is>
          <t>SAMPLE</t>
        </is>
      </c>
      <c r="D16" s="4" t="inlineStr">
        <is>
          <t>Sample Client</t>
        </is>
      </c>
      <c r="E16" s="4" t="inlineStr">
        <is>
          <t>Business Income</t>
        </is>
      </c>
      <c r="F16" s="4" t="inlineStr">
        <is>
          <t>K1_SCorp_Active</t>
        </is>
      </c>
      <c r="G16" s="4" t="n"/>
      <c r="H16" s="4" t="inlineStr">
        <is>
          <t>Strategy</t>
        </is>
      </c>
      <c r="I16" s="4" t="inlineStr">
        <is>
          <t>Planning</t>
        </is>
      </c>
      <c r="J16" s="4" t="inlineStr">
        <is>
          <t>SampleCo S-Corp K-1</t>
        </is>
      </c>
      <c r="K16" s="4" t="n">
        <v>25000</v>
      </c>
      <c r="L16" s="4" t="n">
        <v>0</v>
      </c>
      <c r="M16" s="91" t="inlineStr">
        <is>
          <t>K1_SPLIT</t>
        </is>
      </c>
      <c r="N16" s="4" t="inlineStr">
        <is>
          <t>No</t>
        </is>
      </c>
      <c r="O16" s="4" t="inlineStr">
        <is>
          <t>Active</t>
        </is>
      </c>
      <c r="P16" s="4" t="inlineStr">
        <is>
          <t>Yes</t>
        </is>
      </c>
      <c r="Q16" s="4" t="n">
        <v>8</v>
      </c>
      <c r="R16" s="4" t="inlineStr">
        <is>
          <t>Corresponding K-1 increase from wage reduction</t>
        </is>
      </c>
      <c r="S16" s="4" t="inlineStr">
        <is>
          <t>STR-001 Committed</t>
        </is>
      </c>
    </row>
    <row r="17">
      <c r="A17" s="4" t="inlineStr">
        <is>
          <t>SAM|2025|Strategy|HSA|01</t>
        </is>
      </c>
      <c r="B17" s="4" t="n">
        <v>2025</v>
      </c>
      <c r="C17" s="4" t="inlineStr">
        <is>
          <t>SAMPLE</t>
        </is>
      </c>
      <c r="D17" s="4" t="inlineStr">
        <is>
          <t>Sample Client</t>
        </is>
      </c>
      <c r="E17" s="4" t="inlineStr">
        <is>
          <t>Adjustment</t>
        </is>
      </c>
      <c r="F17" s="4" t="inlineStr">
        <is>
          <t>Adj_HSA</t>
        </is>
      </c>
      <c r="G17" s="4" t="n"/>
      <c r="H17" s="4" t="inlineStr">
        <is>
          <t>Strategy</t>
        </is>
      </c>
      <c r="I17" s="4" t="inlineStr">
        <is>
          <t>Planning</t>
        </is>
      </c>
      <c r="J17" s="4" t="n"/>
      <c r="K17" s="4" t="n">
        <v>-8550</v>
      </c>
      <c r="L17" s="4" t="n">
        <v>0</v>
      </c>
      <c r="M17" s="91" t="inlineStr">
        <is>
          <t>NONE</t>
        </is>
      </c>
      <c r="N17" s="4" t="inlineStr">
        <is>
          <t>No</t>
        </is>
      </c>
      <c r="O17" s="4" t="inlineStr">
        <is>
          <t>N/A</t>
        </is>
      </c>
      <c r="P17" s="4" t="inlineStr">
        <is>
          <t>No</t>
        </is>
      </c>
      <c r="Q17" s="4" t="n">
        <v>10</v>
      </c>
      <c r="R17" s="4" t="inlineStr">
        <is>
          <t>Family HSA max contribution</t>
        </is>
      </c>
      <c r="S17" s="4" t="inlineStr">
        <is>
          <t>STR-002 Committed</t>
        </is>
      </c>
    </row>
    <row r="18">
      <c r="A18" s="4" t="inlineStr">
        <is>
          <t>SAM|2025|Strategy|CostSeg|01</t>
        </is>
      </c>
      <c r="B18" s="4" t="n">
        <v>2025</v>
      </c>
      <c r="C18" s="4" t="inlineStr">
        <is>
          <t>SAMPLE</t>
        </is>
      </c>
      <c r="D18" s="4" t="inlineStr">
        <is>
          <t>Sample Client</t>
        </is>
      </c>
      <c r="E18" s="4" t="inlineStr">
        <is>
          <t>Business Income</t>
        </is>
      </c>
      <c r="F18" s="4" t="inlineStr">
        <is>
          <t>SchE_Rental</t>
        </is>
      </c>
      <c r="G18" s="4" t="n"/>
      <c r="H18" s="4" t="inlineStr">
        <is>
          <t>Strategy</t>
        </is>
      </c>
      <c r="I18" s="4" t="inlineStr">
        <is>
          <t>Planning</t>
        </is>
      </c>
      <c r="J18" s="4" t="inlineStr">
        <is>
          <t>123 Main St, Salt Lake City</t>
        </is>
      </c>
      <c r="K18" s="4" t="n">
        <v>-80000</v>
      </c>
      <c r="L18" s="4" t="n">
        <v>0</v>
      </c>
      <c r="M18" s="91" t="inlineStr">
        <is>
          <t>PASSIVE</t>
        </is>
      </c>
      <c r="N18" s="4" t="inlineStr">
        <is>
          <t>No</t>
        </is>
      </c>
      <c r="O18" s="4" t="inlineStr">
        <is>
          <t>Passive</t>
        </is>
      </c>
      <c r="P18" s="4" t="inlineStr">
        <is>
          <t>No</t>
        </is>
      </c>
      <c r="Q18" s="4" t="n">
        <v>8</v>
      </c>
      <c r="R18" s="4" t="inlineStr">
        <is>
          <t>Cost seg accelerated depreciation</t>
        </is>
      </c>
      <c r="S18" s="4" t="inlineStr">
        <is>
          <t>STR-005 Committed</t>
        </is>
      </c>
    </row>
  </sheetData>
  <dataValidations count="10">
    <dataValidation sqref="E5:E503" showDropDown="0" showInputMessage="0" showErrorMessage="0" allowBlank="1" type="list">
      <formula1>Bucket</formula1>
    </dataValidation>
    <dataValidation sqref="F5:F503" showDropDown="0" showInputMessage="0" showErrorMessage="0" allowBlank="1" type="list">
      <formula1>INDIRECT(SUBSTITUTE($E5," ","")&amp;"_Profiles")</formula1>
    </dataValidation>
    <dataValidation sqref="G5:G503" showDropDown="0" showInputMessage="0" showErrorMessage="0" allowBlank="1" type="list">
      <formula1>INDIRECT(SUBSTITUTE($E5," ","")&amp;"_Docs")</formula1>
    </dataValidation>
    <dataValidation sqref="H5:H503" showDropDown="0" showInputMessage="0" showErrorMessage="0" allowBlank="1" type="list">
      <formula1>Activity_Type</formula1>
    </dataValidation>
    <dataValidation sqref="I5:I503" showDropDown="0" showInputMessage="0" showErrorMessage="0" allowBlank="1" type="list">
      <formula1>Provenance</formula1>
    </dataValidation>
    <dataValidation sqref="N5:N503 P5:P503" showDropDown="0" showInputMessage="0" showErrorMessage="0" allowBlank="1" type="list">
      <formula1>Yes_No</formula1>
    </dataValidation>
    <dataValidation sqref="O5:O503" showDropDown="0" showInputMessage="0" showErrorMessage="0" allowBlank="1" type="list">
      <formula1>NIIT_Class</formula1>
    </dataValidation>
    <dataValidation sqref="B5:B503" showDropDown="0" showInputMessage="0" showErrorMessage="0" allowBlank="1" type="list">
      <formula1>"2023,2024,2025,2026,2027,2028"</formula1>
    </dataValidation>
    <dataValidation sqref="M5:M503" showDropDown="0" showInputMessage="0" showErrorMessage="0" allowBlank="1" type="list">
      <formula1>"NONE,OWNER_PAY,TAX_EXEMPT,QUAL_DIV,LTCG_SPLIT,SEC1250,K1_SPLIT,ACTIVE_RE,PASSIVE,SE_INCOME,TRUST_DIST,HSA,IRA,RETIREMENT,SE_HEALTH,STUDENT_LOAN,MEDICAL,SALT,MORTGAGE,CHARITY,CTC,EDUCATION,FTC"</formula1>
    </dataValidation>
    <dataValidation sqref="Q5:Q503" showDropDown="0" showInputMessage="0" showErrorMessage="0" allowBlank="1" type="list">
      <formula1>=TaxLines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28B22"/>
    <outlinePr summaryBelow="1" summaryRight="1"/>
    <pageSetUpPr/>
  </sheetPr>
  <dimension ref="B2:O14"/>
  <sheetViews>
    <sheetView showGridLines="0" workbookViewId="0">
      <selection activeCell="A1" sqref="A1"/>
    </sheetView>
  </sheetViews>
  <sheetFormatPr baseColWidth="8" defaultRowHeight="14.5"/>
  <cols>
    <col width="3.6328125" customWidth="1" style="19" min="1" max="1"/>
    <col width="27.26953125" customWidth="1" style="19" min="2" max="2"/>
    <col width="9.08984375" customWidth="1" style="19" min="3" max="3"/>
    <col width="12.7265625" customWidth="1" style="19" min="4" max="4"/>
    <col width="16.36328125" customWidth="1" style="19" min="5" max="5"/>
    <col width="18.1796875" customWidth="1" style="19" min="6" max="6"/>
    <col width="20" customWidth="1" style="19" min="7" max="7"/>
    <col width="14.54296875" customWidth="1" style="19" min="8" max="9"/>
    <col width="20" customWidth="1" style="19" min="10" max="10"/>
    <col width="18.1796875" customWidth="1" style="19" min="11" max="11"/>
    <col width="16.36328125" customWidth="1" style="19" min="12" max="12"/>
    <col width="20" customWidth="1" style="19" min="13" max="13"/>
    <col width="14.54296875" customWidth="1" style="19" min="14" max="14"/>
    <col width="36.36328125" customWidth="1" style="19" min="15" max="15"/>
  </cols>
  <sheetData>
    <row r="2" ht="18.5" customHeight="1" s="19">
      <c r="B2" s="15" t="inlineStr">
        <is>
          <t>ASFILED — Filed Tax Return Data</t>
        </is>
      </c>
    </row>
    <row r="3">
      <c r="B3" s="16" t="inlineStr">
        <is>
          <t>Filed return amounts by 1040 line. Use Year column filter to view one year at a time. Add rows per year as needed. PY_Recon uses SUMIFS against this table.</t>
        </is>
      </c>
    </row>
    <row r="5">
      <c r="B5" t="inlineStr">
        <is>
          <t>InputID</t>
        </is>
      </c>
      <c r="C5" t="inlineStr">
        <is>
          <t>Year</t>
        </is>
      </c>
      <c r="D5" t="inlineStr">
        <is>
          <t>ClientID</t>
        </is>
      </c>
      <c r="E5" t="inlineStr">
        <is>
          <t>ClientName</t>
        </is>
      </c>
      <c r="F5" t="inlineStr">
        <is>
          <t>Bucket</t>
        </is>
      </c>
      <c r="G5" t="inlineStr">
        <is>
          <t>Treatment_Profile</t>
        </is>
      </c>
      <c r="H5" t="inlineStr">
        <is>
          <t>Source_Document</t>
        </is>
      </c>
      <c r="I5" t="inlineStr">
        <is>
          <t>Provenance</t>
        </is>
      </c>
      <c r="J5" t="inlineStr">
        <is>
          <t>Payor</t>
        </is>
      </c>
      <c r="K5" t="inlineStr">
        <is>
          <t>Filed_Amount</t>
        </is>
      </c>
      <c r="L5" t="inlineStr">
        <is>
          <t>Helper_Amount</t>
        </is>
      </c>
      <c r="M5" t="inlineStr">
        <is>
          <t>Helper_Treatment</t>
        </is>
      </c>
      <c r="N5" t="inlineStr">
        <is>
          <t>Primary_Line</t>
        </is>
      </c>
      <c r="O5" t="inlineStr">
        <is>
          <t>Notes</t>
        </is>
      </c>
    </row>
    <row r="6">
      <c r="B6" t="inlineStr">
        <is>
          <t>CED|2024|AF|Wages|01</t>
        </is>
      </c>
      <c r="C6" t="n">
        <v>2024</v>
      </c>
      <c r="D6" t="inlineStr">
        <is>
          <t>CEDILLO</t>
        </is>
      </c>
      <c r="E6" t="inlineStr">
        <is>
          <t>Ron Cedillo</t>
        </is>
      </c>
      <c r="F6" t="inlineStr">
        <is>
          <t>Wages</t>
        </is>
      </c>
      <c r="G6" t="inlineStr">
        <is>
          <t>W2_SCorpOwner</t>
        </is>
      </c>
      <c r="H6" t="inlineStr">
        <is>
          <t>Filed 1040</t>
        </is>
      </c>
      <c r="I6" t="inlineStr">
        <is>
          <t>Filed Return</t>
        </is>
      </c>
      <c r="J6" t="inlineStr">
        <is>
          <t>Acme S-Corp</t>
        </is>
      </c>
      <c r="K6" s="12" t="n">
        <v>153648</v>
      </c>
      <c r="L6" s="12" t="n">
        <v>0</v>
      </c>
      <c r="M6" t="inlineStr">
        <is>
          <t>OWNER_PAY</t>
        </is>
      </c>
      <c r="N6" t="inlineStr">
        <is>
          <t>1z</t>
        </is>
      </c>
      <c r="O6" t="inlineStr">
        <is>
          <t>Per filed Form 1040 Line 1z</t>
        </is>
      </c>
    </row>
    <row r="7">
      <c r="B7" t="inlineStr">
        <is>
          <t>CED|2024|AF|BI|01</t>
        </is>
      </c>
      <c r="C7" t="n">
        <v>2024</v>
      </c>
      <c r="D7" t="inlineStr">
        <is>
          <t>CEDILLO</t>
        </is>
      </c>
      <c r="E7" t="inlineStr">
        <is>
          <t>Ron Cedillo</t>
        </is>
      </c>
      <c r="F7" t="inlineStr">
        <is>
          <t>Business Income</t>
        </is>
      </c>
      <c r="G7" t="inlineStr">
        <is>
          <t>K1_PTP_Passive</t>
        </is>
      </c>
      <c r="H7" t="inlineStr">
        <is>
          <t>Filed 1040</t>
        </is>
      </c>
      <c r="I7" t="inlineStr">
        <is>
          <t>Filed Return</t>
        </is>
      </c>
      <c r="J7" t="inlineStr">
        <is>
          <t>Cedillo Partnership</t>
        </is>
      </c>
      <c r="K7" s="12" t="n">
        <v>-100766</v>
      </c>
      <c r="L7" s="12" t="n">
        <v>0</v>
      </c>
      <c r="M7" t="inlineStr">
        <is>
          <t>K1_SPLIT</t>
        </is>
      </c>
      <c r="N7" t="n">
        <v>8</v>
      </c>
      <c r="O7" t="inlineStr">
        <is>
          <t>Per filed Sch 1 / K-1</t>
        </is>
      </c>
    </row>
    <row r="8">
      <c r="B8" t="inlineStr">
        <is>
          <t>CED|2024|AF|II|01</t>
        </is>
      </c>
      <c r="C8" t="n">
        <v>2024</v>
      </c>
      <c r="D8" t="inlineStr">
        <is>
          <t>CEDILLO</t>
        </is>
      </c>
      <c r="E8" t="inlineStr">
        <is>
          <t>Ron Cedillo</t>
        </is>
      </c>
      <c r="F8" t="inlineStr">
        <is>
          <t>Investment Income</t>
        </is>
      </c>
      <c r="G8" t="inlineStr">
        <is>
          <t>Div_Ordinary</t>
        </is>
      </c>
      <c r="H8" t="inlineStr">
        <is>
          <t>Filed 1040</t>
        </is>
      </c>
      <c r="I8" t="inlineStr">
        <is>
          <t>Filed Return</t>
        </is>
      </c>
      <c r="J8" t="inlineStr">
        <is>
          <t>Brokerage</t>
        </is>
      </c>
      <c r="K8" s="12" t="n">
        <v>25922</v>
      </c>
      <c r="L8" s="12" t="n">
        <v>0</v>
      </c>
      <c r="M8" t="inlineStr">
        <is>
          <t>QUAL_DIV</t>
        </is>
      </c>
      <c r="N8" t="inlineStr">
        <is>
          <t>3b</t>
        </is>
      </c>
      <c r="O8" t="inlineStr">
        <is>
          <t>Per filed 1040 Line 3b</t>
        </is>
      </c>
    </row>
    <row r="9">
      <c r="B9" t="inlineStr">
        <is>
          <t>CED|2024|AF|CG|01</t>
        </is>
      </c>
      <c r="C9" t="n">
        <v>2024</v>
      </c>
      <c r="D9" t="inlineStr">
        <is>
          <t>CEDILLO</t>
        </is>
      </c>
      <c r="E9" t="inlineStr">
        <is>
          <t>Ron Cedillo</t>
        </is>
      </c>
      <c r="F9" t="inlineStr">
        <is>
          <t>Capital Gains</t>
        </is>
      </c>
      <c r="G9" t="inlineStr">
        <is>
          <t>LTCG_Stock</t>
        </is>
      </c>
      <c r="H9" t="inlineStr">
        <is>
          <t>Filed 1040</t>
        </is>
      </c>
      <c r="I9" t="inlineStr">
        <is>
          <t>Filed Return</t>
        </is>
      </c>
      <c r="J9" t="inlineStr">
        <is>
          <t>Brokerage</t>
        </is>
      </c>
      <c r="K9" s="12" t="n">
        <v>14487</v>
      </c>
      <c r="L9" s="12" t="n">
        <v>0</v>
      </c>
      <c r="M9" t="inlineStr">
        <is>
          <t>LTCG_SPLIT</t>
        </is>
      </c>
      <c r="N9" t="n">
        <v>7</v>
      </c>
      <c r="O9" t="inlineStr">
        <is>
          <t>Per filed 1040 Line 7</t>
        </is>
      </c>
    </row>
    <row r="10">
      <c r="B10" t="inlineStr">
        <is>
          <t>PLACEHOLDER|2023</t>
        </is>
      </c>
      <c r="C10" t="n">
        <v>2023</v>
      </c>
      <c r="I10" t="inlineStr">
        <is>
          <t>Estimate</t>
        </is>
      </c>
      <c r="K10" s="12" t="n">
        <v>0</v>
      </c>
      <c r="L10" s="12" t="n">
        <v>0</v>
      </c>
      <c r="O10" t="inlineStr">
        <is>
          <t>Enter 2023 filed data here — add rows as needed</t>
        </is>
      </c>
    </row>
    <row r="11">
      <c r="B11" t="inlineStr">
        <is>
          <t>PLACEHOLDER|2025</t>
        </is>
      </c>
      <c r="C11" t="n">
        <v>2025</v>
      </c>
      <c r="I11" t="inlineStr">
        <is>
          <t>Estimate</t>
        </is>
      </c>
      <c r="K11" s="12" t="n">
        <v>0</v>
      </c>
      <c r="L11" s="12" t="n">
        <v>0</v>
      </c>
      <c r="O11" t="inlineStr">
        <is>
          <t>Enter 2025 filed data here — add rows as needed</t>
        </is>
      </c>
    </row>
    <row r="12">
      <c r="B12" t="inlineStr">
        <is>
          <t>PLACEHOLDER|2026</t>
        </is>
      </c>
      <c r="C12" t="n">
        <v>2026</v>
      </c>
      <c r="I12" t="inlineStr">
        <is>
          <t>Estimate</t>
        </is>
      </c>
      <c r="K12" s="12" t="n">
        <v>0</v>
      </c>
      <c r="L12" s="12" t="n">
        <v>0</v>
      </c>
      <c r="O12" t="inlineStr">
        <is>
          <t>Enter 2026 filed data here — add rows as needed</t>
        </is>
      </c>
    </row>
    <row r="13">
      <c r="B13" t="inlineStr">
        <is>
          <t>PLACEHOLDER|2027</t>
        </is>
      </c>
      <c r="C13" t="n">
        <v>2027</v>
      </c>
      <c r="I13" t="inlineStr">
        <is>
          <t>Estimate</t>
        </is>
      </c>
      <c r="K13" s="12" t="n">
        <v>0</v>
      </c>
      <c r="L13" s="12" t="n">
        <v>0</v>
      </c>
      <c r="O13" t="inlineStr">
        <is>
          <t>Enter 2027 filed data here — add rows as needed</t>
        </is>
      </c>
    </row>
    <row r="14">
      <c r="B14" t="inlineStr">
        <is>
          <t>PLACEHOLDER|2028</t>
        </is>
      </c>
      <c r="C14" t="n">
        <v>2028</v>
      </c>
      <c r="I14" t="inlineStr">
        <is>
          <t>Estimate</t>
        </is>
      </c>
      <c r="K14" s="12" t="n">
        <v>0</v>
      </c>
      <c r="L14" s="12" t="n">
        <v>0</v>
      </c>
      <c r="O14" t="inlineStr">
        <is>
          <t>Enter 2028 filed data here — add rows as needed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B2:I19"/>
  <sheetViews>
    <sheetView showGridLines="0" workbookViewId="0">
      <selection activeCell="I17" sqref="I17"/>
    </sheetView>
  </sheetViews>
  <sheetFormatPr baseColWidth="8" defaultRowHeight="14.5"/>
  <cols>
    <col width="3.6328125" customWidth="1" style="19" min="1" max="1"/>
    <col width="36.36328125" customWidth="1" style="19" min="2" max="2"/>
    <col width="21.81640625" customWidth="1" style="19" min="3" max="3"/>
    <col width="5.453125" customWidth="1" style="19" min="4" max="4"/>
    <col width="29.08984375" customWidth="1" style="19" min="5" max="5"/>
    <col width="30.90625" customWidth="1" style="19" min="6" max="6"/>
    <col width="5.453125" customWidth="1" style="19" min="7" max="7"/>
    <col width="20" customWidth="1" style="19" min="8" max="8"/>
    <col width="16.36328125" customWidth="1" style="19" min="9" max="9"/>
  </cols>
  <sheetData>
    <row r="2" ht="21" customHeight="1" s="19">
      <c r="B2" s="28" t="inlineStr">
        <is>
          <t>TAX PLAN DASHBOARD</t>
        </is>
      </c>
    </row>
    <row r="3">
      <c r="B3" s="16" t="inlineStr">
        <is>
          <t>Select year below. KPIs pull baseline from visual pivots via GETPIVOTDATA.</t>
        </is>
      </c>
    </row>
    <row r="4" ht="15.5" customHeight="1" s="19">
      <c r="B4" s="17" t="inlineStr">
        <is>
          <t>Dashboard Year:</t>
        </is>
      </c>
      <c r="C4" s="47" t="n">
        <v>2025</v>
      </c>
    </row>
    <row r="5" ht="15" customHeight="1" s="19" thickBot="1">
      <c r="B5" s="18" t="inlineStr">
        <is>
          <t>HEADLINE METRICS</t>
        </is>
      </c>
      <c r="C5" s="49" t="inlineStr">
        <is>
          <t>Baseline</t>
        </is>
      </c>
      <c r="D5" s="49" t="inlineStr">
        <is>
          <t>Eff w/ Strat</t>
        </is>
      </c>
      <c r="E5" s="101" t="inlineStr">
        <is>
          <t>Δ Savings</t>
        </is>
      </c>
      <c r="F5" s="101" t="n"/>
      <c r="H5" s="33" t="inlineStr">
        <is>
          <t>CHART DATA — Income by 1040 Line</t>
        </is>
      </c>
    </row>
    <row r="6" ht="15.5" customHeight="1" s="19">
      <c r="B6" s="31" t="inlineStr">
        <is>
          <t>Total Income</t>
        </is>
      </c>
      <c r="C6" s="32">
        <f t="array" ref="C6">IFERROR(INDIRECT("Y"&amp;$C$4&amp;"!J13"),0)</f>
        <v/>
      </c>
      <c r="D6" s="12">
        <f t="array" ref="D6">IFERROR(INDIRECT("Y"&amp;$C$4&amp;"!O13"),0)</f>
        <v/>
      </c>
      <c r="E6" s="92">
        <f>C6-D6</f>
        <v/>
      </c>
      <c r="F6" s="92" t="n"/>
      <c r="H6" s="26" t="inlineStr">
        <is>
          <t>1040 Line</t>
        </is>
      </c>
      <c r="I6" s="26" t="inlineStr">
        <is>
          <t>Amount</t>
        </is>
      </c>
    </row>
    <row r="7" ht="15.5" customHeight="1" s="19">
      <c r="B7" t="inlineStr">
        <is>
          <t>Wages (Line 1z)</t>
        </is>
      </c>
      <c r="C7" s="29">
        <f t="array" ref="C7">IFERROR(INDIRECT("Y"&amp;$C$4&amp;"!J6"),0)</f>
        <v/>
      </c>
      <c r="D7" s="12">
        <f t="array" ref="D7">IFERROR(INDIRECT("Y"&amp;$C$4&amp;"!O6"),0)</f>
        <v/>
      </c>
      <c r="E7" s="92">
        <f>C7-D7</f>
        <v/>
      </c>
      <c r="F7" s="92" t="n"/>
      <c r="H7" t="inlineStr">
        <is>
          <t>1040 Line</t>
        </is>
      </c>
      <c r="I7" s="12" t="inlineStr">
        <is>
          <t>Amount</t>
        </is>
      </c>
    </row>
    <row r="8" ht="15.5" customHeight="1" s="19">
      <c r="B8" t="inlineStr">
        <is>
          <t>Business Income (Line 8)</t>
        </is>
      </c>
      <c r="C8" s="29">
        <f t="array" ref="C8">IFERROR(INDIRECT("Y"&amp;$C$4&amp;"!J12"),0)</f>
        <v/>
      </c>
      <c r="D8" s="12">
        <f t="array" ref="D8">IFERROR(INDIRECT("Y"&amp;$C$4&amp;"!O12"),0)</f>
        <v/>
      </c>
      <c r="E8" s="92">
        <f>C8-D8</f>
        <v/>
      </c>
      <c r="F8" s="92" t="n"/>
      <c r="H8" t="inlineStr">
        <is>
          <t>1z Wages</t>
        </is>
      </c>
      <c r="I8" s="12">
        <f>IFERROR(GETPIVOTDATA("Baseline_Amount",Visual_Pivot_Income!$B$5,"Primary_Line","1z","Year",$C$4),0)</f>
        <v/>
      </c>
    </row>
    <row r="9" ht="15.5" customHeight="1" s="19">
      <c r="B9" t="inlineStr">
        <is>
          <t>Capital Gains (Line 7)</t>
        </is>
      </c>
      <c r="C9" s="29">
        <f t="array" ref="C9">IFERROR(INDIRECT("Y"&amp;$C$4&amp;"!J11"),0)</f>
        <v/>
      </c>
      <c r="D9" s="12">
        <f t="array" ref="D9">IFERROR(INDIRECT("Y"&amp;$C$4&amp;"!O11"),0)</f>
        <v/>
      </c>
      <c r="E9" s="92">
        <f>C9-D9</f>
        <v/>
      </c>
      <c r="F9" s="92" t="n"/>
      <c r="H9" t="inlineStr">
        <is>
          <t>2b Tax Interest</t>
        </is>
      </c>
      <c r="I9" s="12">
        <f>IFERROR(GETPIVOTDATA("Baseline_Amount",Visual_Pivot_Income!$B$5,"Primary_Line","2b","Year",$C$4),0)</f>
        <v/>
      </c>
    </row>
    <row r="10" ht="15.5" customHeight="1" s="19">
      <c r="B10" t="inlineStr">
        <is>
          <t>Investment Income (3b)</t>
        </is>
      </c>
      <c r="C10" s="29">
        <f t="array" ref="C10">IFERROR(INDIRECT("Y"&amp;$C$4&amp;"!J10"),0)</f>
        <v/>
      </c>
      <c r="D10" s="12">
        <f t="array" ref="D10">IFERROR(INDIRECT("Y"&amp;$C$4&amp;"!O10"),0)</f>
        <v/>
      </c>
      <c r="E10" s="92">
        <f>C10-D10</f>
        <v/>
      </c>
      <c r="F10" s="92" t="n"/>
      <c r="H10" t="inlineStr">
        <is>
          <t>3b Dividends</t>
        </is>
      </c>
      <c r="I10" s="12">
        <f>IFERROR(GETPIVOTDATA("Baseline_Amount",Visual_Pivot_Income!$B$5,"Primary_Line","3b","Year",$C$4),0)</f>
        <v/>
      </c>
    </row>
    <row r="11" ht="15.5" customHeight="1" s="19">
      <c r="B11" t="inlineStr">
        <is>
          <t>Std/Itemized Ded (Line 12)</t>
        </is>
      </c>
      <c r="C11" s="29">
        <f t="array" ref="C11">IFERROR(INDIRECT("Y"&amp;$C$4&amp;"!J16"),0)</f>
        <v/>
      </c>
      <c r="D11" s="12">
        <f t="array" ref="D11">IFERROR(INDIRECT("Y"&amp;$C$4&amp;"!O16"),0)</f>
        <v/>
      </c>
      <c r="E11" s="92">
        <f>C11-D11</f>
        <v/>
      </c>
      <c r="F11" s="92" t="n"/>
      <c r="H11" t="inlineStr">
        <is>
          <t>7 Cap Gains</t>
        </is>
      </c>
      <c r="I11" s="12">
        <f>IFERROR(GETPIVOTDATA("Baseline_Amount",Visual_Pivot_Income!$B$5,"Primary_Line","7","Year",$C$4),0)</f>
        <v/>
      </c>
    </row>
    <row r="12" ht="15.5" customHeight="1" s="19">
      <c r="B12" t="inlineStr">
        <is>
          <t>Qualified Dividends</t>
        </is>
      </c>
      <c r="C12" s="29">
        <f t="array" ref="C12">IFERROR(INDIRECT("Y"&amp;$C$4&amp;"!I30"),0)</f>
        <v/>
      </c>
      <c r="D12" s="12">
        <f t="array" ref="D12">IFERROR(INDIRECT("Y"&amp;$C$4&amp;"!J30"),0)</f>
        <v/>
      </c>
      <c r="E12" s="92">
        <f>C12-D12</f>
        <v/>
      </c>
      <c r="F12" s="92" t="n"/>
      <c r="H12" t="inlineStr">
        <is>
          <t>8 Business</t>
        </is>
      </c>
      <c r="I12" s="12">
        <f>IFERROR(GETPIVOTDATA("Baseline_Amount",Visual_Pivot_Income!$B$5,"Primary_Line","8","Year",$C$4),0)</f>
        <v/>
      </c>
    </row>
    <row r="13" ht="15.5" customHeight="1" s="19">
      <c r="B13" t="inlineStr">
        <is>
          <t>Owner W-2 Wages</t>
        </is>
      </c>
      <c r="C13" s="29">
        <f t="array" ref="C13">IFERROR(INDIRECT("Y"&amp;$C$4&amp;"!I23"),0)</f>
        <v/>
      </c>
      <c r="D13" s="12">
        <f t="array" ref="D13">IFERROR(INDIRECT("Y"&amp;$C$4&amp;"!J23"),0)</f>
        <v/>
      </c>
      <c r="E13" s="92">
        <f>C13-D13</f>
        <v/>
      </c>
      <c r="F13" s="92" t="n"/>
    </row>
    <row r="14">
      <c r="H14" s="33" t="inlineStr">
        <is>
          <t>CHART DATA — Business by Treatment</t>
        </is>
      </c>
    </row>
    <row r="15" ht="15" customHeight="1" s="19" thickBot="1">
      <c r="B15" s="18" t="inlineStr">
        <is>
          <t>BUSINESS INCOME BREAKDOWN</t>
        </is>
      </c>
      <c r="C15" s="18" t="n"/>
      <c r="D15" s="18" t="n"/>
      <c r="H15" s="26" t="inlineStr">
        <is>
          <t>Treatment</t>
        </is>
      </c>
      <c r="I15" s="26" t="inlineStr">
        <is>
          <t>Amount</t>
        </is>
      </c>
    </row>
    <row r="16" ht="15.5" customHeight="1" s="19">
      <c r="B16" t="inlineStr">
        <is>
          <t>S-Corp K-1 Active</t>
        </is>
      </c>
      <c r="C16" s="29">
        <f>IFERROR(GETPIVOTDATA("Baseline_Amount",Visual_Pivot_BusinessIncome!$B$5,"Treatment_Profile","K1_SCorp_Active","Year",$C$4),0)</f>
        <v/>
      </c>
      <c r="H16" t="inlineStr">
        <is>
          <t>Treatment</t>
        </is>
      </c>
      <c r="I16" s="12" t="inlineStr">
        <is>
          <t>Amount</t>
        </is>
      </c>
    </row>
    <row r="17" ht="15.5" customHeight="1" s="19">
      <c r="B17" t="inlineStr">
        <is>
          <t>PTP K-1 Passive</t>
        </is>
      </c>
      <c r="C17" s="29">
        <f>IFERROR(GETPIVOTDATA("Baseline_Amount",Visual_Pivot_BusinessIncome!$B$5,"Treatment_Profile","K1_PTP_Passive","Year",$C$4),0)</f>
        <v/>
      </c>
      <c r="H17" t="inlineStr">
        <is>
          <t>K1_SCorp_Active</t>
        </is>
      </c>
      <c r="I17" s="12">
        <f>IFERROR(GETPIVOTDATA("Baseline_Amount",Visual_Pivot_BusinessIncome!$B$5,"Treatment_Profile","K1_SCorp_Active","Year",$C$4),0)</f>
        <v/>
      </c>
    </row>
    <row r="18" ht="15.5" customHeight="1" s="19">
      <c r="B18" t="inlineStr">
        <is>
          <t>Schedule E Rental</t>
        </is>
      </c>
      <c r="C18" s="29">
        <f>IFERROR(GETPIVOTDATA("Baseline_Amount",Visual_Pivot_BusinessIncome!$B$5,"Treatment_Profile","SchE_Rental","Year",$C$4),0)</f>
        <v/>
      </c>
      <c r="H18" t="inlineStr">
        <is>
          <t>K1_PTP_Passive</t>
        </is>
      </c>
      <c r="I18" s="12">
        <f>IFERROR(GETPIVOTDATA("Baseline_Amount",Visual_Pivot_BusinessIncome!$B$5,"Treatment_Profile","K1_PTP_Passive","Year",$C$4),0)</f>
        <v/>
      </c>
    </row>
    <row r="19" ht="15.5" customHeight="1" s="19">
      <c r="B19" s="31" t="inlineStr">
        <is>
          <t>Total Business Income</t>
        </is>
      </c>
      <c r="C19" s="32">
        <f>IFERROR(GETPIVOTDATA("Baseline_Amount",Visual_Pivot_BusinessIncome!$B$5,"Year",$C$4),0)</f>
        <v/>
      </c>
    </row>
  </sheetData>
  <dataValidations count="1">
    <dataValidation sqref="C4" showDropDown="0" showInputMessage="1" showErrorMessage="1" allowBlank="1" promptTitle="Dashboard Year" prompt="Select year to display" type="list">
      <formula1>"2023,2024,2025,2026,2027,2028"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FFC000"/>
    <outlinePr summaryBelow="1" summaryRight="1"/>
    <pageSetUpPr/>
  </sheetPr>
  <dimension ref="B2:G22"/>
  <sheetViews>
    <sheetView showGridLines="0" workbookViewId="0">
      <selection activeCell="C5" sqref="C5"/>
    </sheetView>
  </sheetViews>
  <sheetFormatPr baseColWidth="8" defaultRowHeight="14.5"/>
  <cols>
    <col width="3.6328125" customWidth="1" style="19" min="1" max="1"/>
    <col width="13.6328125" customWidth="1" style="19" min="2" max="2"/>
    <col width="41.81640625" customWidth="1" style="19" min="3" max="3"/>
    <col width="23.6328125" customWidth="1" style="19" min="4" max="5"/>
    <col width="16.36328125" customWidth="1" style="19" min="6" max="6"/>
    <col width="18.1796875" customWidth="1" style="19" min="7" max="7"/>
  </cols>
  <sheetData>
    <row r="2" ht="18.5" customHeight="1" s="19">
      <c r="B2" s="15" t="inlineStr">
        <is>
          <t>PY RECON — Baseline vs Filed Return</t>
        </is>
      </c>
    </row>
    <row r="3">
      <c r="B3" s="16" t="inlineStr">
        <is>
          <t>Compares computed Baseline (tblMaster_Inputs) vs AsFiled (tblAsFiled) for Active_Year + Active_Client. Verify the engine before trusting roll-forward.</t>
        </is>
      </c>
    </row>
    <row r="5" ht="15.5" customHeight="1" s="19">
      <c r="B5" s="17" t="inlineStr">
        <is>
          <t>Recon Year:</t>
        </is>
      </c>
      <c r="C5" s="47" t="n">
        <v>2025</v>
      </c>
      <c r="D5" s="17" t="inlineStr">
        <is>
          <t>Client:</t>
        </is>
      </c>
      <c r="E5" s="47" t="inlineStr">
        <is>
          <t>SAMPLE</t>
        </is>
      </c>
    </row>
    <row r="7">
      <c r="B7" s="37" t="inlineStr">
        <is>
          <t>1040 Line</t>
        </is>
      </c>
      <c r="C7" s="37" t="inlineStr">
        <is>
          <t>Description</t>
        </is>
      </c>
      <c r="D7" s="36" t="inlineStr">
        <is>
          <t>Computed (Baseline)</t>
        </is>
      </c>
      <c r="E7" s="36" t="inlineStr">
        <is>
          <t>Filed (AsFiled)</t>
        </is>
      </c>
      <c r="F7" s="36" t="inlineStr">
        <is>
          <t>Variance</t>
        </is>
      </c>
      <c r="G7" s="36" t="inlineStr">
        <is>
          <t>Status</t>
        </is>
      </c>
    </row>
    <row r="8">
      <c r="B8" s="22" t="inlineStr">
        <is>
          <t>1z</t>
        </is>
      </c>
      <c r="C8" t="inlineStr">
        <is>
          <t>Wages, salaries, tips</t>
        </is>
      </c>
      <c r="D8" s="12">
        <f>SUMIFS(tblMaster_Inputs[Baseline_Amount],tblMaster_Inputs[Year],$C$5,tblMaster_Inputs[ClientID],$E$5,tblMaster_Inputs[Primary_Line],"1z")</f>
        <v/>
      </c>
      <c r="E8" s="12">
        <f>SUMIFS(tblAsFiled[Filed_Amount],tblAsFiled[Year],$C$5,tblAsFiled[ClientID],$E$5,tblAsFiled[Primary_Line],"1z")</f>
        <v/>
      </c>
      <c r="F8" s="12">
        <f>D8-E8</f>
        <v/>
      </c>
      <c r="G8">
        <f>IF(ABS(F8)&lt;1,"✓ OK","⚠ CHECK")</f>
        <v/>
      </c>
    </row>
    <row r="9">
      <c r="B9" s="22" t="inlineStr">
        <is>
          <t>2b</t>
        </is>
      </c>
      <c r="C9" t="inlineStr">
        <is>
          <t>Taxable interest</t>
        </is>
      </c>
      <c r="D9" s="12">
        <f>SUMIFS(tblMaster_Inputs[Baseline_Amount],tblMaster_Inputs[Year],$C$5,tblMaster_Inputs[ClientID],$E$5,tblMaster_Inputs[Primary_Line],"2b")</f>
        <v/>
      </c>
      <c r="E9" s="12">
        <f>SUMIFS(tblAsFiled[Filed_Amount],tblAsFiled[Year],$C$5,tblAsFiled[ClientID],$E$5,tblAsFiled[Primary_Line],"2b")</f>
        <v/>
      </c>
      <c r="F9" s="12">
        <f>D9-E9</f>
        <v/>
      </c>
      <c r="G9">
        <f>IF(ABS(F9)&lt;1,"✓ OK","⚠ CHECK")</f>
        <v/>
      </c>
    </row>
    <row r="10">
      <c r="B10" s="22" t="inlineStr">
        <is>
          <t>3b</t>
        </is>
      </c>
      <c r="C10" t="inlineStr">
        <is>
          <t>Ordinary dividends</t>
        </is>
      </c>
      <c r="D10" s="12">
        <f>SUMIFS(tblMaster_Inputs[Baseline_Amount],tblMaster_Inputs[Year],$C$5,tblMaster_Inputs[ClientID],$E$5,tblMaster_Inputs[Primary_Line],"3b")</f>
        <v/>
      </c>
      <c r="E10" s="12">
        <f>SUMIFS(tblAsFiled[Filed_Amount],tblAsFiled[Year],$C$5,tblAsFiled[ClientID],$E$5,tblAsFiled[Primary_Line],"3b")</f>
        <v/>
      </c>
      <c r="F10" s="12">
        <f>D10-E10</f>
        <v/>
      </c>
      <c r="G10">
        <f>IF(ABS(F10)&lt;1,"✓ OK","⚠ CHECK")</f>
        <v/>
      </c>
    </row>
    <row r="11">
      <c r="B11" s="22" t="n">
        <v>7</v>
      </c>
      <c r="C11" t="inlineStr">
        <is>
          <t>Capital gain or (loss)</t>
        </is>
      </c>
      <c r="D11" s="12">
        <f>SUMIFS(tblMaster_Inputs[Baseline_Amount],tblMaster_Inputs[Year],$C$5,tblMaster_Inputs[ClientID],$E$5,tblMaster_Inputs[Primary_Line],"7")</f>
        <v/>
      </c>
      <c r="E11" s="12">
        <f>SUMIFS(tblAsFiled[Filed_Amount],tblAsFiled[Year],$C$5,tblAsFiled[ClientID],$E$5,tblAsFiled[Primary_Line],"7")</f>
        <v/>
      </c>
      <c r="F11" s="12">
        <f>D11-E11</f>
        <v/>
      </c>
      <c r="G11">
        <f>IF(ABS(F11)&lt;1,"✓ OK","⚠ CHECK")</f>
        <v/>
      </c>
    </row>
    <row r="12">
      <c r="B12" s="22" t="n">
        <v>8</v>
      </c>
      <c r="C12" t="inlineStr">
        <is>
          <t>Other income (Sch 1 — business)</t>
        </is>
      </c>
      <c r="D12" s="12">
        <f>SUMIFS(tblMaster_Inputs[Baseline_Amount],tblMaster_Inputs[Year],$C$5,tblMaster_Inputs[ClientID],$E$5,tblMaster_Inputs[Primary_Line],"8")</f>
        <v/>
      </c>
      <c r="E12" s="12">
        <f>SUMIFS(tblAsFiled[Filed_Amount],tblAsFiled[Year],$C$5,tblAsFiled[ClientID],$E$5,tblAsFiled[Primary_Line],"8")</f>
        <v/>
      </c>
      <c r="F12" s="12">
        <f>D12-E12</f>
        <v/>
      </c>
      <c r="G12">
        <f>IF(ABS(F12)&lt;1,"✓ OK","⚠ CHECK")</f>
        <v/>
      </c>
    </row>
    <row r="13">
      <c r="B13" s="40" t="n">
        <v>9</v>
      </c>
      <c r="C13" s="38" t="inlineStr">
        <is>
          <t>TOTAL INCOME</t>
        </is>
      </c>
      <c r="D13" s="39">
        <f>SUM(D8:D12)</f>
        <v/>
      </c>
      <c r="E13" s="39">
        <f>SUM(E8:E12)</f>
        <v/>
      </c>
      <c r="F13" s="39">
        <f>D13-E13</f>
        <v/>
      </c>
      <c r="G13" s="38">
        <f>IF(ABS(F13)&lt;1,"✓ OK","⚠ CHECK")</f>
        <v/>
      </c>
    </row>
    <row r="14">
      <c r="B14" s="22" t="n">
        <v>10</v>
      </c>
      <c r="C14" t="inlineStr">
        <is>
          <t>Adjustments to income</t>
        </is>
      </c>
      <c r="D14" s="12">
        <f>SUMIFS(tblMaster_Inputs[Baseline_Amount],tblMaster_Inputs[Year],$C$5,tblMaster_Inputs[ClientID],$E$5,tblMaster_Inputs[Primary_Line],"10")</f>
        <v/>
      </c>
      <c r="E14" s="12">
        <f>SUMIFS(tblAsFiled[Filed_Amount],tblAsFiled[Year],$C$5,tblAsFiled[ClientID],$E$5,tblAsFiled[Primary_Line],"10")</f>
        <v/>
      </c>
      <c r="F14" s="12">
        <f>D14-E14</f>
        <v/>
      </c>
      <c r="G14">
        <f>IF(ABS(F14)&lt;1,"✓ OK","⚠ CHECK")</f>
        <v/>
      </c>
    </row>
    <row r="15">
      <c r="B15" s="40" t="n">
        <v>11</v>
      </c>
      <c r="C15" s="38" t="inlineStr">
        <is>
          <t>AGI</t>
        </is>
      </c>
      <c r="D15" s="39">
        <f>D13+D14</f>
        <v/>
      </c>
      <c r="E15" s="39">
        <f>E13+E14</f>
        <v/>
      </c>
      <c r="F15" s="39">
        <f>D15-E15</f>
        <v/>
      </c>
      <c r="G15" s="38">
        <f>IF(ABS(F15)&lt;1,"✓ OK","⚠ CHECK")</f>
        <v/>
      </c>
    </row>
    <row r="16">
      <c r="B16" s="22" t="n">
        <v>12</v>
      </c>
      <c r="C16" t="inlineStr">
        <is>
          <t>Standard / Itemized deduction</t>
        </is>
      </c>
      <c r="D16" s="12">
        <f>SUMIFS(tblMaster_Inputs[Baseline_Amount],tblMaster_Inputs[Year],$C$5,tblMaster_Inputs[ClientID],$E$5,tblMaster_Inputs[Primary_Line],"12")</f>
        <v/>
      </c>
      <c r="E16" s="12">
        <f>SUMIFS(tblAsFiled[Filed_Amount],tblAsFiled[Year],$C$5,tblAsFiled[ClientID],$E$5,tblAsFiled[Primary_Line],"12")</f>
        <v/>
      </c>
      <c r="F16" s="12">
        <f>D16-E16</f>
        <v/>
      </c>
      <c r="G16">
        <f>IF(ABS(F16)&lt;1,"✓ OK","⚠ CHECK")</f>
        <v/>
      </c>
    </row>
    <row r="17">
      <c r="B17" s="41" t="n">
        <v>13</v>
      </c>
      <c r="C17" s="13" t="inlineStr">
        <is>
          <t>QBI deduction</t>
        </is>
      </c>
      <c r="D17" s="12">
        <f>SUMIFS(tblMaster_Inputs[Baseline_Amount],tblMaster_Inputs[Year],$C$5,tblMaster_Inputs[ClientID],$E$5,tblMaster_Inputs[Primary_Line],"13")</f>
        <v/>
      </c>
      <c r="E17" s="12">
        <f>SUMIFS(tblAsFiled[Filed_Amount],tblAsFiled[Year],$C$5,tblAsFiled[ClientID],$E$5,tblAsFiled[Primary_Line],"13")</f>
        <v/>
      </c>
      <c r="F17" s="12">
        <f>D17-E17</f>
        <v/>
      </c>
      <c r="G17" s="13">
        <f>IF(ABS(F17)&lt;1,"✓ OK","⚠ CHECK")</f>
        <v/>
      </c>
    </row>
    <row r="18">
      <c r="B18" s="40" t="n">
        <v>15</v>
      </c>
      <c r="C18" s="38" t="inlineStr">
        <is>
          <t>TAXABLE INCOME</t>
        </is>
      </c>
      <c r="D18" s="39">
        <f>D15+D16+D17</f>
        <v/>
      </c>
      <c r="E18" s="39">
        <f>E15+E16+E17</f>
        <v/>
      </c>
      <c r="F18" s="39">
        <f>D18-E18</f>
        <v/>
      </c>
      <c r="G18" s="38">
        <f>IF(ABS(F18)&lt;1,"✓ OK","⚠ CHECK")</f>
        <v/>
      </c>
    </row>
    <row r="20" ht="15" customHeight="1" s="19" thickBot="1">
      <c r="B20" s="18" t="inlineStr">
        <is>
          <t>RECON SUMMARY</t>
        </is>
      </c>
    </row>
    <row r="21">
      <c r="B21" t="inlineStr">
        <is>
          <t>Lines matched:</t>
        </is>
      </c>
      <c r="C21">
        <f>COUNTIF(G8:G18,"✓ OK")</f>
        <v/>
      </c>
      <c r="D21" t="inlineStr">
        <is>
          <t>of</t>
        </is>
      </c>
      <c r="E21">
        <f>COUNTA(G8:G18)</f>
        <v/>
      </c>
    </row>
    <row r="22">
      <c r="B22" t="inlineStr">
        <is>
          <t>Overall status:</t>
        </is>
      </c>
      <c r="C22" s="13">
        <f>IF(C21=E21,"✓ ALL LINES MATCH","⚠ VARIANCES FOUND — REVIEW BEFORE PLANNING")</f>
        <v/>
      </c>
    </row>
  </sheetData>
  <dataValidations count="2">
    <dataValidation sqref="C5" showDropDown="0" showInputMessage="1" showErrorMessage="1" allowBlank="1" promptTitle="Recon Year" prompt="Select the year to reconcile" type="list">
      <formula1>"2023,2024,2025,2026,2027,2028"</formula1>
    </dataValidation>
    <dataValidation sqref="E5" showDropDown="0" showInputMessage="1" showErrorMessage="1" allowBlank="1" promptTitle="Client" prompt="Select the client to reconcile" type="list">
      <formula1>"CEDILLO,SAMPLE"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4.5"/>
  <cols>
    <col width="3.6328125" customWidth="1" style="19" min="1" max="1"/>
    <col width="27.26953125" customWidth="1" style="19" min="2" max="2"/>
    <col width="23.6328125" customWidth="1" style="19" min="3" max="3"/>
    <col width="15.453125" customWidth="1" style="19" min="4" max="9"/>
    <col width="17.26953125" customWidth="1" style="19" min="10" max="10"/>
  </cols>
  <sheetData>
    <row r="2" ht="18.5" customHeight="1" s="19">
      <c r="B2" s="15" t="inlineStr">
        <is>
          <t>PIVOT GETPIVOTDATA — Multi-Year Named Range Bridge</t>
        </is>
      </c>
    </row>
    <row r="3">
      <c r="B3" s="16" t="inlineStr">
        <is>
          <t>Full year grid + Active_Year column (→ VP_ named ranges). GETPIVOTDATA pulls directly from visual pivots.</t>
        </is>
      </c>
    </row>
    <row r="5" ht="15" customHeight="1" s="19" thickBot="1">
      <c r="B5" s="18" t="inlineStr">
        <is>
          <t>INCOME BY 1040 LINE</t>
        </is>
      </c>
      <c r="C5" s="18" t="n"/>
      <c r="D5" s="35" t="n"/>
      <c r="E5" s="35" t="n"/>
      <c r="F5" s="35" t="n"/>
      <c r="G5" s="35" t="n"/>
      <c r="H5" s="35" t="n"/>
      <c r="I5" s="35" t="n"/>
      <c r="J5" s="18" t="n"/>
    </row>
    <row r="6">
      <c r="B6" s="26" t="inlineStr">
        <is>
          <t>Named Range</t>
        </is>
      </c>
      <c r="C6" s="26" t="inlineStr">
        <is>
          <t>Description</t>
        </is>
      </c>
      <c r="D6" s="26" t="n">
        <v>2023</v>
      </c>
      <c r="E6" s="26" t="n">
        <v>2024</v>
      </c>
      <c r="F6" s="26" t="n">
        <v>2025</v>
      </c>
      <c r="G6" s="26" t="n">
        <v>2026</v>
      </c>
      <c r="H6" s="26" t="n">
        <v>2027</v>
      </c>
      <c r="I6" s="26" t="n">
        <v>2028</v>
      </c>
      <c r="J6" s="42" t="inlineStr">
        <is>
          <t>Active Year</t>
        </is>
      </c>
    </row>
    <row r="7">
      <c r="B7" s="27" t="inlineStr">
        <is>
          <t>VP_Line_1z_Wages</t>
        </is>
      </c>
      <c r="C7" t="inlineStr">
        <is>
          <t>Wages (1z)</t>
        </is>
      </c>
      <c r="D7" s="12">
        <f>IFERROR(GETPIVOTDATA("Baseline_Amount",Visual_Pivot_Income!$B$5,"Primary_Line","1z","Year",2023),0)</f>
        <v/>
      </c>
      <c r="E7" s="12">
        <f>IFERROR(GETPIVOTDATA("Baseline_Amount",Visual_Pivot_Income!$B$5,"Primary_Line","1z","Year",2024),0)</f>
        <v/>
      </c>
      <c r="F7" s="12">
        <f>IFERROR(GETPIVOTDATA("Baseline_Amount",Visual_Pivot_Income!$B$5,"Primary_Line","1z","Year",2025),0)</f>
        <v/>
      </c>
      <c r="G7" s="12">
        <f>IFERROR(GETPIVOTDATA("Baseline_Amount",Visual_Pivot_Income!$B$5,"Primary_Line","1z","Year",2026),0)</f>
        <v/>
      </c>
      <c r="H7" s="12">
        <f>IFERROR(GETPIVOTDATA("Baseline_Amount",Visual_Pivot_Income!$B$5,"Primary_Line","1z","Year",2027),0)</f>
        <v/>
      </c>
      <c r="I7" s="12">
        <f>IFERROR(GETPIVOTDATA("Baseline_Amount",Visual_Pivot_Income!$B$5,"Primary_Line","1z","Year",2028),0)</f>
        <v/>
      </c>
      <c r="J7" s="46">
        <f>IFERROR(GETPIVOTDATA("Baseline_Amount",Visual_Pivot_Income!$B$5,"Primary_Line","1z","Year",Active_Year),0)</f>
        <v/>
      </c>
    </row>
    <row r="8">
      <c r="B8" s="27" t="inlineStr">
        <is>
          <t>VP_Line_2b_TaxInt</t>
        </is>
      </c>
      <c r="C8" t="inlineStr">
        <is>
          <t>Tax Interest (2b)</t>
        </is>
      </c>
      <c r="D8" s="12">
        <f>IFERROR(GETPIVOTDATA("Baseline_Amount",Visual_Pivot_Income!$B$5,"Primary_Line","2b","Year",2023),0)</f>
        <v/>
      </c>
      <c r="E8" s="12">
        <f>IFERROR(GETPIVOTDATA("Baseline_Amount",Visual_Pivot_Income!$B$5,"Primary_Line","2b","Year",2024),0)</f>
        <v/>
      </c>
      <c r="F8" s="12">
        <f>IFERROR(GETPIVOTDATA("Baseline_Amount",Visual_Pivot_Income!$B$5,"Primary_Line","2b","Year",2025),0)</f>
        <v/>
      </c>
      <c r="G8" s="12">
        <f>IFERROR(GETPIVOTDATA("Baseline_Amount",Visual_Pivot_Income!$B$5,"Primary_Line","2b","Year",2026),0)</f>
        <v/>
      </c>
      <c r="H8" s="12">
        <f>IFERROR(GETPIVOTDATA("Baseline_Amount",Visual_Pivot_Income!$B$5,"Primary_Line","2b","Year",2027),0)</f>
        <v/>
      </c>
      <c r="I8" s="12">
        <f>IFERROR(GETPIVOTDATA("Baseline_Amount",Visual_Pivot_Income!$B$5,"Primary_Line","2b","Year",2028),0)</f>
        <v/>
      </c>
      <c r="J8" s="46">
        <f>IFERROR(GETPIVOTDATA("Baseline_Amount",Visual_Pivot_Income!$B$5,"Primary_Line","2b","Year",Active_Year),0)</f>
        <v/>
      </c>
    </row>
    <row r="9">
      <c r="B9" s="27" t="inlineStr">
        <is>
          <t>VP_Line_3b_OrdDiv</t>
        </is>
      </c>
      <c r="C9" t="inlineStr">
        <is>
          <t>Ord Dividends (3b)</t>
        </is>
      </c>
      <c r="D9" s="12">
        <f>IFERROR(GETPIVOTDATA("Baseline_Amount",Visual_Pivot_Income!$B$5,"Primary_Line","3b","Year",2023),0)</f>
        <v/>
      </c>
      <c r="E9" s="12">
        <f>IFERROR(GETPIVOTDATA("Baseline_Amount",Visual_Pivot_Income!$B$5,"Primary_Line","3b","Year",2024),0)</f>
        <v/>
      </c>
      <c r="F9" s="12">
        <f>IFERROR(GETPIVOTDATA("Baseline_Amount",Visual_Pivot_Income!$B$5,"Primary_Line","3b","Year",2025),0)</f>
        <v/>
      </c>
      <c r="G9" s="12">
        <f>IFERROR(GETPIVOTDATA("Baseline_Amount",Visual_Pivot_Income!$B$5,"Primary_Line","3b","Year",2026),0)</f>
        <v/>
      </c>
      <c r="H9" s="12">
        <f>IFERROR(GETPIVOTDATA("Baseline_Amount",Visual_Pivot_Income!$B$5,"Primary_Line","3b","Year",2027),0)</f>
        <v/>
      </c>
      <c r="I9" s="12">
        <f>IFERROR(GETPIVOTDATA("Baseline_Amount",Visual_Pivot_Income!$B$5,"Primary_Line","3b","Year",2028),0)</f>
        <v/>
      </c>
      <c r="J9" s="46">
        <f>IFERROR(GETPIVOTDATA("Baseline_Amount",Visual_Pivot_Income!$B$5,"Primary_Line","3b","Year",Active_Year),0)</f>
        <v/>
      </c>
    </row>
    <row r="10">
      <c r="B10" s="27" t="inlineStr">
        <is>
          <t>VP_Line_7_CapGain</t>
        </is>
      </c>
      <c r="C10" t="inlineStr">
        <is>
          <t>Cap Gains (7)</t>
        </is>
      </c>
      <c r="D10" s="12">
        <f>IFERROR(GETPIVOTDATA("Baseline_Amount",Visual_Pivot_Income!$B$5,"Primary_Line","7","Year",2023),0)</f>
        <v/>
      </c>
      <c r="E10" s="12">
        <f>IFERROR(GETPIVOTDATA("Baseline_Amount",Visual_Pivot_Income!$B$5,"Primary_Line","7","Year",2024),0)</f>
        <v/>
      </c>
      <c r="F10" s="12">
        <f>IFERROR(GETPIVOTDATA("Baseline_Amount",Visual_Pivot_Income!$B$5,"Primary_Line","7","Year",2025),0)</f>
        <v/>
      </c>
      <c r="G10" s="12">
        <f>IFERROR(GETPIVOTDATA("Baseline_Amount",Visual_Pivot_Income!$B$5,"Primary_Line","7","Year",2026),0)</f>
        <v/>
      </c>
      <c r="H10" s="12">
        <f>IFERROR(GETPIVOTDATA("Baseline_Amount",Visual_Pivot_Income!$B$5,"Primary_Line","7","Year",2027),0)</f>
        <v/>
      </c>
      <c r="I10" s="12">
        <f>IFERROR(GETPIVOTDATA("Baseline_Amount",Visual_Pivot_Income!$B$5,"Primary_Line","7","Year",2028),0)</f>
        <v/>
      </c>
      <c r="J10" s="46">
        <f>IFERROR(GETPIVOTDATA("Baseline_Amount",Visual_Pivot_Income!$B$5,"Primary_Line","7","Year",Active_Year),0)</f>
        <v/>
      </c>
    </row>
    <row r="11">
      <c r="B11" s="27" t="inlineStr">
        <is>
          <t>VP_Line_8_OtherInc</t>
        </is>
      </c>
      <c r="C11" t="inlineStr">
        <is>
          <t>Business/Other (8)</t>
        </is>
      </c>
      <c r="D11" s="12">
        <f>IFERROR(GETPIVOTDATA("Baseline_Amount",Visual_Pivot_Income!$B$5,"Primary_Line","8","Year",2023),0)</f>
        <v/>
      </c>
      <c r="E11" s="12">
        <f>IFERROR(GETPIVOTDATA("Baseline_Amount",Visual_Pivot_Income!$B$5,"Primary_Line","8","Year",2024),0)</f>
        <v/>
      </c>
      <c r="F11" s="12">
        <f>IFERROR(GETPIVOTDATA("Baseline_Amount",Visual_Pivot_Income!$B$5,"Primary_Line","8","Year",2025),0)</f>
        <v/>
      </c>
      <c r="G11" s="12">
        <f>IFERROR(GETPIVOTDATA("Baseline_Amount",Visual_Pivot_Income!$B$5,"Primary_Line","8","Year",2026),0)</f>
        <v/>
      </c>
      <c r="H11" s="12">
        <f>IFERROR(GETPIVOTDATA("Baseline_Amount",Visual_Pivot_Income!$B$5,"Primary_Line","8","Year",2027),0)</f>
        <v/>
      </c>
      <c r="I11" s="12">
        <f>IFERROR(GETPIVOTDATA("Baseline_Amount",Visual_Pivot_Income!$B$5,"Primary_Line","8","Year",2028),0)</f>
        <v/>
      </c>
      <c r="J11" s="46">
        <f>IFERROR(GETPIVOTDATA("Baseline_Amount",Visual_Pivot_Income!$B$5,"Primary_Line","8","Year",Active_Year),0)</f>
        <v/>
      </c>
    </row>
    <row r="12">
      <c r="B12" s="27" t="inlineStr">
        <is>
          <t>VP_Line_12_Deduction</t>
        </is>
      </c>
      <c r="C12" t="inlineStr">
        <is>
          <t>Std/Item Ded (12)</t>
        </is>
      </c>
      <c r="D12" s="12">
        <f>IFERROR(GETPIVOTDATA("Baseline_Amount",Visual_Pivot_Income!$B$5,"Primary_Line","12","Year",2023),0)</f>
        <v/>
      </c>
      <c r="E12" s="12">
        <f>IFERROR(GETPIVOTDATA("Baseline_Amount",Visual_Pivot_Income!$B$5,"Primary_Line","12","Year",2024),0)</f>
        <v/>
      </c>
      <c r="F12" s="12">
        <f>IFERROR(GETPIVOTDATA("Baseline_Amount",Visual_Pivot_Income!$B$5,"Primary_Line","12","Year",2025),0)</f>
        <v/>
      </c>
      <c r="G12" s="12">
        <f>IFERROR(GETPIVOTDATA("Baseline_Amount",Visual_Pivot_Income!$B$5,"Primary_Line","12","Year",2026),0)</f>
        <v/>
      </c>
      <c r="H12" s="12">
        <f>IFERROR(GETPIVOTDATA("Baseline_Amount",Visual_Pivot_Income!$B$5,"Primary_Line","12","Year",2027),0)</f>
        <v/>
      </c>
      <c r="I12" s="12">
        <f>IFERROR(GETPIVOTDATA("Baseline_Amount",Visual_Pivot_Income!$B$5,"Primary_Line","12","Year",2028),0)</f>
        <v/>
      </c>
      <c r="J12" s="46">
        <f>IFERROR(GETPIVOTDATA("Baseline_Amount",Visual_Pivot_Income!$B$5,"Primary_Line","12","Year",Active_Year),0)</f>
        <v/>
      </c>
    </row>
    <row r="13">
      <c r="B13" s="27" t="inlineStr">
        <is>
          <t>VP_TotalIncome</t>
        </is>
      </c>
      <c r="C13" t="inlineStr">
        <is>
          <t>Grand Total</t>
        </is>
      </c>
      <c r="D13" s="12">
        <f>IFERROR(GETPIVOTDATA("Baseline_Amount",Visual_Pivot_Income!$B$5,"Year",2023),0)</f>
        <v/>
      </c>
      <c r="E13" s="12">
        <f>IFERROR(GETPIVOTDATA("Baseline_Amount",Visual_Pivot_Income!$B$5,"Year",2024),0)</f>
        <v/>
      </c>
      <c r="F13" s="12">
        <f>IFERROR(GETPIVOTDATA("Baseline_Amount",Visual_Pivot_Income!$B$5,"Year",2025),0)</f>
        <v/>
      </c>
      <c r="G13" s="12">
        <f>IFERROR(GETPIVOTDATA("Baseline_Amount",Visual_Pivot_Income!$B$5,"Year",2026),0)</f>
        <v/>
      </c>
      <c r="H13" s="12">
        <f>IFERROR(GETPIVOTDATA("Baseline_Amount",Visual_Pivot_Income!$B$5,"Year",2027),0)</f>
        <v/>
      </c>
      <c r="I13" s="12">
        <f>IFERROR(GETPIVOTDATA("Baseline_Amount",Visual_Pivot_Income!$B$5,"Year",2028),0)</f>
        <v/>
      </c>
      <c r="J13" s="46">
        <f>IFERROR(GETPIVOTDATA("Baseline_Amount",Visual_Pivot_Income!$B$5,"Year",Active_Year),0)</f>
        <v/>
      </c>
    </row>
    <row r="14">
      <c r="D14" s="12" t="n"/>
      <c r="E14" s="12" t="n"/>
      <c r="F14" s="12" t="n"/>
      <c r="G14" s="12" t="n"/>
      <c r="H14" s="12" t="n"/>
      <c r="I14" s="12" t="n"/>
      <c r="J14" s="12" t="n"/>
    </row>
    <row r="15" ht="15" customHeight="1" s="19" thickBot="1">
      <c r="B15" s="18" t="inlineStr">
        <is>
          <t>HELPER CARVE-OUTS</t>
        </is>
      </c>
      <c r="C15" s="18" t="n"/>
      <c r="D15" s="43" t="n"/>
      <c r="E15" s="43" t="n"/>
      <c r="F15" s="43" t="n"/>
      <c r="G15" s="43" t="n"/>
      <c r="H15" s="43" t="n"/>
      <c r="I15" s="43" t="n"/>
      <c r="J15" s="43" t="n"/>
    </row>
    <row r="16">
      <c r="B16" s="26" t="inlineStr">
        <is>
          <t>Named Range</t>
        </is>
      </c>
      <c r="C16" s="26" t="inlineStr">
        <is>
          <t>Description</t>
        </is>
      </c>
      <c r="D16" s="44" t="n">
        <v>2023</v>
      </c>
      <c r="E16" s="44" t="n">
        <v>2024</v>
      </c>
      <c r="F16" s="44" t="n">
        <v>2025</v>
      </c>
      <c r="G16" s="44" t="n">
        <v>2026</v>
      </c>
      <c r="H16" s="44" t="n">
        <v>2027</v>
      </c>
      <c r="I16" s="44" t="n">
        <v>2028</v>
      </c>
      <c r="J16" s="45" t="inlineStr">
        <is>
          <t>Active Year</t>
        </is>
      </c>
    </row>
    <row r="17">
      <c r="B17" s="27" t="inlineStr">
        <is>
          <t>VP_OWNER_PAY</t>
        </is>
      </c>
      <c r="C17" t="inlineStr">
        <is>
          <t>Owner Wages</t>
        </is>
      </c>
      <c r="D17" s="12">
        <f>IFERROR(GETPIVOTDATA("Helper_Amount",Visual_Pivot_HelperCarveOuts!$B$5,"Helper_Treatment","OWNER_PAY","Year",2023),0)</f>
        <v/>
      </c>
      <c r="E17" s="12">
        <f>IFERROR(GETPIVOTDATA("Helper_Amount",Visual_Pivot_HelperCarveOuts!$B$5,"Helper_Treatment","OWNER_PAY","Year",2024),0)</f>
        <v/>
      </c>
      <c r="F17" s="12">
        <f>IFERROR(GETPIVOTDATA("Helper_Amount",Visual_Pivot_HelperCarveOuts!$B$5,"Helper_Treatment","OWNER_PAY","Year",2025),0)</f>
        <v/>
      </c>
      <c r="G17" s="12">
        <f>IFERROR(GETPIVOTDATA("Helper_Amount",Visual_Pivot_HelperCarveOuts!$B$5,"Helper_Treatment","OWNER_PAY","Year",2026),0)</f>
        <v/>
      </c>
      <c r="H17" s="12">
        <f>IFERROR(GETPIVOTDATA("Helper_Amount",Visual_Pivot_HelperCarveOuts!$B$5,"Helper_Treatment","OWNER_PAY","Year",2027),0)</f>
        <v/>
      </c>
      <c r="I17" s="12">
        <f>IFERROR(GETPIVOTDATA("Helper_Amount",Visual_Pivot_HelperCarveOuts!$B$5,"Helper_Treatment","OWNER_PAY","Year",2028),0)</f>
        <v/>
      </c>
      <c r="J17" s="46">
        <f>IFERROR(GETPIVOTDATA("Helper_Amount",Visual_Pivot_HelperCarveOuts!$B$5,"Helper_Treatment","OWNER_PAY","Year",Active_Year),0)</f>
        <v/>
      </c>
    </row>
    <row r="18">
      <c r="B18" s="27" t="inlineStr">
        <is>
          <t>VP_QUAL_DIV</t>
        </is>
      </c>
      <c r="C18" t="inlineStr">
        <is>
          <t>Qualified Dividends</t>
        </is>
      </c>
      <c r="D18" s="12">
        <f>IFERROR(GETPIVOTDATA("Helper_Amount",Visual_Pivot_HelperCarveOuts!$B$5,"Helper_Treatment","QUAL_DIV","Year",2023),0)</f>
        <v/>
      </c>
      <c r="E18" s="12">
        <f>IFERROR(GETPIVOTDATA("Helper_Amount",Visual_Pivot_HelperCarveOuts!$B$5,"Helper_Treatment","QUAL_DIV","Year",2024),0)</f>
        <v/>
      </c>
      <c r="F18" s="12">
        <f>IFERROR(GETPIVOTDATA("Helper_Amount",Visual_Pivot_HelperCarveOuts!$B$5,"Helper_Treatment","QUAL_DIV","Year",2025),0)</f>
        <v/>
      </c>
      <c r="G18" s="12">
        <f>IFERROR(GETPIVOTDATA("Helper_Amount",Visual_Pivot_HelperCarveOuts!$B$5,"Helper_Treatment","QUAL_DIV","Year",2026),0)</f>
        <v/>
      </c>
      <c r="H18" s="12">
        <f>IFERROR(GETPIVOTDATA("Helper_Amount",Visual_Pivot_HelperCarveOuts!$B$5,"Helper_Treatment","QUAL_DIV","Year",2027),0)</f>
        <v/>
      </c>
      <c r="I18" s="12">
        <f>IFERROR(GETPIVOTDATA("Helper_Amount",Visual_Pivot_HelperCarveOuts!$B$5,"Helper_Treatment","QUAL_DIV","Year",2028),0)</f>
        <v/>
      </c>
      <c r="J18" s="46">
        <f>IFERROR(GETPIVOTDATA("Helper_Amount",Visual_Pivot_HelperCarveOuts!$B$5,"Helper_Treatment","QUAL_DIV","Year",Active_Year),0)</f>
        <v/>
      </c>
    </row>
    <row r="19">
      <c r="D19" s="12" t="n"/>
      <c r="E19" s="12" t="n"/>
      <c r="F19" s="12" t="n"/>
      <c r="G19" s="12" t="n"/>
      <c r="H19" s="12" t="n"/>
      <c r="I19" s="12" t="n"/>
      <c r="J19" s="12" t="n"/>
    </row>
    <row r="20" ht="15" customHeight="1" s="19" thickBot="1">
      <c r="B20" s="18" t="inlineStr">
        <is>
          <t>BUSINESS INCOME BY TREATMENT</t>
        </is>
      </c>
      <c r="C20" s="18" t="n"/>
      <c r="D20" s="43" t="n"/>
      <c r="E20" s="43" t="n"/>
      <c r="F20" s="43" t="n"/>
      <c r="G20" s="43" t="n"/>
      <c r="H20" s="43" t="n"/>
      <c r="I20" s="43" t="n"/>
      <c r="J20" s="43" t="n"/>
    </row>
    <row r="21">
      <c r="B21" s="26" t="inlineStr">
        <is>
          <t>Named Range</t>
        </is>
      </c>
      <c r="C21" s="26" t="inlineStr">
        <is>
          <t>Description</t>
        </is>
      </c>
      <c r="D21" s="44" t="n">
        <v>2023</v>
      </c>
      <c r="E21" s="44" t="n">
        <v>2024</v>
      </c>
      <c r="F21" s="44" t="n">
        <v>2025</v>
      </c>
      <c r="G21" s="44" t="n">
        <v>2026</v>
      </c>
      <c r="H21" s="44" t="n">
        <v>2027</v>
      </c>
      <c r="I21" s="44" t="n">
        <v>2028</v>
      </c>
      <c r="J21" s="45" t="inlineStr">
        <is>
          <t>Active Year</t>
        </is>
      </c>
    </row>
    <row r="22">
      <c r="B22" s="27" t="inlineStr">
        <is>
          <t>VP_BI_K1_SCorp_Active</t>
        </is>
      </c>
      <c r="C22" t="inlineStr">
        <is>
          <t>S-Corp K-1 Active</t>
        </is>
      </c>
      <c r="D22" s="12">
        <f>IFERROR(GETPIVOTDATA("Baseline_Amount",Visual_Pivot_BusinessIncome!$B$5,"Treatment_Profile","K1_SCorp_Active","Year",2023),0)</f>
        <v/>
      </c>
      <c r="E22" s="12">
        <f>IFERROR(GETPIVOTDATA("Baseline_Amount",Visual_Pivot_BusinessIncome!$B$5,"Treatment_Profile","K1_SCorp_Active","Year",2024),0)</f>
        <v/>
      </c>
      <c r="F22" s="12">
        <f>IFERROR(GETPIVOTDATA("Baseline_Amount",Visual_Pivot_BusinessIncome!$B$5,"Treatment_Profile","K1_SCorp_Active","Year",2025),0)</f>
        <v/>
      </c>
      <c r="G22" s="12">
        <f>IFERROR(GETPIVOTDATA("Baseline_Amount",Visual_Pivot_BusinessIncome!$B$5,"Treatment_Profile","K1_SCorp_Active","Year",2026),0)</f>
        <v/>
      </c>
      <c r="H22" s="12">
        <f>IFERROR(GETPIVOTDATA("Baseline_Amount",Visual_Pivot_BusinessIncome!$B$5,"Treatment_Profile","K1_SCorp_Active","Year",2027),0)</f>
        <v/>
      </c>
      <c r="I22" s="12">
        <f>IFERROR(GETPIVOTDATA("Baseline_Amount",Visual_Pivot_BusinessIncome!$B$5,"Treatment_Profile","K1_SCorp_Active","Year",2028),0)</f>
        <v/>
      </c>
      <c r="J22" s="46">
        <f>IFERROR(GETPIVOTDATA("Baseline_Amount",Visual_Pivot_BusinessIncome!$B$5,"Treatment_Profile","K1_SCorp_Active","Year",Active_Year),0)</f>
        <v/>
      </c>
    </row>
    <row r="23">
      <c r="B23" s="27" t="inlineStr">
        <is>
          <t>VP_BI_K1_PTP_Passive</t>
        </is>
      </c>
      <c r="C23" t="inlineStr">
        <is>
          <t>PTP K-1 Passive</t>
        </is>
      </c>
      <c r="D23" s="12">
        <f>IFERROR(GETPIVOTDATA("Baseline_Amount",Visual_Pivot_BusinessIncome!$B$5,"Treatment_Profile","K1_PTP_Passive","Year",2023),0)</f>
        <v/>
      </c>
      <c r="E23" s="12">
        <f>IFERROR(GETPIVOTDATA("Baseline_Amount",Visual_Pivot_BusinessIncome!$B$5,"Treatment_Profile","K1_PTP_Passive","Year",2024),0)</f>
        <v/>
      </c>
      <c r="F23" s="12">
        <f>IFERROR(GETPIVOTDATA("Baseline_Amount",Visual_Pivot_BusinessIncome!$B$5,"Treatment_Profile","K1_PTP_Passive","Year",2025),0)</f>
        <v/>
      </c>
      <c r="G23" s="12">
        <f>IFERROR(GETPIVOTDATA("Baseline_Amount",Visual_Pivot_BusinessIncome!$B$5,"Treatment_Profile","K1_PTP_Passive","Year",2026),0)</f>
        <v/>
      </c>
      <c r="H23" s="12">
        <f>IFERROR(GETPIVOTDATA("Baseline_Amount",Visual_Pivot_BusinessIncome!$B$5,"Treatment_Profile","K1_PTP_Passive","Year",2027),0)</f>
        <v/>
      </c>
      <c r="I23" s="12">
        <f>IFERROR(GETPIVOTDATA("Baseline_Amount",Visual_Pivot_BusinessIncome!$B$5,"Treatment_Profile","K1_PTP_Passive","Year",2028),0)</f>
        <v/>
      </c>
      <c r="J23" s="46">
        <f>IFERROR(GETPIVOTDATA("Baseline_Amount",Visual_Pivot_BusinessIncome!$B$5,"Treatment_Profile","K1_PTP_Passive","Year",Active_Year),0)</f>
        <v/>
      </c>
    </row>
    <row r="24">
      <c r="B24" s="27" t="inlineStr">
        <is>
          <t>VP_BI_SchE_Rental</t>
        </is>
      </c>
      <c r="C24" t="inlineStr">
        <is>
          <t>Sch E Rental</t>
        </is>
      </c>
      <c r="D24" s="12">
        <f>IFERROR(GETPIVOTDATA("Baseline_Amount",Visual_Pivot_BusinessIncome!$B$5,"Treatment_Profile","SchE_Rental","Year",2023),0)</f>
        <v/>
      </c>
      <c r="E24" s="12">
        <f>IFERROR(GETPIVOTDATA("Baseline_Amount",Visual_Pivot_BusinessIncome!$B$5,"Treatment_Profile","SchE_Rental","Year",2024),0)</f>
        <v/>
      </c>
      <c r="F24" s="12">
        <f>IFERROR(GETPIVOTDATA("Baseline_Amount",Visual_Pivot_BusinessIncome!$B$5,"Treatment_Profile","SchE_Rental","Year",2025),0)</f>
        <v/>
      </c>
      <c r="G24" s="12">
        <f>IFERROR(GETPIVOTDATA("Baseline_Amount",Visual_Pivot_BusinessIncome!$B$5,"Treatment_Profile","SchE_Rental","Year",2026),0)</f>
        <v/>
      </c>
      <c r="H24" s="12">
        <f>IFERROR(GETPIVOTDATA("Baseline_Amount",Visual_Pivot_BusinessIncome!$B$5,"Treatment_Profile","SchE_Rental","Year",2027),0)</f>
        <v/>
      </c>
      <c r="I24" s="12">
        <f>IFERROR(GETPIVOTDATA("Baseline_Amount",Visual_Pivot_BusinessIncome!$B$5,"Treatment_Profile","SchE_Rental","Year",2028),0)</f>
        <v/>
      </c>
      <c r="J24" s="46">
        <f>IFERROR(GETPIVOTDATA("Baseline_Amount",Visual_Pivot_BusinessIncome!$B$5,"Treatment_Profile","SchE_Rental","Year",Active_Year),0)</f>
        <v/>
      </c>
    </row>
    <row r="25">
      <c r="B25" s="27" t="inlineStr">
        <is>
          <t>VP_BI_Total</t>
        </is>
      </c>
      <c r="C25" t="inlineStr">
        <is>
          <t>Business Total</t>
        </is>
      </c>
      <c r="D25" s="12">
        <f>IFERROR(GETPIVOTDATA("Baseline_Amount",Visual_Pivot_BusinessIncome!$B$5,"Year",2023),0)</f>
        <v/>
      </c>
      <c r="E25" s="12">
        <f>IFERROR(GETPIVOTDATA("Baseline_Amount",Visual_Pivot_BusinessIncome!$B$5,"Year",2024),0)</f>
        <v/>
      </c>
      <c r="F25" s="12">
        <f>IFERROR(GETPIVOTDATA("Baseline_Amount",Visual_Pivot_BusinessIncome!$B$5,"Year",2025),0)</f>
        <v/>
      </c>
      <c r="G25" s="12">
        <f>IFERROR(GETPIVOTDATA("Baseline_Amount",Visual_Pivot_BusinessIncome!$B$5,"Year",2026),0)</f>
        <v/>
      </c>
      <c r="H25" s="12">
        <f>IFERROR(GETPIVOTDATA("Baseline_Amount",Visual_Pivot_BusinessIncome!$B$5,"Year",2027),0)</f>
        <v/>
      </c>
      <c r="I25" s="12">
        <f>IFERROR(GETPIVOTDATA("Baseline_Amount",Visual_Pivot_BusinessIncome!$B$5,"Year",2028),0)</f>
        <v/>
      </c>
      <c r="J25" s="46">
        <f>IFERROR(GETPIVOTDATA("Baseline_Amount",Visual_Pivot_BusinessIncome!$B$5,"Year",Active_Year),0)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4472C4"/>
    <outlinePr summaryBelow="1" summaryRight="1"/>
    <pageSetUpPr/>
  </sheetPr>
  <dimension ref="A1:P136"/>
  <sheetViews>
    <sheetView workbookViewId="0">
      <selection activeCell="L53" sqref="L53"/>
    </sheetView>
  </sheetViews>
  <sheetFormatPr baseColWidth="8" defaultRowHeight="14.5"/>
  <cols>
    <col width="12" customWidth="1" style="19" min="1" max="1"/>
    <col width="36" customWidth="1" style="19" min="2" max="2"/>
    <col width="12" customWidth="1" style="19" min="3" max="3"/>
    <col width="14" customWidth="1" style="19" min="4" max="5"/>
    <col width="32" customWidth="1" style="19" min="6" max="6"/>
    <col width="3" customWidth="1" style="19" min="7" max="7"/>
    <col width="36" customWidth="1" style="19" min="8" max="8"/>
    <col width="16" customWidth="1" style="19" min="9" max="9"/>
    <col width="6.36328125" customWidth="1" style="19" min="10" max="10"/>
    <col width="16" customWidth="1" style="19" min="11" max="11"/>
    <col width="14" customWidth="1" style="19" min="12" max="12"/>
    <col width="16" customWidth="1" style="19" min="13" max="13"/>
    <col width="9" customWidth="1" style="19" min="14" max="15"/>
  </cols>
  <sheetData>
    <row r="1" ht="18.5" customHeight="1" s="19">
      <c r="A1" s="17" t="inlineStr">
        <is>
          <t>Y2023 — standalone tax planning sandbox</t>
        </is>
      </c>
    </row>
    <row r="2" ht="14.5" customHeight="1" s="19">
      <c r="A2" s="90" t="inlineStr">
        <is>
          <t>Strategies: enter Amount + Status below. Committed strategies flow to rollup M column. Push to Master_Inputs when final.</t>
        </is>
      </c>
    </row>
    <row r="3" ht="14.5" customHeight="1" s="19"/>
    <row r="4" ht="14.5" customHeight="1" s="19">
      <c r="A4" s="101" t="inlineStr">
        <is>
          <t>▸ STRATEGIES</t>
        </is>
      </c>
    </row>
    <row r="5" ht="14.5" customHeight="1" s="1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s="3" t="inlineStr">
        <is>
          <t>Line</t>
        </is>
      </c>
      <c r="I5" s="3" t="inlineStr">
        <is>
          <t>Description</t>
        </is>
      </c>
      <c r="J5" s="3" t="inlineStr">
        <is>
          <t>Baseline (Master)</t>
        </is>
      </c>
      <c r="K5" s="54" t="inlineStr">
        <is>
          <t>PY?</t>
        </is>
      </c>
      <c r="L5" s="3" t="inlineStr">
        <is>
          <t>S1 Override</t>
        </is>
      </c>
      <c r="M5" s="3" t="inlineStr">
        <is>
          <t>Strategies</t>
        </is>
      </c>
      <c r="N5" s="3" t="inlineStr">
        <is>
          <t>Effective</t>
        </is>
      </c>
      <c r="O5" s="100" t="inlineStr">
        <is>
          <t>Eff w/ Strategies</t>
        </is>
      </c>
      <c r="P5" s="3" t="inlineStr">
        <is>
          <t>Drill</t>
        </is>
      </c>
    </row>
    <row r="6" ht="14.5" customHeight="1" s="19">
      <c r="A6" s="66" t="inlineStr">
        <is>
          <t>STR-001</t>
        </is>
      </c>
      <c r="B6" s="66" t="inlineStr">
        <is>
          <t>S-Corp Wage Optimization</t>
        </is>
      </c>
      <c r="C6" s="66" t="inlineStr">
        <is>
          <t>1z</t>
        </is>
      </c>
      <c r="D6" s="94" t="n"/>
      <c r="E6" s="66" t="n"/>
      <c r="F6" s="66" t="n"/>
      <c r="G6" s="66" t="n"/>
      <c r="H6" t="inlineStr">
        <is>
          <t>1z</t>
        </is>
      </c>
      <c r="I6" t="inlineStr">
        <is>
          <t>Wages</t>
        </is>
      </c>
      <c r="J6" s="12">
        <f>SUMIFS(tblMaster_Inputs[Baseline_Amount], tblMaster_Inputs[Year], 2023, tblMaster_Inputs[Primary_Line], $H6, tblMaster_Inputs[Activity_Type], "Baseline")</f>
        <v/>
      </c>
      <c r="K6" s="55" t="n"/>
      <c r="L6" s="4" t="n"/>
      <c r="M6" s="12">
        <f>SUMIFS(tblY2023_Strategies[Amount],tblY2023_Strategies[TargetLine],$H6)-SUMIFS(tblY2023_Strategies[Amount],tblY2023_Strategies[CounterLine],$H6)</f>
        <v/>
      </c>
      <c r="N6" s="12">
        <f>IF(UPPER(K6)="Y",SUMIFS(tblMaster_Inputs[Baseline_Amount],tblMaster_Inputs[Year],2022,tblMaster_Inputs[Primary_Line],"1z"),IF(ISBLANK(L6),J6,L6))</f>
        <v/>
      </c>
      <c r="O6" s="12">
        <f>N6+M6</f>
        <v/>
      </c>
      <c r="P6" s="8">
        <f>HYPERLINK("#Y2023!I49", "↗ drill")</f>
        <v/>
      </c>
    </row>
    <row r="7" ht="14.5" customHeight="1" s="19">
      <c r="A7" s="66" t="inlineStr">
        <is>
          <t>STR-002</t>
        </is>
      </c>
      <c r="B7" s="66" t="inlineStr">
        <is>
          <t>HSA Family Max</t>
        </is>
      </c>
      <c r="C7" s="66" t="n">
        <v>10</v>
      </c>
      <c r="D7" s="94" t="n"/>
      <c r="E7" s="66" t="n"/>
      <c r="F7" s="66" t="n"/>
      <c r="G7" s="66" t="n"/>
      <c r="H7" t="inlineStr">
        <is>
          <t>2a</t>
        </is>
      </c>
      <c r="I7" t="inlineStr">
        <is>
          <t>Tax-exempt interest (informational — Helper)</t>
        </is>
      </c>
      <c r="J7" s="12">
        <f>SUMIFS(tblMaster_Inputs[Helper_Amount], tblMaster_Inputs[Year], 2023, tblMaster_Inputs[Helper_Treatment], "TAX_EXEMPT")</f>
        <v/>
      </c>
      <c r="K7" s="55" t="n"/>
      <c r="L7" s="4" t="n"/>
      <c r="M7">
        <f>SUMIFS(tblY2023_Strategies[Amount],tblY2023_Strategies[TargetLine],"2a",tblY2023_Strategies[Status],"Committed")</f>
        <v/>
      </c>
      <c r="N7" s="12">
        <f>IF(UPPER(K7)="Y",SUMIFS(tblMaster_Inputs[Helper_Amount],tblMaster_Inputs[Year],2022,tblMaster_Inputs[Helper_Treatment],"TAX_EXEMPT"),IF(ISBLANK(L7),J7,L7))</f>
        <v/>
      </c>
      <c r="O7" s="12">
        <f>N7</f>
        <v/>
      </c>
      <c r="P7" s="8">
        <f>HYPERLINK("#Y2023!I49", "↗ drill")</f>
        <v/>
      </c>
    </row>
    <row r="8" ht="14.5" customHeight="1" s="19">
      <c r="A8" s="66" t="inlineStr">
        <is>
          <t>STR-003</t>
        </is>
      </c>
      <c r="B8" s="66" t="inlineStr">
        <is>
          <t>Charitable Bunching (DAF)</t>
        </is>
      </c>
      <c r="C8" s="66" t="n">
        <v>12</v>
      </c>
      <c r="D8" s="94" t="n"/>
      <c r="E8" s="66" t="n"/>
      <c r="F8" s="66" t="n"/>
      <c r="G8" s="66" t="n"/>
      <c r="H8" t="inlineStr">
        <is>
          <t>2b</t>
        </is>
      </c>
      <c r="I8" t="inlineStr">
        <is>
          <t>Taxable interest</t>
        </is>
      </c>
      <c r="J8" s="12">
        <f>SUMIFS(tblMaster_Inputs[Baseline_Amount], tblMaster_Inputs[Year], 2023, tblMaster_Inputs[Primary_Line], $H8, tblMaster_Inputs[Activity_Type], "Baseline")</f>
        <v/>
      </c>
      <c r="K8" s="55" t="n"/>
      <c r="L8" s="4" t="n"/>
      <c r="M8" s="12">
        <f>SUMIFS(tblY2023_Strategies[Amount],tblY2023_Strategies[TargetLine],$H8)-SUMIFS(tblY2023_Strategies[Amount],tblY2023_Strategies[CounterLine],$H8)</f>
        <v/>
      </c>
      <c r="N8" s="12">
        <f>IF(UPPER(K8)="Y",SUMIFS(tblMaster_Inputs[Baseline_Amount],tblMaster_Inputs[Year],2022,tblMaster_Inputs[Primary_Line],"2b"),IF(ISBLANK(L8),J8,L8))</f>
        <v/>
      </c>
      <c r="O8" s="12">
        <f>N8+M8</f>
        <v/>
      </c>
      <c r="P8" s="8">
        <f>HYPERLINK("#Y2023!I49", "↗ drill")</f>
        <v/>
      </c>
    </row>
    <row r="9" ht="14.5" customHeight="1" s="19">
      <c r="A9" s="66" t="inlineStr">
        <is>
          <t>STR-004</t>
        </is>
      </c>
      <c r="B9" s="66" t="inlineStr">
        <is>
          <t>SEP-IRA / Solo 401(k)</t>
        </is>
      </c>
      <c r="C9" s="66" t="n">
        <v>10</v>
      </c>
      <c r="D9" s="94" t="n"/>
      <c r="E9" s="66" t="n"/>
      <c r="F9" s="66" t="n"/>
      <c r="G9" s="66" t="n"/>
      <c r="H9" t="inlineStr">
        <is>
          <t>3a</t>
        </is>
      </c>
      <c r="I9" t="inlineStr">
        <is>
          <t>Qualified dividends (informational — Helper)</t>
        </is>
      </c>
      <c r="J9" s="12">
        <f>SUMIFS(tblMaster_Inputs[Helper_Amount], tblMaster_Inputs[Year], 2023, tblMaster_Inputs[Helper_Treatment], "QUAL_DIV")</f>
        <v/>
      </c>
      <c r="K9" s="55" t="n"/>
      <c r="L9" s="4" t="n"/>
      <c r="M9">
        <f>SUMIFS(tblY2023_Strategies[Amount],tblY2023_Strategies[TargetLine],"3a",tblY2023_Strategies[Status],"Committed")</f>
        <v/>
      </c>
      <c r="N9" s="12">
        <f>IF(UPPER(K9)="Y",SUMIFS(tblMaster_Inputs[Helper_Amount],tblMaster_Inputs[Year],2022,tblMaster_Inputs[Helper_Treatment],"QUAL_DIV"),IF(ISBLANK(L9),J9,L9))</f>
        <v/>
      </c>
      <c r="O9" s="12">
        <f>N9</f>
        <v/>
      </c>
      <c r="P9" s="8">
        <f>HYPERLINK("#Y2023!I49", "↗ drill")</f>
        <v/>
      </c>
    </row>
    <row r="10" ht="14.5" customHeight="1" s="19">
      <c r="A10" s="66" t="inlineStr">
        <is>
          <t>STR-005</t>
        </is>
      </c>
      <c r="B10" s="66" t="inlineStr">
        <is>
          <t>Cost Seg Study</t>
        </is>
      </c>
      <c r="C10" s="66" t="n">
        <v>8</v>
      </c>
      <c r="D10" s="94" t="n"/>
      <c r="E10" s="66" t="n"/>
      <c r="F10" s="66" t="n"/>
      <c r="G10" s="66" t="n"/>
      <c r="H10" t="inlineStr">
        <is>
          <t>3b</t>
        </is>
      </c>
      <c r="I10" t="inlineStr">
        <is>
          <t>Ordinary dividends (total — incl qualified)</t>
        </is>
      </c>
      <c r="J10" s="12">
        <f>SUMIFS(tblMaster_Inputs[Baseline_Amount], tblMaster_Inputs[Year], 2023, tblMaster_Inputs[Primary_Line], $H10, tblMaster_Inputs[Activity_Type], "Baseline")</f>
        <v/>
      </c>
      <c r="K10" s="55" t="n"/>
      <c r="L10" s="4" t="n"/>
      <c r="M10" s="12">
        <f>SUMIFS(tblY2023_Strategies[Amount],tblY2023_Strategies[TargetLine],$H10)-SUMIFS(tblY2023_Strategies[Amount],tblY2023_Strategies[CounterLine],$H10)</f>
        <v/>
      </c>
      <c r="N10" s="12">
        <f>IF(UPPER(K10)="Y",SUMIFS(tblMaster_Inputs[Baseline_Amount],tblMaster_Inputs[Year],2022,tblMaster_Inputs[Primary_Line],"3b"),IF(ISBLANK(L10),J10,L10))</f>
        <v/>
      </c>
      <c r="O10" s="12">
        <f>N10+M10</f>
        <v/>
      </c>
      <c r="P10" s="8">
        <f>HYPERLINK("#Y2023!I49", "↗ drill")</f>
        <v/>
      </c>
    </row>
    <row r="11" ht="14.5" customHeight="1" s="19">
      <c r="A11" s="66" t="inlineStr">
        <is>
          <t>STR-006</t>
        </is>
      </c>
      <c r="B11" s="66" t="inlineStr">
        <is>
          <t>Roth Conversion</t>
        </is>
      </c>
      <c r="C11" s="66" t="inlineStr">
        <is>
          <t>1z</t>
        </is>
      </c>
      <c r="D11" s="94" t="n"/>
      <c r="E11" s="66" t="n"/>
      <c r="F11" s="66" t="n"/>
      <c r="G11" s="66" t="n"/>
      <c r="H11" t="n">
        <v>7</v>
      </c>
      <c r="I11" t="inlineStr">
        <is>
          <t>Capital gain or (loss)</t>
        </is>
      </c>
      <c r="J11" s="12">
        <f>SUMIFS(tblMaster_Inputs[Baseline_Amount], tblMaster_Inputs[Year], 2023, tblMaster_Inputs[Primary_Line], $H11, tblMaster_Inputs[Activity_Type], "Baseline")</f>
        <v/>
      </c>
      <c r="K11" s="55" t="n"/>
      <c r="L11" s="4" t="n"/>
      <c r="M11" s="12">
        <f>SUMIFS(tblY2023_Strategies[Amount],tblY2023_Strategies[TargetLine],$H11)-SUMIFS(tblY2023_Strategies[Amount],tblY2023_Strategies[CounterLine],$H11)</f>
        <v/>
      </c>
      <c r="N11" s="12">
        <f>IF(UPPER(K11)="Y",SUMIFS(tblMaster_Inputs[Baseline_Amount],tblMaster_Inputs[Year],2022,tblMaster_Inputs[Primary_Line],"7"),IF(ISBLANK(L11),J11,L11))</f>
        <v/>
      </c>
      <c r="O11" s="12">
        <f>N11+M11</f>
        <v/>
      </c>
      <c r="P11" s="8">
        <f>HYPERLINK("#Y2023!I49", "↗ drill")</f>
        <v/>
      </c>
    </row>
    <row r="12" ht="14.5" customHeight="1" s="19">
      <c r="A12" s="66" t="inlineStr">
        <is>
          <t>STR-007</t>
        </is>
      </c>
      <c r="B12" s="66" t="inlineStr">
        <is>
          <t>Augusta Rule (§280A)</t>
        </is>
      </c>
      <c r="C12" s="66" t="n">
        <v>8</v>
      </c>
      <c r="D12" s="94" t="n"/>
      <c r="E12" s="66" t="n"/>
      <c r="F12" s="66" t="n"/>
      <c r="G12" s="66" t="n"/>
      <c r="H12" t="n">
        <v>8</v>
      </c>
      <c r="I12" t="inlineStr">
        <is>
          <t>Other income (incl business income via Sch 1)</t>
        </is>
      </c>
      <c r="J12" s="12">
        <f>SUMIFS(tblMaster_Inputs[Baseline_Amount], tblMaster_Inputs[Year], 2023, tblMaster_Inputs[Primary_Line], $H12, tblMaster_Inputs[Activity_Type], "Baseline")</f>
        <v/>
      </c>
      <c r="K12" s="55" t="n"/>
      <c r="L12" s="4" t="n"/>
      <c r="M12" s="12">
        <f>SUMIFS(tblY2023_Strategies[Amount],tblY2023_Strategies[TargetLine],$H12)-SUMIFS(tblY2023_Strategies[Amount],tblY2023_Strategies[CounterLine],$H12)</f>
        <v/>
      </c>
      <c r="N12" s="12">
        <f>IF(UPPER(K12)="Y",SUMIFS(tblMaster_Inputs[Baseline_Amount],tblMaster_Inputs[Year],2022,tblMaster_Inputs[Primary_Line],"8"),IF(ISBLANK(L12),J12,L12))</f>
        <v/>
      </c>
      <c r="O12" s="12">
        <f>N12+M12</f>
        <v/>
      </c>
      <c r="P12" s="8">
        <f>HYPERLINK("#Y2023!I49", "↗ drill")</f>
        <v/>
      </c>
    </row>
    <row r="13" ht="14.5" customHeight="1" s="19">
      <c r="A13" s="66" t="inlineStr">
        <is>
          <t>STR-008</t>
        </is>
      </c>
      <c r="B13" s="66" t="inlineStr">
        <is>
          <t>Accountable Plan</t>
        </is>
      </c>
      <c r="C13" s="66" t="n">
        <v>8</v>
      </c>
      <c r="D13" s="94" t="n"/>
      <c r="E13" s="66" t="n"/>
      <c r="F13" s="66" t="n"/>
      <c r="G13" s="66" t="n"/>
      <c r="H13" t="n">
        <v>9</v>
      </c>
      <c r="I13" t="inlineStr">
        <is>
          <t>TOTAL INCOME</t>
        </is>
      </c>
      <c r="J13" s="12">
        <f>J6+J8+J10+J11+J12</f>
        <v/>
      </c>
      <c r="K13" s="55" t="n"/>
      <c r="L13" s="4" t="n"/>
      <c r="M13" s="12">
        <f>M6+M8+M10+M11+M12</f>
        <v/>
      </c>
      <c r="N13" s="12">
        <f>N6+N8+N10+N11+N12</f>
        <v/>
      </c>
      <c r="O13" s="12">
        <f>O6+O8+O10+O11+O12</f>
        <v/>
      </c>
      <c r="P13" s="8">
        <f>HYPERLINK("#Y2023!I49", "↗ drill")</f>
        <v/>
      </c>
    </row>
    <row r="14" ht="14.5" customHeight="1" s="19">
      <c r="A14" s="66" t="inlineStr">
        <is>
          <t>STR-009</t>
        </is>
      </c>
      <c r="B14" s="66" t="inlineStr">
        <is>
          <t>Hire Children</t>
        </is>
      </c>
      <c r="C14" s="66" t="n">
        <v>8</v>
      </c>
      <c r="D14" s="94" t="n"/>
      <c r="E14" s="66" t="n"/>
      <c r="F14" s="66" t="n"/>
      <c r="G14" s="66" t="n"/>
      <c r="H14" t="n">
        <v>10</v>
      </c>
      <c r="I14" t="inlineStr">
        <is>
          <t>Adjustments to income</t>
        </is>
      </c>
      <c r="J14" s="12">
        <f>SUMIFS(tblMaster_Inputs[Baseline_Amount], tblMaster_Inputs[Year], 2023, tblMaster_Inputs[Primary_Line], $H14, tblMaster_Inputs[Activity_Type], "Baseline")</f>
        <v/>
      </c>
      <c r="K14" s="55" t="n"/>
      <c r="L14" s="4" t="n"/>
      <c r="M14" s="12">
        <f>SUMIFS(tblY2023_Strategies[Amount],tblY2023_Strategies[TargetLine],$H14)-SUMIFS(tblY2023_Strategies[Amount],tblY2023_Strategies[CounterLine],$H14)</f>
        <v/>
      </c>
      <c r="N14" s="12">
        <f>IF(UPPER(K14)="Y",SUMIFS(tblMaster_Inputs[Baseline_Amount],tblMaster_Inputs[Year],2022,tblMaster_Inputs[Primary_Line],"10"),IF(ISBLANK(L14),J14,L14))</f>
        <v/>
      </c>
      <c r="O14" s="12">
        <f>N14+M14</f>
        <v/>
      </c>
      <c r="P14" s="8">
        <f>HYPERLINK("#Y2023!I49", "↗ drill")</f>
        <v/>
      </c>
    </row>
    <row r="15" ht="14.5" customHeight="1" s="19">
      <c r="A15" s="66" t="inlineStr">
        <is>
          <t>STR-010</t>
        </is>
      </c>
      <c r="B15" s="66" t="inlineStr">
        <is>
          <t>Entity Restructuring</t>
        </is>
      </c>
      <c r="C15" s="66" t="n">
        <v>8</v>
      </c>
      <c r="D15" s="94" t="n"/>
      <c r="E15" s="66" t="n"/>
      <c r="F15" s="66" t="n"/>
      <c r="G15" s="66" t="n"/>
      <c r="H15" t="n">
        <v>11</v>
      </c>
      <c r="I15" t="inlineStr">
        <is>
          <t>AGI</t>
        </is>
      </c>
      <c r="J15" s="12">
        <f>J13+J14</f>
        <v/>
      </c>
      <c r="K15" s="55" t="n"/>
      <c r="L15" s="4" t="n"/>
      <c r="M15" s="12">
        <f>M13+M14</f>
        <v/>
      </c>
      <c r="N15" s="12">
        <f>N13+N14</f>
        <v/>
      </c>
      <c r="O15" s="12">
        <f>O13+O14</f>
        <v/>
      </c>
      <c r="P15" s="8">
        <f>HYPERLINK("#Y2023!I49", "↗ drill")</f>
        <v/>
      </c>
    </row>
    <row r="16" ht="14.5" customHeight="1" s="19">
      <c r="A16" s="66" t="inlineStr">
        <is>
          <t>STR-011</t>
        </is>
      </c>
      <c r="B16" s="66" t="inlineStr">
        <is>
          <t>Installment Sale / 1031</t>
        </is>
      </c>
      <c r="C16" s="66" t="n">
        <v>7</v>
      </c>
      <c r="D16" s="94" t="n"/>
      <c r="E16" s="66" t="n"/>
      <c r="F16" s="66" t="n"/>
      <c r="G16" s="66" t="n"/>
      <c r="H16" t="n">
        <v>12</v>
      </c>
      <c r="I16" t="inlineStr">
        <is>
          <t>Std/Itemized deduction</t>
        </is>
      </c>
      <c r="J16" s="12">
        <f>SUMIFS(tblMaster_Inputs[Baseline_Amount], tblMaster_Inputs[Year], 2023, tblMaster_Inputs[Primary_Line], $H16, tblMaster_Inputs[Activity_Type], "Baseline")</f>
        <v/>
      </c>
      <c r="K16" s="55" t="n"/>
      <c r="L16" s="4" t="n"/>
      <c r="M16" s="12">
        <f>SUMIFS(tblY2023_Strategies[Amount],tblY2023_Strategies[TargetLine],$H16)-SUMIFS(tblY2023_Strategies[Amount],tblY2023_Strategies[CounterLine],$H16)</f>
        <v/>
      </c>
      <c r="N16" s="12">
        <f>IF(UPPER(K16)="Y",SUMIFS(tblMaster_Inputs[Baseline_Amount],tblMaster_Inputs[Year],2022,tblMaster_Inputs[Primary_Line],"12"),IF(ISBLANK(L16),J16,L16))</f>
        <v/>
      </c>
      <c r="O16" s="12">
        <f>N16+M16</f>
        <v/>
      </c>
      <c r="P16" s="8">
        <f>HYPERLINK("#Y2023!I49", "↗ drill")</f>
        <v/>
      </c>
    </row>
    <row r="17" ht="14.5" customHeight="1" s="19">
      <c r="A17" s="66" t="inlineStr">
        <is>
          <t>STR-012</t>
        </is>
      </c>
      <c r="B17" s="66" t="inlineStr">
        <is>
          <t>Bonus Depreciation §168(k)</t>
        </is>
      </c>
      <c r="C17" s="66" t="n">
        <v>8</v>
      </c>
      <c r="D17" s="94" t="n"/>
      <c r="E17" s="66" t="n"/>
      <c r="F17" s="66" t="n"/>
      <c r="G17" s="66" t="n"/>
      <c r="H17" t="n">
        <v>13</v>
      </c>
      <c r="I17" t="inlineStr">
        <is>
          <t>QBI deduction</t>
        </is>
      </c>
      <c r="J17" s="12">
        <f>SUMIFS(tblMaster_Inputs[Baseline_Amount], tblMaster_Inputs[Year], 2023, tblMaster_Inputs[Primary_Line], $H17, tblMaster_Inputs[Activity_Type], "Baseline")</f>
        <v/>
      </c>
      <c r="K17" s="55" t="n"/>
      <c r="L17" s="4" t="n"/>
      <c r="M17" s="12">
        <f>SUMIFS(tblY2023_Strategies[Amount],tblY2023_Strategies[TargetLine],$H17)-SUMIFS(tblY2023_Strategies[Amount],tblY2023_Strategies[CounterLine],$H17)</f>
        <v/>
      </c>
      <c r="N17" s="12">
        <f>IF(UPPER(K17)="Y",SUMIFS(tblMaster_Inputs[Baseline_Amount],tblMaster_Inputs[Year],2022,tblMaster_Inputs[Primary_Line],"13"),IF(ISBLANK(L17),J17,L17))</f>
        <v/>
      </c>
      <c r="O17" s="12">
        <f>N17+M17</f>
        <v/>
      </c>
      <c r="P17" s="8">
        <f>HYPERLINK("#Y2023!I49", "↗ drill")</f>
        <v/>
      </c>
    </row>
    <row r="18" ht="14.5" customHeight="1" s="19">
      <c r="A18" s="66" t="inlineStr">
        <is>
          <t>STR-013</t>
        </is>
      </c>
      <c r="B18" s="66" t="inlineStr">
        <is>
          <t>R&amp;D Credit §41</t>
        </is>
      </c>
      <c r="C18" s="66" t="n">
        <v>13</v>
      </c>
      <c r="D18" s="94" t="n"/>
      <c r="E18" s="66" t="n"/>
      <c r="F18" s="66" t="n"/>
      <c r="G18" s="66" t="n"/>
      <c r="H18" t="n">
        <v>15</v>
      </c>
      <c r="I18" t="inlineStr">
        <is>
          <t>TAXABLE INCOME</t>
        </is>
      </c>
      <c r="J18" s="12">
        <f>J15+J16+J17</f>
        <v/>
      </c>
      <c r="K18" s="55" t="n"/>
      <c r="L18" s="4" t="n"/>
      <c r="M18" s="12">
        <f>M15+M16+M17</f>
        <v/>
      </c>
      <c r="N18" s="12">
        <f>N15+N16+N17</f>
        <v/>
      </c>
      <c r="O18" s="12">
        <f>O15+O16+O17</f>
        <v/>
      </c>
      <c r="P18" s="8">
        <f>HYPERLINK("#Y2023!I49", "↗ drill")</f>
        <v/>
      </c>
    </row>
    <row r="19" ht="14.5" customHeight="1" s="19">
      <c r="A19" s="66" t="inlineStr">
        <is>
          <t>STR-014</t>
        </is>
      </c>
      <c r="B19" s="66" t="inlineStr">
        <is>
          <t>SALT PTE Election</t>
        </is>
      </c>
      <c r="C19" s="66" t="n">
        <v>12</v>
      </c>
      <c r="D19" s="94" t="n"/>
      <c r="E19" s="66" t="n"/>
      <c r="F19" s="66" t="n"/>
      <c r="G19" s="66" t="n"/>
    </row>
    <row r="20" ht="14.5" customHeight="1" s="19">
      <c r="A20" s="66" t="inlineStr">
        <is>
          <t>STR-015</t>
        </is>
      </c>
      <c r="B20" s="66" t="inlineStr">
        <is>
          <t>Timing / Deferral</t>
        </is>
      </c>
      <c r="C20" s="66" t="n">
        <v>8</v>
      </c>
      <c r="D20" s="94" t="n"/>
      <c r="E20" s="66" t="n"/>
      <c r="F20" s="66" t="n"/>
      <c r="G20" s="66" t="n"/>
    </row>
    <row r="21" ht="14.5" customHeight="1" s="19"/>
    <row r="22" ht="29" customHeight="1" s="19">
      <c r="A22" s="101" t="inlineStr">
        <is>
          <t>▸ TAX IMPACT SUMMARY</t>
        </is>
      </c>
      <c r="H22" s="3" t="inlineStr">
        <is>
          <t>Description</t>
        </is>
      </c>
      <c r="I22" s="3" t="inlineStr">
        <is>
          <t>Amount</t>
        </is>
      </c>
      <c r="J22" s="3" t="inlineStr">
        <is>
          <t>Effective</t>
        </is>
      </c>
      <c r="K22" s="3" t="inlineStr">
        <is>
          <t>Used by</t>
        </is>
      </c>
    </row>
    <row r="23" ht="14.5" customHeight="1" s="19">
      <c r="A23" s="93" t="inlineStr">
        <is>
          <t>Metric</t>
        </is>
      </c>
      <c r="B23" s="93" t="inlineStr">
        <is>
          <t>Baseline</t>
        </is>
      </c>
      <c r="C23" s="93" t="inlineStr">
        <is>
          <t>Effective</t>
        </is>
      </c>
      <c r="D23" s="93" t="inlineStr">
        <is>
          <t>Eff w/ Strat</t>
        </is>
      </c>
      <c r="E23" s="93" t="inlineStr">
        <is>
          <t>Savings</t>
        </is>
      </c>
      <c r="H23" t="inlineStr">
        <is>
          <t>Owner W-2 wages</t>
        </is>
      </c>
      <c r="I23" s="12">
        <f>SUMIFS(tblMaster_Inputs[Baseline_Amount], tblMaster_Inputs[Year], 2023, tblMaster_Inputs[Treatment_Profile], "W2_SCorpOwner", tblMaster_Inputs[Activity_Type], "Baseline")</f>
        <v/>
      </c>
      <c r="J23" s="12">
        <f>I23+SUMIFS(tblY2023_Strategies[Amount],tblY2023_Strategies[TargetLine],"1z")-SUMIFS(tblY2023_Strategies[Amount],tblY2023_Strategies[CounterLine],"1z")</f>
        <v/>
      </c>
      <c r="K23" s="2" t="inlineStr">
        <is>
          <t>FICA/Employee</t>
        </is>
      </c>
    </row>
    <row r="24" ht="14.5" customHeight="1" s="19">
      <c r="A24" t="inlineStr">
        <is>
          <t>Total Income</t>
        </is>
      </c>
      <c r="B24" s="95">
        <f>J13</f>
        <v/>
      </c>
      <c r="C24" s="95">
        <f>N13</f>
        <v/>
      </c>
      <c r="D24" s="95">
        <f>O13</f>
        <v/>
      </c>
      <c r="E24" s="95">
        <f>B24-D24</f>
        <v/>
      </c>
      <c r="H24" t="inlineStr">
        <is>
          <t>Third-party W-2 wages</t>
        </is>
      </c>
      <c r="I24" s="12">
        <f>SUMIFS(tblMaster_Inputs[Baseline_Amount], tblMaster_Inputs[Year], 2023, tblMaster_Inputs[Treatment_Profile], "W2_Employee", tblMaster_Inputs[Activity_Type], "Baseline")</f>
        <v/>
      </c>
      <c r="J24" s="12">
        <f>I24</f>
        <v/>
      </c>
      <c r="K24" s="2" t="inlineStr">
        <is>
          <t>SE Tax sharing</t>
        </is>
      </c>
    </row>
    <row r="25" ht="14.5" customHeight="1" s="19">
      <c r="A25" t="inlineStr">
        <is>
          <t>Taxable Income</t>
        </is>
      </c>
      <c r="B25" s="95">
        <f>J18</f>
        <v/>
      </c>
      <c r="C25" s="95">
        <f>N18</f>
        <v/>
      </c>
      <c r="D25" s="95">
        <f>O18</f>
        <v/>
      </c>
      <c r="E25" s="95">
        <f>B25-D25</f>
        <v/>
      </c>
      <c r="H25" t="inlineStr">
        <is>
          <t>Total W-2 wages</t>
        </is>
      </c>
      <c r="I25" s="12">
        <f>I23+I24</f>
        <v/>
      </c>
      <c r="J25" s="12">
        <f>J23+J24</f>
        <v/>
      </c>
      <c r="K25" s="2" t="inlineStr">
        <is>
          <t>SE Tax sharing</t>
        </is>
      </c>
    </row>
    <row r="26" ht="14.5" customHeight="1" s="19">
      <c r="A26" s="13" t="inlineStr">
        <is>
          <t>Total Tax</t>
        </is>
      </c>
      <c r="B26" s="96">
        <f>I133</f>
        <v/>
      </c>
      <c r="C26" s="96">
        <f>I133</f>
        <v/>
      </c>
      <c r="D26" s="96">
        <f>J133</f>
        <v/>
      </c>
      <c r="E26" s="95">
        <f>B26-D26</f>
        <v/>
      </c>
      <c r="H26" t="inlineStr">
        <is>
          <t>Business income subject to SE</t>
        </is>
      </c>
      <c r="I26" s="12">
        <f>SUMIFS(tblMaster_Inputs[Baseline_Amount], tblMaster_Inputs[Year], 2023, tblMaster_Inputs[Bucket], "Business Income", tblMaster_Inputs[SE_Subject], "Yes", tblMaster_Inputs[Activity_Type], "Baseline")</f>
        <v/>
      </c>
      <c r="J26" s="12">
        <f>I26</f>
        <v/>
      </c>
      <c r="K26" s="2" t="inlineStr">
        <is>
          <t>SE Tax base</t>
        </is>
      </c>
    </row>
    <row r="27" ht="14.5" customHeight="1" s="19">
      <c r="A27" t="inlineStr">
        <is>
          <t>Effective Rate</t>
        </is>
      </c>
      <c r="B27" s="97">
        <f>I134</f>
        <v/>
      </c>
      <c r="C27" s="97">
        <f>I134</f>
        <v/>
      </c>
      <c r="D27" s="97">
        <f>J134</f>
        <v/>
      </c>
      <c r="E27" s="97">
        <f>B27-D27</f>
        <v/>
      </c>
      <c r="H27" t="inlineStr">
        <is>
          <t>Active business income NOT SE</t>
        </is>
      </c>
      <c r="I27" s="12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J27" s="12">
        <f>I27+SUMIFS(tblY2023_Strategies[Amount],tblY2023_Strategies[TargetLine],"8")-SUMIFS(tblY2023_Strategies[Amount],tblY2023_Strategies[CounterLine],"8")</f>
        <v/>
      </c>
      <c r="K27" s="2" t="inlineStr">
        <is>
          <t>NIIT/QBI</t>
        </is>
      </c>
    </row>
    <row r="28" ht="14.5" customHeight="1" s="19">
      <c r="A28" t="inlineStr">
        <is>
          <t>Committed Strategies</t>
        </is>
      </c>
      <c r="B28" s="98">
        <f>COUNTIF(tblY2023_Strategies[Status],"Committed")</f>
        <v/>
      </c>
      <c r="C28" s="98" t="inlineStr">
        <is>
          <t>Net Strategy Impact</t>
        </is>
      </c>
      <c r="D28" s="95">
        <f>SUMIF(tblY2023_Strategies[Status],"Committed",tblY2023_Strategies[Amount])</f>
        <v/>
      </c>
      <c r="E28" s="98" t="n"/>
      <c r="H28" t="inlineStr">
        <is>
          <t>Passive business income/loss</t>
        </is>
      </c>
      <c r="I28" s="12">
        <f>SUMIFS(tblMaster_Inputs[Baseline_Amount], tblMaster_Inputs[Year], 2023, tblMaster_Inputs[Bucket], "Business Income", tblMaster_Inputs[NIIT_Class], "Passive", tblMaster_Inputs[Activity_Type], "Baseline")</f>
        <v/>
      </c>
      <c r="J28" s="12">
        <f>I28</f>
        <v/>
      </c>
      <c r="K28" s="2" t="inlineStr">
        <is>
          <t>Passive Loss/NIIT</t>
        </is>
      </c>
    </row>
    <row r="29" ht="14.5" customHeight="1" s="19">
      <c r="H29" t="inlineStr">
        <is>
          <t>Tax-exempt interest</t>
        </is>
      </c>
      <c r="I29" s="12">
        <f>SUMIFS(tblMaster_Inputs[Helper_Amount], tblMaster_Inputs[Year], 2023, tblMaster_Inputs[Helper_Treatment], "TAX_EXEMPT")</f>
        <v/>
      </c>
      <c r="J29" s="12">
        <f>I29+SUMIFS(tblY2023_Strategies[Amount],tblY2023_Strategies[TargetLine],"2a")-SUMIFS(tblY2023_Strategies[Amount],tblY2023_Strategies[CounterLine],"2a")</f>
        <v/>
      </c>
      <c r="K29" s="2" t="inlineStr">
        <is>
          <t>MAGI</t>
        </is>
      </c>
    </row>
    <row r="30" ht="14.5" customHeight="1" s="19">
      <c r="H30" t="inlineStr">
        <is>
          <t>Qualified dividends carve-out</t>
        </is>
      </c>
      <c r="I30" s="12">
        <f>SUMIFS(tblMaster_Inputs[Helper_Amount], tblMaster_Inputs[Year], 2023, tblMaster_Inputs[Helper_Treatment], "QUAL_DIV", tblMaster_Inputs[Activity_Type], "Baseline")</f>
        <v/>
      </c>
      <c r="J30" s="12">
        <f>I30</f>
        <v/>
      </c>
      <c r="K30" s="2" t="inlineStr">
        <is>
          <t>LTCG stacking</t>
        </is>
      </c>
    </row>
    <row r="31" ht="14.5" customHeight="1" s="19">
      <c r="H31" t="inlineStr">
        <is>
          <t>Long-term capital gains</t>
        </is>
      </c>
      <c r="I31" s="12">
        <f>SUMIFS(tblMaster_Inputs[Baseline_Amount], tblMaster_Inputs[Year], 2023, tblMaster_Inputs[Treatment_Profile], "LTCG_Stock") + SUMIFS(tblMaster_Inputs[Baseline_Amount], tblMaster_Inputs[Year], 2023, tblMaster_Inputs[Treatment_Profile], "LTCG_RE") + SUMIFS(tblMaster_Inputs[Baseline_Amount], tblMaster_Inputs[Year], 2023, tblMaster_Inputs[Treatment_Profile], "LTCG_K1_Passthrough") + SUMIFS(tblMaster_Inputs[Baseline_Amount], tblMaster_Inputs[Year], 2023, tblMaster_Inputs[Treatment_Profile], "Sec1250_Recap", tblMaster_Inputs[Activity_Type], "Baseline")</f>
        <v/>
      </c>
      <c r="J31" s="12">
        <f>I31+SUMIFS(tblY2023_Strategies[Amount],tblY2023_Strategies[TargetLine],"7")-SUMIFS(tblY2023_Strategies[Amount],tblY2023_Strategies[CounterLine],"7")</f>
        <v/>
      </c>
      <c r="K31" s="2" t="inlineStr">
        <is>
          <t>Cap Gains Tax</t>
        </is>
      </c>
    </row>
    <row r="32" ht="14.5" customHeight="1" s="19">
      <c r="H32" t="inlineStr">
        <is>
          <t>Short-term capital gains</t>
        </is>
      </c>
      <c r="I32" s="12">
        <f>SUMIFS(tblMaster_Inputs[Baseline_Amount], tblMaster_Inputs[Year], 2023, tblMaster_Inputs[Treatment_Profile], "STCG_Stock", tblMaster_Inputs[Activity_Type], "Baseline")</f>
        <v/>
      </c>
      <c r="J32" s="12">
        <f>I32</f>
        <v/>
      </c>
      <c r="K32" s="2" t="inlineStr">
        <is>
          <t>Ordinary Tax</t>
        </is>
      </c>
    </row>
    <row r="33" ht="14.5" customHeight="1" s="19">
      <c r="H33" t="inlineStr">
        <is>
          <t>§1250 unrecaptured gain</t>
        </is>
      </c>
      <c r="I33" s="12">
        <f>SUMIFS(tblMaster_Inputs[Helper_Amount], tblMaster_Inputs[Year], 2023, tblMaster_Inputs[Helper_Treatment], "SEC1250", tblMaster_Inputs[Activity_Type], "Baseline")</f>
        <v/>
      </c>
      <c r="J33" s="12">
        <f>I33</f>
        <v/>
      </c>
      <c r="K33" s="2" t="inlineStr">
        <is>
          <t>1250 Tax</t>
        </is>
      </c>
    </row>
    <row r="34" ht="14.5" customHeight="1" s="19"/>
    <row r="35" ht="14.5" customHeight="1" s="19"/>
    <row r="36" ht="29" customHeight="1" s="19">
      <c r="H36" s="3" t="inlineStr">
        <is>
          <t>Description</t>
        </is>
      </c>
      <c r="I36" s="3" t="inlineStr">
        <is>
          <t>Value</t>
        </is>
      </c>
      <c r="J36" s="3" t="inlineStr">
        <is>
          <t>Effective</t>
        </is>
      </c>
      <c r="K36" s="3" t="inlineStr">
        <is>
          <t>Used by</t>
        </is>
      </c>
    </row>
    <row r="37" ht="14.5" customHeight="1" s="19">
      <c r="H37" t="inlineStr">
        <is>
          <t>TI - LTCG - QUAL_DIV - SEC1250</t>
        </is>
      </c>
      <c r="I37" s="12">
        <f>J18-I31-I30-I33</f>
        <v/>
      </c>
      <c r="J37" s="12">
        <f>O18-J31-J30-J33</f>
        <v/>
      </c>
      <c r="K37" s="2" t="inlineStr">
        <is>
          <t>Ordinary Tax</t>
        </is>
      </c>
    </row>
    <row r="38" ht="14.5" customHeight="1" s="19">
      <c r="H38" t="inlineStr">
        <is>
          <t>AGI + tax-exempt interest</t>
        </is>
      </c>
      <c r="I38" s="12">
        <f>J15+I29</f>
        <v/>
      </c>
      <c r="J38" s="12">
        <f>O15+J29</f>
        <v/>
      </c>
      <c r="K38" s="2" t="inlineStr">
        <is>
          <t>NIIT</t>
        </is>
      </c>
    </row>
    <row r="39" ht="14.5" customHeight="1" s="19">
      <c r="H39" t="inlineStr">
        <is>
          <t>Net investment income</t>
        </is>
      </c>
      <c r="I39" s="12">
        <f>J8+J10+J11+I28</f>
        <v/>
      </c>
      <c r="J39" s="12">
        <f>O8+O10+O11+J28</f>
        <v/>
      </c>
      <c r="K39" s="2" t="inlineStr">
        <is>
          <t>NIIT</t>
        </is>
      </c>
    </row>
    <row r="40" ht="14.5" customHeight="1" s="19">
      <c r="H40" t="inlineStr">
        <is>
          <t>QBI-eligible business income</t>
        </is>
      </c>
      <c r="I40" s="12">
        <f>I26+I27</f>
        <v/>
      </c>
      <c r="J40" s="12">
        <f>J26+J27</f>
        <v/>
      </c>
      <c r="K40" s="2" t="inlineStr">
        <is>
          <t>QBI</t>
        </is>
      </c>
    </row>
    <row r="41" ht="14.5" customHeight="1" s="19">
      <c r="H41" t="inlineStr">
        <is>
          <t>TI before QBI deduction</t>
        </is>
      </c>
      <c r="I41" s="12">
        <f>J15+J16</f>
        <v/>
      </c>
      <c r="J41" s="12">
        <f>O15+O16</f>
        <v/>
      </c>
      <c r="K41" s="2" t="inlineStr">
        <is>
          <t>QBI cap</t>
        </is>
      </c>
    </row>
    <row r="42" ht="14.5" customHeight="1" s="19">
      <c r="H42" t="inlineStr">
        <is>
          <t>Net business loss</t>
        </is>
      </c>
      <c r="I42" s="12">
        <f>MIN(0,I26+I27+I28)</f>
        <v/>
      </c>
      <c r="J42" s="12">
        <f>MIN(0,J26+J27+J28)</f>
        <v/>
      </c>
      <c r="K42" s="2" t="inlineStr">
        <is>
          <t>EBL</t>
        </is>
      </c>
    </row>
    <row r="43" ht="14.5" customHeight="1" s="19">
      <c r="H43" t="inlineStr">
        <is>
          <t>Net SE income</t>
        </is>
      </c>
      <c r="I43" s="12">
        <f>I26</f>
        <v/>
      </c>
      <c r="J43" s="12">
        <f>J26</f>
        <v/>
      </c>
      <c r="K43" s="2" t="inlineStr">
        <is>
          <t>SE Tax</t>
        </is>
      </c>
    </row>
    <row r="44" ht="14.5" customHeight="1" s="19">
      <c r="I44" s="56" t="n"/>
      <c r="J44" s="56">
        <f>I44</f>
        <v/>
      </c>
      <c r="K44" s="2" t="n"/>
    </row>
    <row r="45" ht="14.5" customHeight="1" s="19">
      <c r="I45" s="70">
        <f>IF(Control_Panel!C21="Yes",TRUE,FALSE)</f>
        <v/>
      </c>
      <c r="J45" s="4">
        <f>I45</f>
        <v/>
      </c>
      <c r="K45" s="2" t="n"/>
    </row>
    <row r="46" ht="14.5" customHeight="1" s="19">
      <c r="I46" s="70">
        <f>Carryovers!F52</f>
        <v/>
      </c>
      <c r="J46" s="56">
        <f>I46</f>
        <v/>
      </c>
      <c r="K46" s="2" t="n"/>
    </row>
    <row r="47" ht="14.5" customHeight="1" s="19"/>
    <row r="48" ht="14.5" customHeight="1" s="19"/>
    <row r="49" ht="14.5" customHeight="1" s="19">
      <c r="H49" s="9" t="inlineStr">
        <is>
          <t>1z</t>
        </is>
      </c>
      <c r="K49" s="8">
        <f>HYPERLINK("#Master_Inputs!A1", "✏ open Master_Inputs to edit")</f>
        <v/>
      </c>
    </row>
    <row r="50" ht="14.5" customHeight="1" s="19"/>
    <row r="51" ht="29" customHeight="1" s="19">
      <c r="H51" s="3" t="inlineStr">
        <is>
          <t>Bucket</t>
        </is>
      </c>
      <c r="I51" s="3" t="inlineStr">
        <is>
          <t>Treatment_Profile</t>
        </is>
      </c>
      <c r="J51" s="3" t="n"/>
      <c r="K51" s="3" t="inlineStr">
        <is>
          <t>Payor</t>
        </is>
      </c>
      <c r="L51" s="3" t="inlineStr">
        <is>
          <t>Baseline_Amount</t>
        </is>
      </c>
      <c r="M51" s="3" t="inlineStr">
        <is>
          <t>Helper_Amount</t>
        </is>
      </c>
      <c r="N51" s="3" t="inlineStr">
        <is>
          <t>Notes</t>
        </is>
      </c>
      <c r="O51" s="3" t="n"/>
    </row>
    <row r="52" ht="14.5" customHeight="1" s="19"/>
    <row r="53" ht="14.5" customHeight="1" s="19"/>
    <row r="54" ht="14.5" customHeight="1" s="19"/>
    <row r="55" ht="14.5" customHeight="1" s="19"/>
    <row r="56" ht="14.5" customHeight="1" s="19"/>
    <row r="57" ht="14.5" customHeight="1" s="19"/>
    <row r="58" ht="14.5" customHeight="1" s="19"/>
    <row r="59" ht="14.5" customHeight="1" s="19"/>
    <row r="60" ht="14.5" customHeight="1" s="19"/>
    <row r="61" ht="14.5" customHeight="1" s="19"/>
    <row r="62" ht="14.5" customHeight="1" s="19"/>
    <row r="63" ht="14.5" customHeight="1" s="19"/>
    <row r="64" ht="14.5" customHeight="1" s="19"/>
    <row r="65" ht="16" customHeight="1" s="19" thickBot="1">
      <c r="H65" s="101" t="inlineStr">
        <is>
          <t>▸ 7-COMPONENT TAX CALCULATOR</t>
        </is>
      </c>
      <c r="I65" s="49" t="inlineStr">
        <is>
          <t>Baseline</t>
        </is>
      </c>
      <c r="J65" s="49" t="inlineStr">
        <is>
          <t>Effective</t>
        </is>
      </c>
      <c r="K65" s="49" t="inlineStr">
        <is>
          <t>Δ Savings</t>
        </is>
      </c>
    </row>
    <row r="66" ht="14.5" customHeight="1" s="19">
      <c r="H66" t="inlineStr">
        <is>
          <t>Dual columns: Baseline (H) vs With Planning (I)</t>
        </is>
      </c>
    </row>
    <row r="67" ht="14.5" customHeight="1" s="19"/>
    <row r="68" ht="14.5" customHeight="1" s="19">
      <c r="H68" s="101" t="inlineStr">
        <is>
          <t>1. SELF-EMPLOYMENT TAX</t>
        </is>
      </c>
      <c r="I68" s="36" t="n"/>
      <c r="J68" s="36" t="n"/>
      <c r="K68" s="36" t="n"/>
    </row>
    <row r="69" ht="14.5" customHeight="1" s="19">
      <c r="H69" t="inlineStr">
        <is>
          <t>SE Tax Label</t>
        </is>
      </c>
      <c r="I69" s="20" t="n"/>
      <c r="J69" s="20" t="n"/>
      <c r="K69" s="20" t="n"/>
    </row>
    <row r="70" ht="14.5" customHeight="1" s="19">
      <c r="H70" t="inlineStr">
        <is>
          <t>Net SE Earnings</t>
        </is>
      </c>
      <c r="I70" s="12">
        <f>I43</f>
        <v/>
      </c>
      <c r="J70" s="12">
        <f>J43</f>
        <v/>
      </c>
      <c r="K70" s="12" t="n"/>
    </row>
    <row r="71" ht="14.5" customHeight="1" s="19">
      <c r="H71" t="inlineStr">
        <is>
          <t>SE Base (× 0.9235)</t>
        </is>
      </c>
      <c r="I71" s="20">
        <f>I70*SUMIFS(tblThresholds[Value], tblThresholds[Year], 2023, tblThresholds[FilingStatus], Filing_Status, tblThresholds[Item], "SE_Earnings_Factor")</f>
        <v/>
      </c>
      <c r="J71" s="20">
        <f>J70*SUMIFS(tblThresholds[Value], tblThresholds[Year], 2023, tblThresholds[FilingStatus], Filing_Status, tblThresholds[Item], "SE_Earnings_Factor")</f>
        <v/>
      </c>
      <c r="K71" s="20" t="n"/>
    </row>
    <row r="72" ht="14.5" customHeight="1" s="19">
      <c r="H72" t="inlineStr">
        <is>
          <t>W-2 Wages</t>
        </is>
      </c>
      <c r="I72" s="12">
        <f>I25</f>
        <v/>
      </c>
      <c r="J72" s="12">
        <f>J25</f>
        <v/>
      </c>
      <c r="K72" s="12" t="n"/>
    </row>
    <row r="73" ht="14.5" customHeight="1" s="19">
      <c r="H73" t="inlineStr">
        <is>
          <t>Remaining SS Wage Base</t>
        </is>
      </c>
      <c r="I73" s="12">
        <f>MAX(0,SUMIFS(tblThresholds[Value], tblThresholds[Year], 2023, tblThresholds[FilingStatus], Filing_Status, tblThresholds[Item], "SS_Wage_Base")-I72)</f>
        <v/>
      </c>
      <c r="J73" s="12">
        <f>MAX(0,SUMIFS(tblThresholds[Value], tblThresholds[Year], 2023, tblThresholds[FilingStatus], Filing_Status, tblThresholds[Item], "SS_Wage_Base")-J72)</f>
        <v/>
      </c>
      <c r="K73" s="12" t="n"/>
    </row>
    <row r="74" ht="14.5" customHeight="1" s="19">
      <c r="I74" s="39">
        <f>MIN(I71,I73)</f>
        <v/>
      </c>
      <c r="J74" s="39">
        <f>MIN(J71,J73)</f>
        <v/>
      </c>
      <c r="K74" s="39" t="n"/>
    </row>
    <row r="75" ht="14.5" customHeight="1" s="19">
      <c r="H75" t="inlineStr">
        <is>
          <t>Social Security Tax (12.4%)</t>
        </is>
      </c>
      <c r="I75" s="12">
        <f>I74*SUMIFS(tblThresholds[Value], tblThresholds[Year], 2023, tblThresholds[FilingStatus], Filing_Status, tblThresholds[Item], "SS_Rate_Combined")</f>
        <v/>
      </c>
      <c r="J75" s="12">
        <f>J74*SUMIFS(tblThresholds[Value], tblThresholds[Year], 2023, tblThresholds[FilingStatus], Filing_Status, tblThresholds[Item], "SS_Rate_Combined")</f>
        <v/>
      </c>
      <c r="K75" s="12" t="n"/>
    </row>
    <row r="76" ht="15.5" customHeight="1" s="19">
      <c r="H76" t="inlineStr">
        <is>
          <t>Medicare Tax (2.9%)</t>
        </is>
      </c>
      <c r="I76" s="52">
        <f>I71*SUMIFS(tblThresholds[Value], tblThresholds[Year], 2023, tblThresholds[FilingStatus], Filing_Status, tblThresholds[Item], "Medicare_Rate_Combined")</f>
        <v/>
      </c>
      <c r="J76" s="52">
        <f>J71*SUMIFS(tblThresholds[Value], tblThresholds[Year], 2023, tblThresholds[FilingStatus], Filing_Status, tblThresholds[Item], "Medicare_Rate_Combined")</f>
        <v/>
      </c>
      <c r="K76" s="52" t="n"/>
    </row>
    <row r="77" ht="14.5" customHeight="1" s="19">
      <c r="H77" t="inlineStr">
        <is>
          <t>Addl Medicare (0.9% &gt; threshold)</t>
        </is>
      </c>
      <c r="I77" s="12">
        <f>MAX(0,(I72+I71-SUMIFS(tblThresholds[Value],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J77" s="12">
        <f>MAX(0,(J72+J71-SUMIFS(tblThresholds[Value],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77" s="12" t="n"/>
    </row>
    <row r="78" ht="14.5" customHeight="1" s="19">
      <c r="I78" s="12">
        <f>-(I75+I76)/2</f>
        <v/>
      </c>
      <c r="J78" s="12">
        <f>-(J75+J76)/2</f>
        <v/>
      </c>
      <c r="K78" s="12" t="n"/>
    </row>
    <row r="79" ht="18.5" customHeight="1" s="19">
      <c r="I79" s="53" t="n"/>
      <c r="J79" s="12" t="n"/>
      <c r="K79" s="12" t="n"/>
    </row>
    <row r="80" ht="14.5" customHeight="1" s="19">
      <c r="H80" s="13" t="inlineStr">
        <is>
          <t>TOTAL SE TAX</t>
        </is>
      </c>
      <c r="I80" s="20">
        <f>I75+I76+I77</f>
        <v/>
      </c>
      <c r="J80" s="20">
        <f>J75+J76+J77</f>
        <v/>
      </c>
      <c r="K80" s="20">
        <f>I80-J80</f>
        <v/>
      </c>
    </row>
    <row r="81" ht="14.5" customHeight="1" s="19">
      <c r="I81" s="12" t="n"/>
      <c r="J81" s="12" t="n"/>
      <c r="K81" s="12" t="n"/>
    </row>
    <row r="82" ht="14.5" customHeight="1" s="19">
      <c r="H82" s="101" t="inlineStr">
        <is>
          <t>2. PAYROLL TAX</t>
        </is>
      </c>
      <c r="I82" s="20" t="n"/>
      <c r="J82" s="20" t="n"/>
      <c r="K82" s="20" t="n"/>
    </row>
    <row r="83" ht="14.5" customHeight="1" s="19">
      <c r="H83" t="inlineStr">
        <is>
          <t>W-2 Wages</t>
        </is>
      </c>
      <c r="I83" s="12">
        <f>I25</f>
        <v/>
      </c>
      <c r="J83" s="12">
        <f>J25</f>
        <v/>
      </c>
      <c r="K83" s="12" t="n"/>
    </row>
    <row r="84" ht="14.5" customHeight="1" s="19">
      <c r="H84" t="inlineStr">
        <is>
          <t>Social Security (6.2%)</t>
        </is>
      </c>
      <c r="I84" s="12">
        <f>MIN(I83,SUMIFS(tblThresholds[Value], tblThresholds[Year], 2023, tblThresholds[FilingStatus], Filing_Status, tblThresholds[Item], "SS_Wage_Base"))*0.062</f>
        <v/>
      </c>
      <c r="J84" s="12">
        <f>MIN(J83,SUMIFS(tblThresholds[Value], tblThresholds[Year], 2023, tblThresholds[FilingStatus], Filing_Status, tblThresholds[Item], "SS_Wage_Base"))*0.062</f>
        <v/>
      </c>
      <c r="K84" s="12" t="n"/>
    </row>
    <row r="85" ht="14.5" customHeight="1" s="19">
      <c r="H85" t="inlineStr">
        <is>
          <t>Medicare (1.45%)</t>
        </is>
      </c>
      <c r="I85" s="12">
        <f>I83*0.0145</f>
        <v/>
      </c>
      <c r="J85" s="12">
        <f>J83*0.0145</f>
        <v/>
      </c>
      <c r="K85" s="12" t="n"/>
    </row>
    <row r="86" ht="14.5" customHeight="1" s="19">
      <c r="H86" t="inlineStr">
        <is>
          <t>Addl Medicare (0.9% &gt; threshold)</t>
        </is>
      </c>
      <c r="I86" s="12">
        <f>MAX(0,(I83-SUMIFS(tblThresholds[Value],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J86" s="12">
        <f>MAX(0,(J83-SUMIFS(tblThresholds[Value],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86" s="12" t="n"/>
    </row>
    <row r="87" ht="14.5" customHeight="1" s="19">
      <c r="H87" s="13" t="inlineStr">
        <is>
          <t>TOTAL PAYROLL TAX</t>
        </is>
      </c>
      <c r="I87" s="20">
        <f>I84+I85+I86</f>
        <v/>
      </c>
      <c r="J87" s="20">
        <f>J84+J85+J86</f>
        <v/>
      </c>
      <c r="K87" s="20">
        <f>I87-J87</f>
        <v/>
      </c>
    </row>
    <row r="88" ht="14.5" customHeight="1" s="19">
      <c r="H88" s="13" t="inlineStr">
        <is>
          <t>Employer Social Security (6.2%)</t>
        </is>
      </c>
      <c r="I88" s="20">
        <f>I84</f>
        <v/>
      </c>
      <c r="J88" s="20">
        <f>J84</f>
        <v/>
      </c>
      <c r="K88" s="20">
        <f>I88-J88</f>
        <v/>
      </c>
    </row>
    <row r="89" ht="14.5" customHeight="1" s="19">
      <c r="H89" s="13" t="inlineStr">
        <is>
          <t>Employer Medicare (1.45%)</t>
        </is>
      </c>
      <c r="I89" s="20">
        <f>I85</f>
        <v/>
      </c>
      <c r="J89" s="20">
        <f>J85</f>
        <v/>
      </c>
      <c r="K89" s="20">
        <f>I89-J89</f>
        <v/>
      </c>
    </row>
    <row r="90" ht="14.5" customHeight="1" s="19">
      <c r="H90" s="13" t="n"/>
      <c r="I90" s="20" t="n"/>
      <c r="J90" s="20" t="n"/>
      <c r="K90" s="20" t="n"/>
    </row>
    <row r="91" ht="14.5" customHeight="1" s="19">
      <c r="H91" s="13" t="inlineStr">
        <is>
          <t>TOTAL PAYROLL TAX (Employee + Employer)</t>
        </is>
      </c>
      <c r="I91" s="20">
        <f>I87+I88+I89</f>
        <v/>
      </c>
      <c r="J91" s="20">
        <f>J87+J88+J89</f>
        <v/>
      </c>
      <c r="K91" s="20">
        <f>I91-J91</f>
        <v/>
      </c>
    </row>
    <row r="92" ht="14.5" customHeight="1" s="19">
      <c r="I92" s="12" t="n"/>
      <c r="J92" s="12" t="n"/>
      <c r="K92" s="12" t="n"/>
    </row>
    <row r="93" ht="14.5" customHeight="1" s="19">
      <c r="H93" s="101" t="inlineStr">
        <is>
          <t>3. ORDINARY INCOME TAX</t>
        </is>
      </c>
      <c r="I93" s="20" t="n"/>
      <c r="J93" s="20" t="n"/>
      <c r="K93" s="20" t="n"/>
    </row>
    <row r="94" ht="14.5" customHeight="1" s="19">
      <c r="H94" t="inlineStr">
        <is>
          <t>Taxable Income</t>
        </is>
      </c>
      <c r="I94" s="12">
        <f>I37</f>
        <v/>
      </c>
      <c r="J94" s="12">
        <f>J37</f>
        <v/>
      </c>
      <c r="K94" s="12" t="n"/>
    </row>
    <row r="95" ht="14.5" customHeight="1" s="19">
      <c r="H95" t="inlineStr">
        <is>
          <t>Ordinary Taxable (TI - LTCG - QD)</t>
        </is>
      </c>
      <c r="I95" s="12">
        <f>MAX(0,I94)</f>
        <v/>
      </c>
      <c r="J95" s="12">
        <f>MAX(0,J94)</f>
        <v/>
      </c>
      <c r="K95" s="12" t="n"/>
    </row>
    <row r="96" ht="14.5" customHeight="1" s="19">
      <c r="H96" t="inlineStr">
        <is>
          <t>Tax (SUMPRODUCT bracket lookup)</t>
        </is>
      </c>
      <c r="I96" s="12">
        <f t="array" ref="I96">SUMPRODUCT((tblBrackets_FIT[Year]=2023)*(tblBrackets_FIT[FilingStatus]=Filing_Status)*((I95&gt;tblBrackets_FIT[Upper])*(tblBrackets_FIT[Upper]-tblBrackets_FIT[Lower])+(I95&gt;tblBrackets_FIT[Lower])*(I95&lt;=tblBrackets_FIT[Upper])*(I95-tblBrackets_FIT[Lower]))*tblBrackets_FIT[Rate])</f>
        <v/>
      </c>
      <c r="J96" s="12">
        <f t="array" ref="J96">SUMPRODUCT((tblBrackets_FIT[Year]=2023)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2" t="n"/>
    </row>
    <row r="97" ht="14.5" customHeight="1" s="19">
      <c r="H97" s="13" t="inlineStr">
        <is>
          <t>TOTAL ORDINARY TAX</t>
        </is>
      </c>
      <c r="I97" s="20">
        <f>I96</f>
        <v/>
      </c>
      <c r="J97" s="20">
        <f>J96</f>
        <v/>
      </c>
      <c r="K97" s="20">
        <f>I97-J97</f>
        <v/>
      </c>
    </row>
    <row r="98" ht="14.5" customHeight="1" s="19">
      <c r="I98" s="12" t="n"/>
      <c r="J98" s="12" t="n"/>
      <c r="K98" s="12" t="n"/>
    </row>
    <row r="99" ht="14.5" customHeight="1" s="19">
      <c r="H99" s="101" t="inlineStr">
        <is>
          <t>4. CAPITAL GAINS / QUALIFIED DIVIDENDS TAX</t>
        </is>
      </c>
      <c r="I99" s="20" t="n"/>
      <c r="J99" s="20" t="n"/>
      <c r="K99" s="20" t="n"/>
    </row>
    <row r="100" ht="14.5" customHeight="1" s="19">
      <c r="H100" t="inlineStr">
        <is>
          <t>LTCG + Qualified Dividends</t>
        </is>
      </c>
      <c r="I100" s="12">
        <f>I31+I30</f>
        <v/>
      </c>
      <c r="J100" s="12">
        <f>J31+J30</f>
        <v/>
      </c>
      <c r="K100" s="12" t="n"/>
    </row>
    <row r="101" ht="14.5" customHeight="1" s="19">
      <c r="H101" t="inlineStr">
        <is>
          <t>Sec 1250 Recapture Gain</t>
        </is>
      </c>
      <c r="I101" s="12">
        <f>I33</f>
        <v/>
      </c>
      <c r="J101" s="12">
        <f>J33</f>
        <v/>
      </c>
      <c r="K101" s="12" t="n"/>
    </row>
    <row r="102" ht="14.5" customHeight="1" s="19">
      <c r="H102" t="inlineStr">
        <is>
          <t>Stacking Base (Ordinary TI for bracket floor)</t>
        </is>
      </c>
      <c r="I102" s="12">
        <f>I95</f>
        <v/>
      </c>
      <c r="J102" s="12">
        <f>J95</f>
        <v/>
      </c>
      <c r="K102" s="12" t="n"/>
    </row>
    <row r="103" ht="14.5" customHeight="1" s="19">
      <c r="H103" t="inlineStr">
        <is>
          <t>Full CG Rate Tax (SUMPRODUCT stack)</t>
        </is>
      </c>
      <c r="I103" s="12">
        <f t="array" ref="I103">SUMPRODUCT((Tax_Ref!$B$210:$B$281=2023)*(Tax_Ref!$C$210:$C$281=Filing_Status)*((I102+I100&gt;Tax_Ref!$E$210:$E$281)*(Tax_Ref!$E$210:$E$281-Tax_Ref!$D$210:$D$281)+(I102+I100&gt;Tax_Ref!$D$210:$D$281)*(I102+I100&lt;=Tax_Ref!$E$210:$E$281)*(I102+I100-Tax_Ref!$D$210:$D$281))*Tax_Ref!$F$210:$F$281)</f>
        <v/>
      </c>
      <c r="J103" s="12">
        <f t="array" ref="J103">SUMPRODUCT((Tax_Ref!$B$210:$B$281=2023)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2" t="n"/>
    </row>
    <row r="104" ht="14.5" customHeight="1" s="19">
      <c r="H104" t="inlineStr">
        <is>
          <t>CG Rate Tax on Ordinary only</t>
        </is>
      </c>
      <c r="I104" s="12">
        <f t="array" ref="I104">SUMPRODUCT((Tax_Ref!$B$210:$B$281=2023)*(Tax_Ref!$C$210:$C$281=Filing_Status)*((I102&gt;Tax_Ref!$E$210:$E$281)*(Tax_Ref!$E$210:$E$281-Tax_Ref!$D$210:$D$281)+(I102&gt;Tax_Ref!$D$210:$D$281)*(I102&lt;=Tax_Ref!$E$210:$E$281)*(I102-Tax_Ref!$D$210:$D$281))*Tax_Ref!$F$210:$F$281)</f>
        <v/>
      </c>
      <c r="J104" s="12">
        <f t="array" ref="J104">SUMPRODUCT((Tax_Ref!$B$210:$B$281=2023)*(Tax_Ref!$C$210:$C$281=Filing_Status)*((J102&gt;Tax_Ref!$E$210:$E$281)*(Tax_Ref!$E$210:$E$281-Tax_Ref!$D$210:$D$281)+(J102&gt;Tax_Ref!$D$210:$D$281)*(J102&lt;=Tax_Ref!$E$210:$E$281)*(J102-Tax_Ref!$D$210:$D$281))*Tax_Ref!$F$210:$F$281)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2" t="n"/>
    </row>
    <row r="105" ht="14.5" customHeight="1" s="19">
      <c r="H105" t="inlineStr">
        <is>
          <t>Net LTCG/QD Tax</t>
        </is>
      </c>
      <c r="I105" s="12">
        <f>I103-I104</f>
        <v/>
      </c>
      <c r="J105" s="12">
        <f>J103-J104</f>
        <v/>
      </c>
      <c r="K105" s="12" t="n"/>
    </row>
    <row r="106" ht="14.5" customHeight="1" s="19">
      <c r="I106" s="12">
        <f>I33*0.25</f>
        <v/>
      </c>
      <c r="J106" s="12">
        <f>J33*0.25</f>
        <v/>
      </c>
      <c r="K106" s="12" t="n"/>
    </row>
    <row r="107" ht="14.5" customHeight="1" s="19">
      <c r="H107" s="13" t="inlineStr">
        <is>
          <t>TOTAL CAP GAINS TAX</t>
        </is>
      </c>
      <c r="I107" s="20">
        <f>I105+I106</f>
        <v/>
      </c>
      <c r="J107" s="20">
        <f>J105+J106</f>
        <v/>
      </c>
      <c r="K107" s="20">
        <f>I107-J107</f>
        <v/>
      </c>
    </row>
    <row r="108" ht="14.5" customHeight="1" s="19">
      <c r="I108" s="12" t="n"/>
      <c r="J108" s="12" t="n"/>
      <c r="K108" s="12" t="n"/>
    </row>
    <row r="109" ht="14.5" customHeight="1" s="19">
      <c r="H109" s="101" t="inlineStr">
        <is>
          <t>5. NET INVESTMENT INCOME TAX (NIIT)</t>
        </is>
      </c>
      <c r="I109" s="20" t="n"/>
      <c r="J109" s="20" t="n"/>
      <c r="K109" s="20" t="n"/>
    </row>
    <row r="110" ht="14.5" customHeight="1" s="19">
      <c r="H110" t="inlineStr">
        <is>
          <t>MAGI</t>
        </is>
      </c>
      <c r="I110" s="12">
        <f>I38</f>
        <v/>
      </c>
      <c r="J110" s="12">
        <f>J38</f>
        <v/>
      </c>
      <c r="K110" s="12" t="n"/>
    </row>
    <row r="111" ht="14.5" customHeight="1" s="19">
      <c r="H111" t="inlineStr">
        <is>
          <t>NIIT Threshold</t>
        </is>
      </c>
      <c r="I111" s="12">
        <f>SUMIFS(tblThresholds[Value], tblThresholds[Year], 2023, tblThresholds[FilingStatus], Filing_Status, tblThresholds[Item], "NIIT_Threshold")</f>
        <v/>
      </c>
      <c r="J111" s="12">
        <f>SUMIFS(tblThresholds[Value], tblThresholds[Year], 2023, tblThresholds[FilingStatus], Filing_Status, tblThresholds[Item], "NIIT_Threshold")</f>
        <v/>
      </c>
      <c r="K111" s="12" t="n"/>
    </row>
    <row r="112" ht="14.5" customHeight="1" s="19">
      <c r="H112" t="inlineStr">
        <is>
          <t>Net Investment Income (NII)</t>
        </is>
      </c>
      <c r="I112" s="12">
        <f>MAX(0,I39)</f>
        <v/>
      </c>
      <c r="J112" s="12">
        <f>MAX(0,J39)</f>
        <v/>
      </c>
      <c r="K112" s="12" t="n"/>
    </row>
    <row r="113" ht="14.5" customHeight="1" s="19">
      <c r="H113" t="inlineStr">
        <is>
          <t>NIIT Base (lesser of NII or MAGI excess)</t>
        </is>
      </c>
      <c r="I113" s="12">
        <f>MAX(0,I110-I111)</f>
        <v/>
      </c>
      <c r="J113" s="12">
        <f>MAX(0,J110-J111)</f>
        <v/>
      </c>
      <c r="K113" s="12" t="n"/>
    </row>
    <row r="114" ht="14.5" customHeight="1" s="19">
      <c r="H114" s="13" t="inlineStr">
        <is>
          <t>NIIT (3.8%)</t>
        </is>
      </c>
      <c r="I114" s="20">
        <f>MIN(I112,I113)*SUMIFS(tblThresholds[Value], tblThresholds[Year], 2023, tblThresholds[FilingStatus], Filing_Status, tblThresholds[Item], "NIIT_Rate")</f>
        <v/>
      </c>
      <c r="J114" s="20">
        <f>MIN(J112,J113)*SUMIFS(tblThresholds[Value], tblThresholds[Year], 2023, tblThresholds[FilingStatus], Filing_Status, tblThresholds[Item], "NIIT_Rate")</f>
        <v/>
      </c>
      <c r="K114" s="20">
        <f>I114-J114</f>
        <v/>
      </c>
    </row>
    <row r="115" ht="14.5" customHeight="1" s="19">
      <c r="I115" s="12" t="n"/>
      <c r="J115" s="12" t="n"/>
      <c r="K115" s="12" t="n"/>
    </row>
    <row r="116" ht="14.5" customHeight="1" s="19">
      <c r="H116" s="101" t="inlineStr">
        <is>
          <t>6. QBI DEDUCTION (§199A)</t>
        </is>
      </c>
      <c r="I116" s="20" t="n"/>
      <c r="J116" s="20" t="n"/>
      <c r="K116" s="20" t="n"/>
    </row>
    <row r="117" ht="14.5" customHeight="1" s="19">
      <c r="H117" t="inlineStr">
        <is>
          <t>QBI-Eligible Income</t>
        </is>
      </c>
      <c r="I117" s="12">
        <f>I40</f>
        <v/>
      </c>
      <c r="J117" s="12">
        <f>J40</f>
        <v/>
      </c>
      <c r="K117" s="12" t="n"/>
    </row>
    <row r="118" ht="14.5" customHeight="1" s="19">
      <c r="H118" t="inlineStr">
        <is>
          <t>20% of QBI</t>
        </is>
      </c>
      <c r="I118" s="12">
        <f>MAX(0,I117)*0.2</f>
        <v/>
      </c>
      <c r="J118" s="12">
        <f>MAX(0,J117)*0.2</f>
        <v/>
      </c>
      <c r="K118" s="12" t="n"/>
    </row>
    <row r="119" ht="14.5" customHeight="1" s="19">
      <c r="H119" t="inlineStr">
        <is>
          <t>50% of W-2 Wages</t>
        </is>
      </c>
      <c r="I119" s="12">
        <f>MAX(0,I41)*0.2</f>
        <v/>
      </c>
      <c r="J119" s="12">
        <f>MAX(0,J41)*0.2</f>
        <v/>
      </c>
      <c r="K119" s="12" t="n"/>
    </row>
    <row r="120" ht="14.5" customHeight="1" s="19">
      <c r="H120" t="inlineStr">
        <is>
          <t>25% W-2 + 2.5% UBIA</t>
        </is>
      </c>
      <c r="I120" s="12">
        <f>MAX(I23*0.5, I23*0.25+I44*0.025)</f>
        <v/>
      </c>
      <c r="J120" s="12">
        <f>MAX(J23*0.5, J23*0.25+J44*0.025)</f>
        <v/>
      </c>
      <c r="K120" s="12" t="n"/>
    </row>
    <row r="121" ht="14.5" customHeight="1" s="19">
      <c r="H121" t="inlineStr">
        <is>
          <t>Phase-in applies?</t>
        </is>
      </c>
      <c r="I121" s="12">
        <f>IF(I41&gt;SUMIFS(tblThresholds[Value], tblThresholds[Year], 2023, tblThresholds[FilingStatus], Filing_Status, tblThresholds[Item], "QBI_Threshold_Start"),"YES","NO")</f>
        <v/>
      </c>
      <c r="J121" s="12">
        <f>IF(J41&gt;SUMIFS(tblThresholds[Value], tblThresholds[Year], 2023, tblThresholds[FilingStatus], Filing_Status, tblThresholds[Item], "QBI_Threshold_Start"),"YES","NO")</f>
        <v/>
      </c>
      <c r="K121" s="12" t="n"/>
    </row>
    <row r="122" ht="14.5" customHeight="1" s="19">
      <c r="H122" s="13" t="inlineStr">
        <is>
          <t>QBI DEDUCTION</t>
        </is>
      </c>
      <c r="I122" s="20">
        <f>IF(AND(I45=TRUE,I41&gt;SUMIFS(tblThresholds[Value], tblThresholds[Year], 2023, tblThresholds[FilingStatus], Filing_Status, tblThresholds[Item], "QBI_Threshold_End")),0,IF(I41&lt;=SUMIFS(tblThresholds[Value], tblThresholds[Year], 2023, tblThresholds[FilingStatus], Filing_Status, tblThresholds[Item], "QBI_Threshold_Start"),MIN(I118,I119),MIN(I118,I119,I120)))</f>
        <v/>
      </c>
      <c r="J122" s="20">
        <f>IF(AND(J45=TRUE,J41&gt;SUMIFS(tblThresholds[Value], tblThresholds[Year], 2023, tblThresholds[FilingStatus], Filing_Status, tblThresholds[Item], "QBI_Threshold_End")),0,IF(J41&lt;=SUMIFS(tblThresholds[Value], tblThresholds[Year], 2023, tblThresholds[FilingStatus], Filing_Status, tblThresholds[Item], "QBI_Threshold_Start"),MIN(J118,J119),MIN(J118,J119,J120)))</f>
        <v/>
      </c>
      <c r="K122" s="20">
        <f>J122-I122</f>
        <v/>
      </c>
    </row>
    <row r="123" ht="14.5" customHeight="1" s="19">
      <c r="I123" s="12" t="n"/>
      <c r="J123" s="12" t="n"/>
      <c r="K123" s="12" t="n"/>
    </row>
    <row r="124" ht="14.5" customHeight="1" s="19">
      <c r="H124" s="101" t="inlineStr">
        <is>
          <t>7. COMBINED TAX SUMMARY</t>
        </is>
      </c>
      <c r="I124" s="20" t="n"/>
      <c r="J124" s="20" t="n"/>
      <c r="K124" s="20" t="n"/>
    </row>
    <row r="125" ht="14.5" customHeight="1" s="19">
      <c r="H125" t="inlineStr">
        <is>
          <t>Total Income</t>
        </is>
      </c>
      <c r="I125" s="12">
        <f>J6+J8+J10+J11+J12</f>
        <v/>
      </c>
      <c r="J125" s="12">
        <f>O13</f>
        <v/>
      </c>
      <c r="K125" s="12" t="inlineStr">
        <is>
          <t>Δ Savings</t>
        </is>
      </c>
    </row>
    <row r="126" ht="14.5" customHeight="1" s="19">
      <c r="H126" t="inlineStr">
        <is>
          <t>Ordinary Tax</t>
        </is>
      </c>
      <c r="I126" s="12">
        <f>I97</f>
        <v/>
      </c>
      <c r="J126" s="12">
        <f>J97</f>
        <v/>
      </c>
      <c r="K126" s="12">
        <f>I126-J126</f>
        <v/>
      </c>
    </row>
    <row r="127" ht="14.5" customHeight="1" s="19">
      <c r="H127" t="inlineStr">
        <is>
          <t>Capital Gains Tax</t>
        </is>
      </c>
      <c r="I127" s="12">
        <f>I107</f>
        <v/>
      </c>
      <c r="J127" s="12">
        <f>J107</f>
        <v/>
      </c>
      <c r="K127" s="12">
        <f>I127-J127</f>
        <v/>
      </c>
    </row>
    <row r="128" ht="14.5" customHeight="1" s="19">
      <c r="H128" t="inlineStr">
        <is>
          <t>Self-Employment Tax</t>
        </is>
      </c>
      <c r="I128" s="12">
        <f>I80</f>
        <v/>
      </c>
      <c r="J128" s="12">
        <f>J80</f>
        <v/>
      </c>
      <c r="K128" s="12">
        <f>I128-J128</f>
        <v/>
      </c>
    </row>
    <row r="129" ht="14.5" customHeight="1" s="19">
      <c r="H129" t="inlineStr">
        <is>
          <t>Payroll Tax (Employee + Employer)</t>
        </is>
      </c>
      <c r="I129" s="12">
        <f>I91</f>
        <v/>
      </c>
      <c r="J129" s="12">
        <f>J91</f>
        <v/>
      </c>
      <c r="K129" s="12">
        <f>I129-J129</f>
        <v/>
      </c>
    </row>
    <row r="130" ht="14.5" customHeight="1" s="19">
      <c r="H130" t="inlineStr">
        <is>
          <t>NIIT</t>
        </is>
      </c>
      <c r="I130" s="12">
        <f>I114</f>
        <v/>
      </c>
      <c r="J130" s="12">
        <f>J114</f>
        <v/>
      </c>
      <c r="K130" s="12">
        <f>I130-J130</f>
        <v/>
      </c>
    </row>
    <row r="131" ht="14.5" customHeight="1" s="19">
      <c r="H131" t="inlineStr">
        <is>
          <t>Less: QBI Tax Benefit</t>
        </is>
      </c>
      <c r="I131" s="12">
        <f>-I122*0.24</f>
        <v/>
      </c>
      <c r="J131" s="12">
        <f>-J122*0.24</f>
        <v/>
      </c>
      <c r="K131" s="12">
        <f>I131-J131</f>
        <v/>
      </c>
    </row>
    <row r="132" ht="14.5" customHeight="1" s="19">
      <c r="I132" s="12" t="n"/>
      <c r="J132" s="12" t="n"/>
      <c r="K132" s="12" t="n"/>
    </row>
    <row r="133" ht="14.5" customHeight="1" s="19">
      <c r="H133" s="13" t="inlineStr">
        <is>
          <t>TOTAL COMBINED TAX</t>
        </is>
      </c>
      <c r="I133" s="20">
        <f>SUM(I126:I131)</f>
        <v/>
      </c>
      <c r="J133" s="20">
        <f>SUM(J126:J131)</f>
        <v/>
      </c>
      <c r="K133" s="20">
        <f>I133-J133</f>
        <v/>
      </c>
    </row>
    <row r="134" ht="14.5" customHeight="1" s="19">
      <c r="H134" t="inlineStr">
        <is>
          <t>Effective Rate (vs Total Income)</t>
        </is>
      </c>
      <c r="I134" s="57">
        <f>IFERROR(I133/I125,0)</f>
        <v/>
      </c>
      <c r="J134" s="57">
        <f>IFERROR(J133/J125,0)</f>
        <v/>
      </c>
      <c r="K134" s="57">
        <f>I134-J134</f>
        <v/>
      </c>
    </row>
    <row r="135" ht="14.5" customHeight="1" s="19">
      <c r="I135" s="12" t="n"/>
      <c r="J135" s="12" t="n"/>
      <c r="K135" s="12" t="n"/>
    </row>
    <row r="136" ht="14.5" customHeight="1" s="19">
      <c r="H136" s="13" t="inlineStr">
        <is>
          <t>TOTAL TAX SAVINGS FROM PLANNING:</t>
        </is>
      </c>
      <c r="I136" s="20">
        <f>K133</f>
        <v/>
      </c>
      <c r="J136" s="20" t="n"/>
      <c r="K136" s="20" t="n"/>
    </row>
  </sheetData>
  <dataValidations count="1">
    <dataValidation sqref="K6:K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P136"/>
  <sheetViews>
    <sheetView workbookViewId="0">
      <selection activeCell="L53" sqref="L53"/>
    </sheetView>
  </sheetViews>
  <sheetFormatPr baseColWidth="8" defaultRowHeight="14.5"/>
  <cols>
    <col width="12" customWidth="1" style="19" min="1" max="1"/>
    <col width="36" customWidth="1" style="19" min="2" max="2"/>
    <col width="12" customWidth="1" style="19" min="3" max="3"/>
    <col width="14" customWidth="1" style="19" min="4" max="5"/>
    <col width="32" customWidth="1" style="19" min="6" max="6"/>
    <col width="3" customWidth="1" style="19" min="7" max="7"/>
    <col width="36" customWidth="1" style="19" min="8" max="8"/>
    <col width="16" customWidth="1" style="19" min="9" max="9"/>
    <col width="6.36328125" customWidth="1" style="19" min="10" max="10"/>
    <col width="16" customWidth="1" style="19" min="11" max="11"/>
    <col width="14" customWidth="1" style="19" min="12" max="12"/>
    <col width="16" customWidth="1" style="19" min="13" max="13"/>
    <col width="9" customWidth="1" style="19" min="14" max="15"/>
  </cols>
  <sheetData>
    <row r="1" ht="18.5" customHeight="1" s="19">
      <c r="A1" s="17" t="inlineStr">
        <is>
          <t>Y2024 — standalone tax planning sandbox</t>
        </is>
      </c>
    </row>
    <row r="2" ht="14.5" customHeight="1" s="19">
      <c r="A2" s="90" t="inlineStr">
        <is>
          <t>Strategies: enter Amount + Status below. Committed strategies flow to rollup M column. Push to Master_Inputs when final.</t>
        </is>
      </c>
    </row>
    <row r="3" ht="14.5" customHeight="1" s="19"/>
    <row r="4" ht="14.5" customHeight="1" s="19">
      <c r="A4" s="101" t="inlineStr">
        <is>
          <t>▸ STRATEGIES</t>
        </is>
      </c>
    </row>
    <row r="5" ht="14.5" customHeight="1" s="1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s="3" t="inlineStr">
        <is>
          <t>Line</t>
        </is>
      </c>
      <c r="I5" s="3" t="inlineStr">
        <is>
          <t>Description</t>
        </is>
      </c>
      <c r="J5" s="3" t="inlineStr">
        <is>
          <t>Baseline (Master)</t>
        </is>
      </c>
      <c r="K5" s="54" t="inlineStr">
        <is>
          <t>PY?</t>
        </is>
      </c>
      <c r="L5" s="3" t="inlineStr">
        <is>
          <t>S1 Override</t>
        </is>
      </c>
      <c r="M5" s="3" t="inlineStr">
        <is>
          <t>Strategies</t>
        </is>
      </c>
      <c r="N5" s="3" t="inlineStr">
        <is>
          <t>Effective</t>
        </is>
      </c>
      <c r="O5" s="100" t="inlineStr">
        <is>
          <t>Eff w/ Strategies</t>
        </is>
      </c>
      <c r="P5" s="3" t="inlineStr">
        <is>
          <t>Drill</t>
        </is>
      </c>
    </row>
    <row r="6" ht="14.5" customHeight="1" s="19">
      <c r="A6" s="66" t="inlineStr">
        <is>
          <t>STR-001</t>
        </is>
      </c>
      <c r="B6" s="66" t="inlineStr">
        <is>
          <t>S-Corp Wage Optimization</t>
        </is>
      </c>
      <c r="C6" s="66" t="inlineStr">
        <is>
          <t>1z</t>
        </is>
      </c>
      <c r="D6" s="94" t="n"/>
      <c r="E6" s="66" t="n"/>
      <c r="F6" s="66" t="n"/>
      <c r="G6" s="66" t="n"/>
      <c r="H6" t="inlineStr">
        <is>
          <t>1z</t>
        </is>
      </c>
      <c r="I6" t="inlineStr">
        <is>
          <t>Wages</t>
        </is>
      </c>
      <c r="J6" s="12">
        <f>SUMIFS(tblMaster_Inputs[Baseline_Amount],tblMaster_Inputs[Year],2024,tblMaster_Inputs[Primary_Line],$H6, tblMaster_Inputs[Activity_Type], "Baseline")</f>
        <v/>
      </c>
      <c r="K6" s="55" t="n"/>
      <c r="L6" s="4" t="n"/>
      <c r="M6" s="12">
        <f>SUMIFS(tblY2024_Strategies[Amount],tblY2024_Strategies[TargetLine],$H6)-SUMIFS(tblY2024_Strategies[Amount],tblY2024_Strategies[CounterLine],$H6)</f>
        <v/>
      </c>
      <c r="N6" s="12">
        <f>IF(UPPER(K6)="Y",SUMIFS(tblMaster_Inputs[Baseline_Amount],tblMaster_Inputs[Year],2023,tblMaster_Inputs[Primary_Line],"1z"),IF(ISBLANK(L6),J6,L6))</f>
        <v/>
      </c>
      <c r="O6" s="12">
        <f>N6+M6</f>
        <v/>
      </c>
      <c r="P6" s="8">
        <f>HYPERLINK("#Y2024!I49", "↗ drill")</f>
        <v/>
      </c>
    </row>
    <row r="7" ht="14.5" customHeight="1" s="19">
      <c r="A7" s="66" t="inlineStr">
        <is>
          <t>STR-002</t>
        </is>
      </c>
      <c r="B7" s="66" t="inlineStr">
        <is>
          <t>HSA Family Max</t>
        </is>
      </c>
      <c r="C7" s="66" t="n">
        <v>10</v>
      </c>
      <c r="D7" s="94" t="n"/>
      <c r="E7" s="66" t="n"/>
      <c r="F7" s="66" t="n"/>
      <c r="G7" s="66" t="n"/>
      <c r="H7" t="inlineStr">
        <is>
          <t>2a</t>
        </is>
      </c>
      <c r="I7" t="inlineStr">
        <is>
          <t>Tax-exempt interest (Helper)</t>
        </is>
      </c>
      <c r="J7" s="12">
        <f>SUMIFS(tblMaster_Inputs[Helper_Amount],tblMaster_Inputs[Year],2024,tblMaster_Inputs[Helper_Treatment],"TAX_EXEMPT")</f>
        <v/>
      </c>
      <c r="K7" s="55" t="n"/>
      <c r="L7" s="4" t="n"/>
      <c r="M7">
        <f>SUMIFS(tblY2024_Strategies[Amount],tblY2024_Strategies[TargetLine],"2a",tblY2024_Strategies[Status],"Committed")</f>
        <v/>
      </c>
      <c r="N7" s="12">
        <f>IF(UPPER(K7)="Y",SUMIFS(tblMaster_Inputs[Helper_Amount],tblMaster_Inputs[Year],2023,tblMaster_Inputs[Helper_Treatment],"TAX_EXEMPT"),IF(ISBLANK(L7),J7,L7))</f>
        <v/>
      </c>
      <c r="O7" s="12">
        <f>N7</f>
        <v/>
      </c>
      <c r="P7" s="8">
        <f>HYPERLINK("#Y2024!I49", "↗ drill")</f>
        <v/>
      </c>
    </row>
    <row r="8" ht="14.5" customHeight="1" s="19">
      <c r="A8" s="66" t="inlineStr">
        <is>
          <t>STR-003</t>
        </is>
      </c>
      <c r="B8" s="66" t="inlineStr">
        <is>
          <t>Charitable Bunching (DAF)</t>
        </is>
      </c>
      <c r="C8" s="66" t="n">
        <v>12</v>
      </c>
      <c r="D8" s="94" t="n"/>
      <c r="E8" s="66" t="n"/>
      <c r="F8" s="66" t="n"/>
      <c r="G8" s="66" t="n"/>
      <c r="H8" t="inlineStr">
        <is>
          <t>2b</t>
        </is>
      </c>
      <c r="I8" t="inlineStr">
        <is>
          <t>Taxable interest</t>
        </is>
      </c>
      <c r="J8" s="12">
        <f>SUMIFS(tblMaster_Inputs[Baseline_Amount],tblMaster_Inputs[Year],2024,tblMaster_Inputs[Primary_Line],$H8, tblMaster_Inputs[Activity_Type], "Baseline")</f>
        <v/>
      </c>
      <c r="K8" s="55" t="n"/>
      <c r="L8" s="4" t="n"/>
      <c r="M8" s="12">
        <f>SUMIFS(tblY2024_Strategies[Amount],tblY2024_Strategies[TargetLine],$H8)-SUMIFS(tblY2024_Strategies[Amount],tblY2024_Strategies[CounterLine],$H8)</f>
        <v/>
      </c>
      <c r="N8" s="12">
        <f>IF(UPPER(K8)="Y",SUMIFS(tblMaster_Inputs[Baseline_Amount],tblMaster_Inputs[Year],2023,tblMaster_Inputs[Primary_Line],"2b"),IF(ISBLANK(L8),J8,L8))</f>
        <v/>
      </c>
      <c r="O8" s="12">
        <f>N8+M8</f>
        <v/>
      </c>
      <c r="P8" s="8">
        <f>HYPERLINK("#Y2024!I49", "↗ drill")</f>
        <v/>
      </c>
    </row>
    <row r="9" ht="14.5" customHeight="1" s="19">
      <c r="A9" s="66" t="inlineStr">
        <is>
          <t>STR-004</t>
        </is>
      </c>
      <c r="B9" s="66" t="inlineStr">
        <is>
          <t>SEP-IRA / Solo 401(k)</t>
        </is>
      </c>
      <c r="C9" s="66" t="n">
        <v>10</v>
      </c>
      <c r="D9" s="94" t="n"/>
      <c r="E9" s="66" t="n"/>
      <c r="F9" s="66" t="n"/>
      <c r="G9" s="66" t="n"/>
      <c r="H9" t="inlineStr">
        <is>
          <t>3a</t>
        </is>
      </c>
      <c r="I9" t="inlineStr">
        <is>
          <t>Qualified dividends (Helper)</t>
        </is>
      </c>
      <c r="J9" s="12">
        <f>SUMIFS(tblMaster_Inputs[Helper_Amount],tblMaster_Inputs[Year],2024,tblMaster_Inputs[Helper_Treatment],"QUAL_DIV")</f>
        <v/>
      </c>
      <c r="K9" s="55" t="n"/>
      <c r="L9" s="4" t="n"/>
      <c r="M9">
        <f>SUMIFS(tblY2024_Strategies[Amount],tblY2024_Strategies[TargetLine],"3a",tblY2024_Strategies[Status],"Committed")</f>
        <v/>
      </c>
      <c r="N9" s="12">
        <f>IF(UPPER(K9)="Y",SUMIFS(tblMaster_Inputs[Helper_Amount],tblMaster_Inputs[Year],2023,tblMaster_Inputs[Helper_Treatment],"QUAL_DIV"),IF(ISBLANK(L9),J9,L9))</f>
        <v/>
      </c>
      <c r="O9" s="12">
        <f>N9</f>
        <v/>
      </c>
      <c r="P9" s="8">
        <f>HYPERLINK("#Y2024!I49", "↗ drill")</f>
        <v/>
      </c>
    </row>
    <row r="10" ht="14.5" customHeight="1" s="19">
      <c r="A10" s="66" t="inlineStr">
        <is>
          <t>STR-005</t>
        </is>
      </c>
      <c r="B10" s="66" t="inlineStr">
        <is>
          <t>Cost Seg Study</t>
        </is>
      </c>
      <c r="C10" s="66" t="n">
        <v>8</v>
      </c>
      <c r="D10" s="94" t="n"/>
      <c r="E10" s="66" t="n"/>
      <c r="F10" s="66" t="n"/>
      <c r="G10" s="66" t="n"/>
      <c r="H10" t="inlineStr">
        <is>
          <t>3b</t>
        </is>
      </c>
      <c r="I10" t="inlineStr">
        <is>
          <t>Ordinary dividends</t>
        </is>
      </c>
      <c r="J10" s="12">
        <f>SUMIFS(tblMaster_Inputs[Baseline_Amount],tblMaster_Inputs[Year],2024,tblMaster_Inputs[Primary_Line],$H10, tblMaster_Inputs[Activity_Type], "Baseline")</f>
        <v/>
      </c>
      <c r="K10" s="55" t="n"/>
      <c r="L10" s="4" t="n"/>
      <c r="M10" s="12">
        <f>SUMIFS(tblY2024_Strategies[Amount],tblY2024_Strategies[TargetLine],$H10)-SUMIFS(tblY2024_Strategies[Amount],tblY2024_Strategies[CounterLine],$H10)</f>
        <v/>
      </c>
      <c r="N10" s="12">
        <f>IF(UPPER(K10)="Y",SUMIFS(tblMaster_Inputs[Baseline_Amount],tblMaster_Inputs[Year],2023,tblMaster_Inputs[Primary_Line],"3b"),IF(ISBLANK(L10),J10,L10))</f>
        <v/>
      </c>
      <c r="O10" s="12">
        <f>N10+M10</f>
        <v/>
      </c>
      <c r="P10" s="8">
        <f>HYPERLINK("#Y2024!I49", "↗ drill")</f>
        <v/>
      </c>
    </row>
    <row r="11" ht="14.5" customHeight="1" s="19">
      <c r="A11" s="66" t="inlineStr">
        <is>
          <t>STR-006</t>
        </is>
      </c>
      <c r="B11" s="66" t="inlineStr">
        <is>
          <t>Roth Conversion</t>
        </is>
      </c>
      <c r="C11" s="66" t="inlineStr">
        <is>
          <t>1z</t>
        </is>
      </c>
      <c r="D11" s="94" t="n"/>
      <c r="E11" s="66" t="n"/>
      <c r="F11" s="66" t="n"/>
      <c r="G11" s="66" t="n"/>
      <c r="H11" t="n">
        <v>7</v>
      </c>
      <c r="I11" t="inlineStr">
        <is>
          <t>Capital gain or (loss)</t>
        </is>
      </c>
      <c r="J11" s="12">
        <f>SUMIFS(tblMaster_Inputs[Baseline_Amount],tblMaster_Inputs[Year],2024,tblMaster_Inputs[Primary_Line],$H11, tblMaster_Inputs[Activity_Type], "Baseline")</f>
        <v/>
      </c>
      <c r="K11" s="55" t="n"/>
      <c r="L11" s="4" t="n"/>
      <c r="M11" s="12">
        <f>SUMIFS(tblY2024_Strategies[Amount],tblY2024_Strategies[TargetLine],$H11)-SUMIFS(tblY2024_Strategies[Amount],tblY2024_Strategies[CounterLine],$H11)</f>
        <v/>
      </c>
      <c r="N11" s="12">
        <f>IF(UPPER(K11)="Y",SUMIFS(tblMaster_Inputs[Baseline_Amount],tblMaster_Inputs[Year],2023,tblMaster_Inputs[Primary_Line],"7"),IF(ISBLANK(L11),J11,L11))</f>
        <v/>
      </c>
      <c r="O11" s="12">
        <f>N11+M11</f>
        <v/>
      </c>
      <c r="P11" s="8">
        <f>HYPERLINK("#Y2024!I49", "↗ drill")</f>
        <v/>
      </c>
    </row>
    <row r="12" ht="14.5" customHeight="1" s="19">
      <c r="A12" s="66" t="inlineStr">
        <is>
          <t>STR-007</t>
        </is>
      </c>
      <c r="B12" s="66" t="inlineStr">
        <is>
          <t>Augusta Rule (§280A)</t>
        </is>
      </c>
      <c r="C12" s="66" t="n">
        <v>8</v>
      </c>
      <c r="D12" s="94" t="n"/>
      <c r="E12" s="66" t="n"/>
      <c r="F12" s="66" t="n"/>
      <c r="G12" s="66" t="n"/>
      <c r="H12" t="n">
        <v>8</v>
      </c>
      <c r="I12" t="inlineStr">
        <is>
          <t>Other income (business via Sch 1)</t>
        </is>
      </c>
      <c r="J12" s="12">
        <f>SUMIFS(tblMaster_Inputs[Baseline_Amount],tblMaster_Inputs[Year],2024,tblMaster_Inputs[Primary_Line],$H12, tblMaster_Inputs[Activity_Type], "Baseline")</f>
        <v/>
      </c>
      <c r="K12" s="55" t="n"/>
      <c r="L12" s="4" t="n"/>
      <c r="M12" s="12">
        <f>SUMIFS(tblY2024_Strategies[Amount],tblY2024_Strategies[TargetLine],$H12)-SUMIFS(tblY2024_Strategies[Amount],tblY2024_Strategies[CounterLine],$H12)</f>
        <v/>
      </c>
      <c r="N12" s="12">
        <f>IF(UPPER(K12)="Y",SUMIFS(tblMaster_Inputs[Baseline_Amount],tblMaster_Inputs[Year],2023,tblMaster_Inputs[Primary_Line],"8"),IF(ISBLANK(L12),J12,L12))</f>
        <v/>
      </c>
      <c r="O12" s="12">
        <f>N12+M12</f>
        <v/>
      </c>
      <c r="P12" s="8">
        <f>HYPERLINK("#Y2024!I49", "↗ drill")</f>
        <v/>
      </c>
    </row>
    <row r="13" ht="14.5" customHeight="1" s="19">
      <c r="A13" s="66" t="inlineStr">
        <is>
          <t>STR-008</t>
        </is>
      </c>
      <c r="B13" s="66" t="inlineStr">
        <is>
          <t>Accountable Plan</t>
        </is>
      </c>
      <c r="C13" s="66" t="n">
        <v>8</v>
      </c>
      <c r="D13" s="94" t="n"/>
      <c r="E13" s="66" t="n"/>
      <c r="F13" s="66" t="n"/>
      <c r="G13" s="66" t="n"/>
      <c r="H13" t="n">
        <v>9</v>
      </c>
      <c r="I13" t="inlineStr">
        <is>
          <t>TOTAL INCOME</t>
        </is>
      </c>
      <c r="J13" s="12">
        <f>J6+J8+J10+J11+J12</f>
        <v/>
      </c>
      <c r="K13" s="55" t="n"/>
      <c r="L13" s="4" t="n"/>
      <c r="M13" s="12">
        <f>M6+M8+M10+M11+M12</f>
        <v/>
      </c>
      <c r="N13" s="12">
        <f>N6+N8+N10+N11+N12</f>
        <v/>
      </c>
      <c r="O13" s="12">
        <f>O6+O8+O10+O11+O12</f>
        <v/>
      </c>
      <c r="P13" s="8">
        <f>HYPERLINK("#Y2024!I49", "↗ drill")</f>
        <v/>
      </c>
    </row>
    <row r="14" ht="14.5" customHeight="1" s="19">
      <c r="A14" s="66" t="inlineStr">
        <is>
          <t>STR-009</t>
        </is>
      </c>
      <c r="B14" s="66" t="inlineStr">
        <is>
          <t>Hire Children</t>
        </is>
      </c>
      <c r="C14" s="66" t="n">
        <v>8</v>
      </c>
      <c r="D14" s="94" t="n"/>
      <c r="E14" s="66" t="n"/>
      <c r="F14" s="66" t="n"/>
      <c r="G14" s="66" t="n"/>
      <c r="H14" t="n">
        <v>10</v>
      </c>
      <c r="I14" t="inlineStr">
        <is>
          <t>Adjustments to income</t>
        </is>
      </c>
      <c r="J14" s="12">
        <f>SUMIFS(tblMaster_Inputs[Baseline_Amount],tblMaster_Inputs[Year],2024,tblMaster_Inputs[Primary_Line],$H14, tblMaster_Inputs[Activity_Type], "Baseline")</f>
        <v/>
      </c>
      <c r="K14" s="55" t="n"/>
      <c r="L14" s="4" t="n"/>
      <c r="M14" s="12">
        <f>SUMIFS(tblY2024_Strategies[Amount],tblY2024_Strategies[TargetLine],$H14)-SUMIFS(tblY2024_Strategies[Amount],tblY2024_Strategies[CounterLine],$H14)</f>
        <v/>
      </c>
      <c r="N14" s="12">
        <f>IF(UPPER(K14)="Y",SUMIFS(tblMaster_Inputs[Baseline_Amount],tblMaster_Inputs[Year],2023,tblMaster_Inputs[Primary_Line],"10"),IF(ISBLANK(L14),J14,L14))</f>
        <v/>
      </c>
      <c r="O14" s="12">
        <f>N14+M14</f>
        <v/>
      </c>
      <c r="P14" s="8">
        <f>HYPERLINK("#Y2024!I49", "↗ drill")</f>
        <v/>
      </c>
    </row>
    <row r="15" ht="14.5" customHeight="1" s="19">
      <c r="A15" s="66" t="inlineStr">
        <is>
          <t>STR-010</t>
        </is>
      </c>
      <c r="B15" s="66" t="inlineStr">
        <is>
          <t>Entity Restructuring</t>
        </is>
      </c>
      <c r="C15" s="66" t="n">
        <v>8</v>
      </c>
      <c r="D15" s="94" t="n"/>
      <c r="E15" s="66" t="n"/>
      <c r="F15" s="66" t="n"/>
      <c r="G15" s="66" t="n"/>
      <c r="H15" t="n">
        <v>11</v>
      </c>
      <c r="I15" t="inlineStr">
        <is>
          <t>AGI</t>
        </is>
      </c>
      <c r="J15" s="12">
        <f>J13+J14</f>
        <v/>
      </c>
      <c r="K15" s="55" t="n"/>
      <c r="L15" s="4" t="n"/>
      <c r="M15" s="12">
        <f>M13+M14</f>
        <v/>
      </c>
      <c r="N15" s="12">
        <f>N13+N14</f>
        <v/>
      </c>
      <c r="O15" s="12">
        <f>O13+O14</f>
        <v/>
      </c>
      <c r="P15" s="8">
        <f>HYPERLINK("#Y2024!I49", "↗ drill")</f>
        <v/>
      </c>
    </row>
    <row r="16" ht="14.5" customHeight="1" s="19">
      <c r="A16" s="66" t="inlineStr">
        <is>
          <t>STR-011</t>
        </is>
      </c>
      <c r="B16" s="66" t="inlineStr">
        <is>
          <t>Installment Sale / 1031</t>
        </is>
      </c>
      <c r="C16" s="66" t="n">
        <v>7</v>
      </c>
      <c r="D16" s="94" t="n"/>
      <c r="E16" s="66" t="n"/>
      <c r="F16" s="66" t="n"/>
      <c r="G16" s="66" t="n"/>
      <c r="H16" t="n">
        <v>12</v>
      </c>
      <c r="I16" t="inlineStr">
        <is>
          <t>Std/Itemized deduction</t>
        </is>
      </c>
      <c r="J16" s="12">
        <f>SUMIFS(tblMaster_Inputs[Baseline_Amount],tblMaster_Inputs[Year],2024,tblMaster_Inputs[Primary_Line],$H16, tblMaster_Inputs[Activity_Type], "Baseline")</f>
        <v/>
      </c>
      <c r="K16" s="55" t="n"/>
      <c r="L16" s="4" t="n"/>
      <c r="M16" s="12">
        <f>SUMIFS(tblY2024_Strategies[Amount],tblY2024_Strategies[TargetLine],$H16)-SUMIFS(tblY2024_Strategies[Amount],tblY2024_Strategies[CounterLine],$H16)</f>
        <v/>
      </c>
      <c r="N16" s="12">
        <f>IF(UPPER(K16)="Y",SUMIFS(tblMaster_Inputs[Baseline_Amount],tblMaster_Inputs[Year],2023,tblMaster_Inputs[Primary_Line],"12"),IF(ISBLANK(L16),J16,L16))</f>
        <v/>
      </c>
      <c r="O16" s="12">
        <f>N16+M16</f>
        <v/>
      </c>
      <c r="P16" s="8">
        <f>HYPERLINK("#Y2024!I49", "↗ drill")</f>
        <v/>
      </c>
    </row>
    <row r="17" ht="14.5" customHeight="1" s="19">
      <c r="A17" s="66" t="inlineStr">
        <is>
          <t>STR-012</t>
        </is>
      </c>
      <c r="B17" s="66" t="inlineStr">
        <is>
          <t>Bonus Depreciation §168(k)</t>
        </is>
      </c>
      <c r="C17" s="66" t="n">
        <v>8</v>
      </c>
      <c r="D17" s="94" t="n"/>
      <c r="E17" s="66" t="n"/>
      <c r="F17" s="66" t="n"/>
      <c r="G17" s="66" t="n"/>
      <c r="H17" t="n">
        <v>13</v>
      </c>
      <c r="I17" t="inlineStr">
        <is>
          <t>QBI deduction</t>
        </is>
      </c>
      <c r="J17" s="12">
        <f>SUMIFS(tblMaster_Inputs[Baseline_Amount],tblMaster_Inputs[Year],2024,tblMaster_Inputs[Primary_Line],$H17, tblMaster_Inputs[Activity_Type], "Baseline")</f>
        <v/>
      </c>
      <c r="K17" s="55" t="n"/>
      <c r="L17" s="4" t="n"/>
      <c r="M17" s="12">
        <f>SUMIFS(tblY2024_Strategies[Amount],tblY2024_Strategies[TargetLine],$H17)-SUMIFS(tblY2024_Strategies[Amount],tblY2024_Strategies[CounterLine],$H17)</f>
        <v/>
      </c>
      <c r="N17" s="12">
        <f>IF(UPPER(K17)="Y",SUMIFS(tblMaster_Inputs[Baseline_Amount],tblMaster_Inputs[Year],2023,tblMaster_Inputs[Primary_Line],"13"),IF(ISBLANK(L17),J17,L17))</f>
        <v/>
      </c>
      <c r="O17" s="12">
        <f>N17+M17</f>
        <v/>
      </c>
      <c r="P17" s="8">
        <f>HYPERLINK("#Y2024!I49", "↗ drill")</f>
        <v/>
      </c>
    </row>
    <row r="18" ht="14.5" customHeight="1" s="19">
      <c r="A18" s="66" t="inlineStr">
        <is>
          <t>STR-013</t>
        </is>
      </c>
      <c r="B18" s="66" t="inlineStr">
        <is>
          <t>R&amp;D Credit §41</t>
        </is>
      </c>
      <c r="C18" s="66" t="n">
        <v>13</v>
      </c>
      <c r="D18" s="94" t="n"/>
      <c r="E18" s="66" t="n"/>
      <c r="F18" s="66" t="n"/>
      <c r="G18" s="66" t="n"/>
      <c r="H18" t="n">
        <v>15</v>
      </c>
      <c r="I18" t="inlineStr">
        <is>
          <t>TAXABLE INCOME</t>
        </is>
      </c>
      <c r="J18" s="12">
        <f>J15+J16+J17</f>
        <v/>
      </c>
      <c r="K18" s="55" t="n"/>
      <c r="L18" s="4" t="n"/>
      <c r="M18" s="12">
        <f>M15+M16+M17</f>
        <v/>
      </c>
      <c r="N18" s="12">
        <f>N15+N16+N17</f>
        <v/>
      </c>
      <c r="O18" s="12">
        <f>O15+O16+O17</f>
        <v/>
      </c>
      <c r="P18" s="8">
        <f>HYPERLINK("#Y2024!I49", "↗ drill")</f>
        <v/>
      </c>
    </row>
    <row r="19" ht="14.5" customHeight="1" s="19">
      <c r="A19" s="66" t="inlineStr">
        <is>
          <t>STR-014</t>
        </is>
      </c>
      <c r="B19" s="66" t="inlineStr">
        <is>
          <t>SALT PTE Election</t>
        </is>
      </c>
      <c r="C19" s="66" t="n">
        <v>12</v>
      </c>
      <c r="D19" s="94" t="n"/>
      <c r="E19" s="66" t="n"/>
      <c r="F19" s="66" t="n"/>
      <c r="G19" s="66" t="n"/>
    </row>
    <row r="20" ht="14.5" customHeight="1" s="19">
      <c r="A20" s="66" t="inlineStr">
        <is>
          <t>STR-015</t>
        </is>
      </c>
      <c r="B20" s="66" t="inlineStr">
        <is>
          <t>Timing / Deferral</t>
        </is>
      </c>
      <c r="C20" s="66" t="n">
        <v>8</v>
      </c>
      <c r="D20" s="94" t="n"/>
      <c r="E20" s="66" t="n"/>
      <c r="F20" s="66" t="n"/>
      <c r="G20" s="66" t="n"/>
    </row>
    <row r="21" ht="14.5" customHeight="1" s="19"/>
    <row r="22" ht="29" customHeight="1" s="19">
      <c r="A22" s="101" t="inlineStr">
        <is>
          <t>▸ TAX IMPACT SUMMARY</t>
        </is>
      </c>
      <c r="H22" s="3" t="inlineStr">
        <is>
          <t>Description</t>
        </is>
      </c>
      <c r="I22" s="3" t="inlineStr">
        <is>
          <t>Amount</t>
        </is>
      </c>
      <c r="J22" s="3" t="inlineStr">
        <is>
          <t>Effective</t>
        </is>
      </c>
      <c r="K22" s="3" t="inlineStr">
        <is>
          <t>Used by</t>
        </is>
      </c>
    </row>
    <row r="23" ht="14.5" customHeight="1" s="19">
      <c r="A23" s="93" t="inlineStr">
        <is>
          <t>Metric</t>
        </is>
      </c>
      <c r="B23" s="93" t="inlineStr">
        <is>
          <t>Baseline</t>
        </is>
      </c>
      <c r="C23" s="93" t="inlineStr">
        <is>
          <t>Effective</t>
        </is>
      </c>
      <c r="D23" s="93" t="inlineStr">
        <is>
          <t>Eff w/ Strat</t>
        </is>
      </c>
      <c r="E23" s="93" t="inlineStr">
        <is>
          <t>Savings</t>
        </is>
      </c>
      <c r="H23" t="inlineStr">
        <is>
          <t>Owner W-2</t>
        </is>
      </c>
      <c r="I23" s="12">
        <f>SUMIFS(tblMaster_Inputs[Baseline_Amount],tblMaster_Inputs[Year],2024,tblMaster_Inputs[Treatment_Profile],"W2_SCorpOwner", tblMaster_Inputs[Activity_Type], "Baseline")</f>
        <v/>
      </c>
      <c r="J23" s="12">
        <f>I23+SUMIFS(tblY2024_Strategies[Amount],tblY2024_Strategies[TargetLine],"1z")-SUMIFS(tblY2024_Strategies[Amount],tblY2024_Strategies[CounterLine],"1z")</f>
        <v/>
      </c>
      <c r="K23" s="2" t="n"/>
    </row>
    <row r="24" ht="14.5" customHeight="1" s="19">
      <c r="A24" t="inlineStr">
        <is>
          <t>Total Income</t>
        </is>
      </c>
      <c r="B24" s="95">
        <f>J13</f>
        <v/>
      </c>
      <c r="C24" s="95">
        <f>N13</f>
        <v/>
      </c>
      <c r="D24" s="95">
        <f>O13</f>
        <v/>
      </c>
      <c r="E24" s="95">
        <f>B24-D24</f>
        <v/>
      </c>
      <c r="H24" t="inlineStr">
        <is>
          <t>Third-party W-2</t>
        </is>
      </c>
      <c r="I24" s="12">
        <f>SUMIFS(tblMaster_Inputs[Baseline_Amount],tblMaster_Inputs[Year],2024,tblMaster_Inputs[Treatment_Profile],"W2_Employee", tblMaster_Inputs[Activity_Type], "Baseline")</f>
        <v/>
      </c>
      <c r="J24" s="12">
        <f>I24</f>
        <v/>
      </c>
      <c r="K24" s="2" t="n"/>
    </row>
    <row r="25" ht="14.5" customHeight="1" s="19">
      <c r="A25" t="inlineStr">
        <is>
          <t>Taxable Income</t>
        </is>
      </c>
      <c r="B25" s="95">
        <f>J18</f>
        <v/>
      </c>
      <c r="C25" s="95">
        <f>N18</f>
        <v/>
      </c>
      <c r="D25" s="95">
        <f>O18</f>
        <v/>
      </c>
      <c r="E25" s="95">
        <f>B25-D25</f>
        <v/>
      </c>
      <c r="H25" t="inlineStr">
        <is>
          <t>Total W-2</t>
        </is>
      </c>
      <c r="I25" s="12">
        <f>I23+I24</f>
        <v/>
      </c>
      <c r="J25" s="12">
        <f>J23+J24</f>
        <v/>
      </c>
      <c r="K25" s="2" t="n"/>
    </row>
    <row r="26" ht="14.5" customHeight="1" s="19">
      <c r="A26" s="13" t="inlineStr">
        <is>
          <t>Total Tax</t>
        </is>
      </c>
      <c r="B26" s="96">
        <f>I133</f>
        <v/>
      </c>
      <c r="C26" s="96">
        <f>I133</f>
        <v/>
      </c>
      <c r="D26" s="96">
        <f>J133</f>
        <v/>
      </c>
      <c r="E26" s="95">
        <f>B26-D26</f>
        <v/>
      </c>
      <c r="H26" t="inlineStr">
        <is>
          <t>SE business income</t>
        </is>
      </c>
      <c r="I26" s="12">
        <f>SUMIFS(tblMaster_Inputs[Baseline_Amount],tblMaster_Inputs[Year],2024,tblMaster_Inputs[Bucket],"Business Income",tblMaster_Inputs[SE_Subject],"Yes", tblMaster_Inputs[Activity_Type], "Baseline")</f>
        <v/>
      </c>
      <c r="J26" s="12">
        <f>I26</f>
        <v/>
      </c>
      <c r="K26" s="2" t="n"/>
    </row>
    <row r="27" ht="14.5" customHeight="1" s="19">
      <c r="A27" t="inlineStr">
        <is>
          <t>Effective Rate</t>
        </is>
      </c>
      <c r="B27" s="97">
        <f>I134</f>
        <v/>
      </c>
      <c r="C27" s="97">
        <f>I134</f>
        <v/>
      </c>
      <c r="D27" s="97">
        <f>J134</f>
        <v/>
      </c>
      <c r="E27" s="97">
        <f>B27-D27</f>
        <v/>
      </c>
      <c r="H27" t="inlineStr">
        <is>
          <t>Active non-SE business</t>
        </is>
      </c>
      <c r="I27" s="12">
        <f>SUMIFS(tblMaster_Inputs[Baseline_Amount],tblMaster_Inputs[Year],2024,tblMaster_Inputs[Bucket],"Business Income",tblMaster_Inputs[SE_Subject],"No",tblMaster_Inputs[NIIT_Class],"Active", tblMaster_Inputs[Activity_Type], "Baseline")</f>
        <v/>
      </c>
      <c r="J27" s="12">
        <f>I27+SUMIFS(tblY2024_Strategies[Amount],tblY2024_Strategies[TargetLine],"8")-SUMIFS(tblY2024_Strategies[Amount],tblY2024_Strategies[CounterLine],"8")</f>
        <v/>
      </c>
      <c r="K27" s="2" t="n"/>
    </row>
    <row r="28" ht="14.5" customHeight="1" s="19">
      <c r="A28" t="inlineStr">
        <is>
          <t>Committed Strategies</t>
        </is>
      </c>
      <c r="B28" s="98">
        <f>COUNTIF(tblY2024_Strategies[Status],"Committed")</f>
        <v/>
      </c>
      <c r="C28" s="98" t="inlineStr">
        <is>
          <t>Net Strategy Impact</t>
        </is>
      </c>
      <c r="D28" s="95">
        <f>SUMIF(tblY2024_Strategies[Status],"Committed",tblY2024_Strategies[Amount])</f>
        <v/>
      </c>
      <c r="E28" s="98" t="n"/>
      <c r="H28" t="inlineStr">
        <is>
          <t>Passive business</t>
        </is>
      </c>
      <c r="I28" s="12">
        <f>SUMIFS(tblMaster_Inputs[Baseline_Amount],tblMaster_Inputs[Year],2024,tblMaster_Inputs[Bucket],"Business Income",tblMaster_Inputs[NIIT_Class],"Passive", tblMaster_Inputs[Activity_Type], "Baseline")</f>
        <v/>
      </c>
      <c r="J28" s="12">
        <f>I28</f>
        <v/>
      </c>
      <c r="K28" s="2" t="n"/>
    </row>
    <row r="29" ht="14.5" customHeight="1" s="19">
      <c r="H29" t="inlineStr">
        <is>
          <t>Tax-exempt interest</t>
        </is>
      </c>
      <c r="I29" s="12">
        <f>SUMIFS(tblMaster_Inputs[Helper_Amount],tblMaster_Inputs[Year],2024,tblMaster_Inputs[Helper_Treatment],"TAX_EXEMPT")</f>
        <v/>
      </c>
      <c r="J29" s="12">
        <f>I29+SUMIFS(tblY2024_Strategies[Amount],tblY2024_Strategies[TargetLine],"2a")-SUMIFS(tblY2024_Strategies[Amount],tblY2024_Strategies[CounterLine],"2a")</f>
        <v/>
      </c>
      <c r="K29" s="2" t="n"/>
    </row>
    <row r="30" ht="14.5" customHeight="1" s="19">
      <c r="H30" t="inlineStr">
        <is>
          <t>Qualified dividends</t>
        </is>
      </c>
      <c r="I30" s="12">
        <f>SUMIFS(tblMaster_Inputs[Helper_Amount],tblMaster_Inputs[Year],2024,tblMaster_Inputs[Helper_Treatment],"QUAL_DIV", tblMaster_Inputs[Activity_Type], "Baseline")</f>
        <v/>
      </c>
      <c r="J30" s="12">
        <f>I30</f>
        <v/>
      </c>
      <c r="K30" s="2" t="n"/>
    </row>
    <row r="31" ht="14.5" customHeight="1" s="19">
      <c r="H31" t="inlineStr">
        <is>
          <t>Long-term cap gains</t>
        </is>
      </c>
      <c r="I31" s="12">
        <f>SUMIFS(tblMaster_Inputs[Baseline_Amount],tblMaster_Inputs[Year],2024,tblMaster_Inputs[Treatment_Profile],"LTCG_Stock")+SUMIFS(tblMaster_Inputs[Baseline_Amount],tblMaster_Inputs[Year],2024,tblMaster_Inputs[Treatment_Profile],"LTCG_RE")+SUMIFS(tblMaster_Inputs[Baseline_Amount],tblMaster_Inputs[Year],2024,tblMaster_Inputs[Treatment_Profile],"LTCG_K1_Passthrough")+SUMIFS(tblMaster_Inputs[Baseline_Amount],tblMaster_Inputs[Year],2024,tblMaster_Inputs[Treatment_Profile],"Sec1250_Recap", tblMaster_Inputs[Activity_Type], "Baseline")</f>
        <v/>
      </c>
      <c r="J31" s="12">
        <f>I31+SUMIFS(tblY2024_Strategies[Amount],tblY2024_Strategies[TargetLine],"7")-SUMIFS(tblY2024_Strategies[Amount],tblY2024_Strategies[CounterLine],"7")</f>
        <v/>
      </c>
      <c r="K31" s="2" t="n"/>
    </row>
    <row r="32" ht="14.5" customHeight="1" s="19">
      <c r="H32" t="inlineStr">
        <is>
          <t>Short-term cap gains</t>
        </is>
      </c>
      <c r="I32" s="12">
        <f>SUMIFS(tblMaster_Inputs[Baseline_Amount],tblMaster_Inputs[Year],2024,tblMaster_Inputs[Treatment_Profile],"STCG_Stock", tblMaster_Inputs[Activity_Type], "Baseline")</f>
        <v/>
      </c>
      <c r="J32" s="12">
        <f>I32</f>
        <v/>
      </c>
      <c r="K32" s="2" t="n"/>
    </row>
    <row r="33" ht="14.5" customHeight="1" s="19">
      <c r="H33" t="inlineStr">
        <is>
          <t>§1250 gain</t>
        </is>
      </c>
      <c r="I33" s="12">
        <f>SUMIFS(tblMaster_Inputs[Helper_Amount],tblMaster_Inputs[Year],2024,tblMaster_Inputs[Helper_Treatment],"SEC1250", tblMaster_Inputs[Activity_Type], "Baseline")</f>
        <v/>
      </c>
      <c r="J33" s="12">
        <f>I33</f>
        <v/>
      </c>
      <c r="K33" s="2" t="n"/>
    </row>
    <row r="34" ht="14.5" customHeight="1" s="19"/>
    <row r="35" ht="14.5" customHeight="1" s="19"/>
    <row r="36" ht="29" customHeight="1" s="19">
      <c r="H36" s="3" t="inlineStr">
        <is>
          <t>Description</t>
        </is>
      </c>
      <c r="I36" s="3" t="inlineStr">
        <is>
          <t>Value</t>
        </is>
      </c>
      <c r="J36" s="3" t="inlineStr">
        <is>
          <t>Effective</t>
        </is>
      </c>
      <c r="K36" s="3" t="inlineStr">
        <is>
          <t>Used by</t>
        </is>
      </c>
    </row>
    <row r="37" ht="14.5" customHeight="1" s="19">
      <c r="H37" t="inlineStr">
        <is>
          <t>TI-LTCG-QUAL_DIV-SEC1250</t>
        </is>
      </c>
      <c r="I37" s="12">
        <f>J18-I31-I30-I33</f>
        <v/>
      </c>
      <c r="J37" s="12">
        <f>O18-J31-J30-J33</f>
        <v/>
      </c>
      <c r="K37" s="2" t="n"/>
    </row>
    <row r="38" ht="14.5" customHeight="1" s="19">
      <c r="H38" t="inlineStr">
        <is>
          <t>AGI+tax-exempt</t>
        </is>
      </c>
      <c r="I38" s="12">
        <f>J15+I29</f>
        <v/>
      </c>
      <c r="J38" s="12">
        <f>O15+J29</f>
        <v/>
      </c>
      <c r="K38" s="2" t="n"/>
    </row>
    <row r="39" ht="14.5" customHeight="1" s="19">
      <c r="H39" t="inlineStr">
        <is>
          <t>Net inv income</t>
        </is>
      </c>
      <c r="I39" s="12">
        <f>J8+J10+J11+I28</f>
        <v/>
      </c>
      <c r="J39" s="12">
        <f>O8+O10+O11+J28</f>
        <v/>
      </c>
      <c r="K39" s="2" t="n"/>
    </row>
    <row r="40" ht="14.5" customHeight="1" s="19">
      <c r="H40" t="inlineStr">
        <is>
          <t>QBI-eligible</t>
        </is>
      </c>
      <c r="I40" s="12">
        <f>I26+I27</f>
        <v/>
      </c>
      <c r="J40" s="12">
        <f>J26+J27</f>
        <v/>
      </c>
      <c r="K40" s="2" t="n"/>
    </row>
    <row r="41" ht="14.5" customHeight="1" s="19">
      <c r="H41" t="inlineStr">
        <is>
          <t>TI before QBI</t>
        </is>
      </c>
      <c r="I41" s="12">
        <f>J15+J16</f>
        <v/>
      </c>
      <c r="J41" s="12">
        <f>O15+O16</f>
        <v/>
      </c>
      <c r="K41" s="2" t="n"/>
    </row>
    <row r="42" ht="14.5" customHeight="1" s="19">
      <c r="H42" t="inlineStr">
        <is>
          <t>Net biz loss</t>
        </is>
      </c>
      <c r="I42" s="12">
        <f>MIN(0,I26+I27+I28)</f>
        <v/>
      </c>
      <c r="J42" s="12">
        <f>MIN(0,J26+J27+J28)</f>
        <v/>
      </c>
      <c r="K42" s="2" t="n"/>
    </row>
    <row r="43" ht="14.5" customHeight="1" s="19">
      <c r="H43" t="inlineStr">
        <is>
          <t>Net SE income</t>
        </is>
      </c>
      <c r="I43" s="12">
        <f>I26</f>
        <v/>
      </c>
      <c r="J43" s="12">
        <f>J26</f>
        <v/>
      </c>
      <c r="K43" s="2" t="n"/>
    </row>
    <row r="44" ht="14.5" customHeight="1" s="19">
      <c r="I44" s="56" t="n"/>
      <c r="J44" s="56">
        <f>I44</f>
        <v/>
      </c>
      <c r="K44" s="2" t="n"/>
    </row>
    <row r="45" ht="14.5" customHeight="1" s="19">
      <c r="I45" s="70">
        <f>IF(Control_Panel!C21="Yes",TRUE,FALSE)</f>
        <v/>
      </c>
      <c r="J45" s="4">
        <f>I45</f>
        <v/>
      </c>
      <c r="K45" s="2" t="n"/>
    </row>
    <row r="46" ht="14.5" customHeight="1" s="19">
      <c r="I46" s="70">
        <f>Carryovers!F52</f>
        <v/>
      </c>
      <c r="J46" s="56">
        <f>I46</f>
        <v/>
      </c>
      <c r="K46" s="2" t="n"/>
    </row>
    <row r="47" ht="14.5" customHeight="1" s="19"/>
    <row r="48" ht="14.5" customHeight="1" s="19"/>
    <row r="49" ht="14.5" customHeight="1" s="19">
      <c r="H49" s="9" t="inlineStr">
        <is>
          <t>1z</t>
        </is>
      </c>
      <c r="K49" s="8">
        <f>HYPERLINK("#Master_Inputs!A1","✏ open Master_Inputs")</f>
        <v/>
      </c>
    </row>
    <row r="50" ht="14.5" customHeight="1" s="19"/>
    <row r="51" ht="29" customHeight="1" s="19">
      <c r="H51" s="3" t="n"/>
      <c r="I51" s="3" t="n"/>
      <c r="J51" s="3" t="n"/>
      <c r="K51" s="3" t="n"/>
      <c r="L51" s="3" t="n"/>
      <c r="M51" s="3" t="n"/>
      <c r="N51" s="3" t="n"/>
      <c r="O51" s="3" t="n"/>
    </row>
    <row r="52" ht="14.5" customHeight="1" s="19"/>
    <row r="53" ht="14.5" customHeight="1" s="19"/>
    <row r="54" ht="14.5" customHeight="1" s="19"/>
    <row r="55" ht="14.5" customHeight="1" s="19"/>
    <row r="56" ht="14.5" customHeight="1" s="19"/>
    <row r="57" ht="14.5" customHeight="1" s="19"/>
    <row r="58" ht="14.5" customHeight="1" s="19"/>
    <row r="59" ht="14.5" customHeight="1" s="19"/>
    <row r="60" ht="14.5" customHeight="1" s="19"/>
    <row r="61" ht="14.5" customHeight="1" s="19"/>
    <row r="62" ht="14.5" customHeight="1" s="19"/>
    <row r="63" ht="14.5" customHeight="1" s="19"/>
    <row r="64" ht="14.5" customHeight="1" s="19"/>
    <row r="65" ht="16" customHeight="1" s="19" thickBot="1">
      <c r="H65" s="101" t="inlineStr">
        <is>
          <t>▸ 7-COMPONENT TAX CALCULATOR</t>
        </is>
      </c>
      <c r="I65" s="49" t="inlineStr">
        <is>
          <t>Baseline</t>
        </is>
      </c>
      <c r="J65" s="49" t="inlineStr">
        <is>
          <t>Effective</t>
        </is>
      </c>
      <c r="K65" s="49" t="inlineStr">
        <is>
          <t>Δ Savings</t>
        </is>
      </c>
    </row>
    <row r="66" ht="14.5" customHeight="1" s="19">
      <c r="H66" t="inlineStr">
        <is>
          <t>Dual columns: Baseline (H) vs With Planning (I)</t>
        </is>
      </c>
    </row>
    <row r="67" ht="14.5" customHeight="1" s="19"/>
    <row r="68" ht="14.5" customHeight="1" s="19">
      <c r="H68" s="101" t="inlineStr">
        <is>
          <t>1. SELF-EMPLOYMENT TAX</t>
        </is>
      </c>
      <c r="I68" s="36" t="n"/>
      <c r="J68" s="36" t="n"/>
      <c r="K68" s="36" t="n"/>
    </row>
    <row r="69" ht="14.5" customHeight="1" s="19">
      <c r="H69" t="inlineStr">
        <is>
          <t>SE Tax Label</t>
        </is>
      </c>
      <c r="I69" s="20" t="n"/>
      <c r="J69" s="20" t="n"/>
      <c r="K69" s="20" t="n"/>
    </row>
    <row r="70" ht="14.5" customHeight="1" s="19">
      <c r="H70" t="inlineStr">
        <is>
          <t>Net SE Earnings</t>
        </is>
      </c>
      <c r="I70" s="12">
        <f>I43</f>
        <v/>
      </c>
      <c r="J70" s="12">
        <f>J43</f>
        <v/>
      </c>
      <c r="K70" s="12" t="n"/>
    </row>
    <row r="71" ht="14.5" customHeight="1" s="19">
      <c r="H71" t="inlineStr">
        <is>
          <t>SE Base (× 0.9235)</t>
        </is>
      </c>
      <c r="I71" s="20">
        <f>I70*SUMIFS(tblThresholds[Value], tblThresholds[Year], 2024, tblThresholds[FilingStatus], Filing_Status, tblThresholds[Item], "SE_Earnings_Factor")</f>
        <v/>
      </c>
      <c r="J71" s="20">
        <f>J70*SUMIFS(tblThresholds[Value], tblThresholds[Year], 2024, tblThresholds[FilingStatus], Filing_Status, tblThresholds[Item], "SE_Earnings_Factor")</f>
        <v/>
      </c>
      <c r="K71" s="20" t="n"/>
    </row>
    <row r="72" ht="14.5" customHeight="1" s="19">
      <c r="H72" t="inlineStr">
        <is>
          <t>W-2 Wages</t>
        </is>
      </c>
      <c r="I72" s="12">
        <f>I25</f>
        <v/>
      </c>
      <c r="J72" s="12">
        <f>J25</f>
        <v/>
      </c>
      <c r="K72" s="12" t="n"/>
    </row>
    <row r="73" ht="14.5" customHeight="1" s="19">
      <c r="H73" t="inlineStr">
        <is>
          <t>Remaining SS Wage Base</t>
        </is>
      </c>
      <c r="I73" s="12">
        <f>MAX(0,SUMIFS(tblThresholds[Value], tblThresholds[Year], 2024, tblThresholds[FilingStatus], Filing_Status, tblThresholds[Item], "SS_Wage_Base")-I72)</f>
        <v/>
      </c>
      <c r="J73" s="12">
        <f>MAX(0,SUMIFS(tblThresholds[Value], tblThresholds[Year], 2024, tblThresholds[FilingStatus], Filing_Status, tblThresholds[Item], "SS_Wage_Base")-J72)</f>
        <v/>
      </c>
      <c r="K73" s="12" t="n"/>
    </row>
    <row r="74" ht="14.5" customHeight="1" s="19">
      <c r="I74" s="39">
        <f>MIN(I71,I73)</f>
        <v/>
      </c>
      <c r="J74" s="39">
        <f>MIN(J71,J73)</f>
        <v/>
      </c>
      <c r="K74" s="39" t="n"/>
    </row>
    <row r="75" ht="14.5" customHeight="1" s="19">
      <c r="H75" t="inlineStr">
        <is>
          <t>Social Security Tax (12.4%)</t>
        </is>
      </c>
      <c r="I75" s="12">
        <f>I74*SUMIFS(tblThresholds[Value], tblThresholds[Year], 2024, tblThresholds[FilingStatus], Filing_Status, tblThresholds[Item], "SS_Rate_Combined")</f>
        <v/>
      </c>
      <c r="J75" s="12">
        <f>J74*SUMIFS(tblThresholds[Value], tblThresholds[Year], 2024, tblThresholds[FilingStatus], Filing_Status, tblThresholds[Item], "SS_Rate_Combined")</f>
        <v/>
      </c>
      <c r="K75" s="12" t="n"/>
    </row>
    <row r="76" ht="15.5" customHeight="1" s="19">
      <c r="H76" t="inlineStr">
        <is>
          <t>Medicare Tax (2.9%)</t>
        </is>
      </c>
      <c r="I76" s="52">
        <f>I71*SUMIFS(tblThresholds[Value], tblThresholds[Year], 2024, tblThresholds[FilingStatus], Filing_Status, tblThresholds[Item], "Medicare_Rate_Combined")</f>
        <v/>
      </c>
      <c r="J76" s="52">
        <f>J71*SUMIFS(tblThresholds[Value], tblThresholds[Year], 2024, tblThresholds[FilingStatus], Filing_Status, tblThresholds[Item], "Medicare_Rate_Combined")</f>
        <v/>
      </c>
      <c r="K76" s="52" t="n"/>
    </row>
    <row r="77" ht="14.5" customHeight="1" s="19">
      <c r="H77" t="inlineStr">
        <is>
          <t>Addl Medicare (0.9% &gt; threshold)</t>
        </is>
      </c>
      <c r="I77" s="12">
        <f>MAX(0,(I72+I71-SUMIFS(tblThresholds[Value],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J77" s="12">
        <f>MAX(0,(J72+J71-SUMIFS(tblThresholds[Value],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77" s="12" t="n"/>
    </row>
    <row r="78" ht="14.5" customHeight="1" s="19">
      <c r="I78" s="12">
        <f>-(I75+I76)/2</f>
        <v/>
      </c>
      <c r="J78" s="12">
        <f>-(J75+J76)/2</f>
        <v/>
      </c>
      <c r="K78" s="12" t="n"/>
    </row>
    <row r="79" ht="18.5" customHeight="1" s="19">
      <c r="I79" s="53" t="n"/>
      <c r="J79" s="12" t="n"/>
      <c r="K79" s="12" t="n"/>
    </row>
    <row r="80" ht="14.5" customHeight="1" s="19">
      <c r="H80" s="13" t="inlineStr">
        <is>
          <t>TOTAL SE TAX</t>
        </is>
      </c>
      <c r="I80" s="20">
        <f>I75+I76+I77</f>
        <v/>
      </c>
      <c r="J80" s="20">
        <f>J75+J76+J77</f>
        <v/>
      </c>
      <c r="K80" s="20">
        <f>I80-J80</f>
        <v/>
      </c>
    </row>
    <row r="81" ht="14.5" customHeight="1" s="19">
      <c r="I81" s="12" t="n"/>
      <c r="J81" s="12" t="n"/>
      <c r="K81" s="12" t="n"/>
    </row>
    <row r="82" ht="14.5" customHeight="1" s="19">
      <c r="H82" s="101" t="inlineStr">
        <is>
          <t>2. PAYROLL TAX</t>
        </is>
      </c>
      <c r="I82" s="20" t="n"/>
      <c r="J82" s="20" t="n"/>
      <c r="K82" s="20" t="n"/>
    </row>
    <row r="83" ht="14.5" customHeight="1" s="19">
      <c r="H83" t="inlineStr">
        <is>
          <t>W-2 Wages</t>
        </is>
      </c>
      <c r="I83" s="12">
        <f>I25</f>
        <v/>
      </c>
      <c r="J83" s="12">
        <f>J25</f>
        <v/>
      </c>
      <c r="K83" s="12" t="n"/>
    </row>
    <row r="84" ht="14.5" customHeight="1" s="19">
      <c r="H84" t="inlineStr">
        <is>
          <t>Social Security (6.2%)</t>
        </is>
      </c>
      <c r="I84" s="12">
        <f>MIN(I83,SUMIFS(tblThresholds[Value], tblThresholds[Year], 2024, tblThresholds[FilingStatus], Filing_Status, tblThresholds[Item], "SS_Wage_Base"))*0.062</f>
        <v/>
      </c>
      <c r="J84" s="12">
        <f>MIN(J83,SUMIFS(tblThresholds[Value], tblThresholds[Year], 2024, tblThresholds[FilingStatus], Filing_Status, tblThresholds[Item], "SS_Wage_Base"))*0.062</f>
        <v/>
      </c>
      <c r="K84" s="12" t="n"/>
    </row>
    <row r="85" ht="14.5" customHeight="1" s="19">
      <c r="H85" t="inlineStr">
        <is>
          <t>Medicare (1.45%)</t>
        </is>
      </c>
      <c r="I85" s="12">
        <f>I83*0.0145</f>
        <v/>
      </c>
      <c r="J85" s="12">
        <f>J83*0.0145</f>
        <v/>
      </c>
      <c r="K85" s="12" t="n"/>
    </row>
    <row r="86" ht="14.5" customHeight="1" s="19">
      <c r="H86" t="inlineStr">
        <is>
          <t>Addl Medicare (0.9% &gt; threshold)</t>
        </is>
      </c>
      <c r="I86" s="12">
        <f>MAX(0,(I83-SUMIFS(tblThresholds[Value],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J86" s="12">
        <f>MAX(0,(J83-SUMIFS(tblThresholds[Value],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86" s="12" t="n"/>
    </row>
    <row r="87" ht="14.5" customHeight="1" s="19">
      <c r="H87" s="13" t="inlineStr">
        <is>
          <t>TOTAL PAYROLL TAX</t>
        </is>
      </c>
      <c r="I87" s="20">
        <f>I84+I85+I86</f>
        <v/>
      </c>
      <c r="J87" s="20">
        <f>J84+J85+J86</f>
        <v/>
      </c>
      <c r="K87" s="20">
        <f>I87-J87</f>
        <v/>
      </c>
    </row>
    <row r="88" ht="14.5" customHeight="1" s="19">
      <c r="H88" s="13" t="inlineStr">
        <is>
          <t>Employer Social Security (6.2%)</t>
        </is>
      </c>
      <c r="I88" s="20">
        <f>I84</f>
        <v/>
      </c>
      <c r="J88" s="20">
        <f>J84</f>
        <v/>
      </c>
      <c r="K88" s="20">
        <f>I88-J88</f>
        <v/>
      </c>
    </row>
    <row r="89" ht="14.5" customHeight="1" s="19">
      <c r="H89" s="13" t="inlineStr">
        <is>
          <t>Employer Medicare (1.45%)</t>
        </is>
      </c>
      <c r="I89" s="20">
        <f>I85</f>
        <v/>
      </c>
      <c r="J89" s="20">
        <f>J85</f>
        <v/>
      </c>
      <c r="K89" s="20">
        <f>I89-J89</f>
        <v/>
      </c>
    </row>
    <row r="90" ht="14.5" customHeight="1" s="19">
      <c r="H90" s="13" t="n"/>
      <c r="I90" s="20" t="n"/>
      <c r="J90" s="20" t="n"/>
      <c r="K90" s="20" t="n"/>
    </row>
    <row r="91" ht="14.5" customHeight="1" s="19">
      <c r="H91" s="13" t="inlineStr">
        <is>
          <t>TOTAL PAYROLL TAX (Employee + Employer)</t>
        </is>
      </c>
      <c r="I91" s="20">
        <f>I87+I88+I89</f>
        <v/>
      </c>
      <c r="J91" s="20">
        <f>J87+J88+J89</f>
        <v/>
      </c>
      <c r="K91" s="20">
        <f>I91-J91</f>
        <v/>
      </c>
    </row>
    <row r="92" ht="14.5" customHeight="1" s="19">
      <c r="I92" s="12" t="n"/>
      <c r="J92" s="12" t="n"/>
      <c r="K92" s="12" t="n"/>
    </row>
    <row r="93" ht="14.5" customHeight="1" s="19">
      <c r="H93" s="101" t="inlineStr">
        <is>
          <t>3. ORDINARY INCOME TAX</t>
        </is>
      </c>
      <c r="I93" s="20" t="n"/>
      <c r="J93" s="20" t="n"/>
      <c r="K93" s="20" t="n"/>
    </row>
    <row r="94" ht="14.5" customHeight="1" s="19">
      <c r="H94" t="inlineStr">
        <is>
          <t>Taxable Income</t>
        </is>
      </c>
      <c r="I94" s="12">
        <f>I37</f>
        <v/>
      </c>
      <c r="J94" s="12">
        <f>J37</f>
        <v/>
      </c>
      <c r="K94" s="12" t="n"/>
    </row>
    <row r="95" ht="14.5" customHeight="1" s="19">
      <c r="H95" t="inlineStr">
        <is>
          <t>Ordinary Taxable (TI - LTCG - QD)</t>
        </is>
      </c>
      <c r="I95" s="12">
        <f>MAX(0,I94)</f>
        <v/>
      </c>
      <c r="J95" s="12">
        <f>MAX(0,J94)</f>
        <v/>
      </c>
      <c r="K95" s="12" t="n"/>
    </row>
    <row r="96" ht="14.5" customHeight="1" s="19">
      <c r="H96" t="inlineStr">
        <is>
          <t>Tax (SUMPRODUCT bracket lookup)</t>
        </is>
      </c>
      <c r="I96" s="12">
        <f t="array" ref="I96">SUMPRODUCT((tblBrackets_FIT[Year]=2024)*(tblBrackets_FIT[FilingStatus]=Filing_Status)*((I95&gt;tblBrackets_FIT[Upper])*(tblBrackets_FIT[Upper]-tblBrackets_FIT[Lower])+(I95&gt;tblBrackets_FIT[Lower])*(I95&lt;=tblBrackets_FIT[Upper])*(I95-tblBrackets_FIT[Lower]))*tblBrackets_FIT[Rate])</f>
        <v/>
      </c>
      <c r="J96" s="12">
        <f t="array" ref="J96">SUMPRODUCT((tblBrackets_FIT[Year]=2024)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2" t="n"/>
    </row>
    <row r="97" ht="14.5" customHeight="1" s="19">
      <c r="H97" s="13" t="inlineStr">
        <is>
          <t>TOTAL ORDINARY TAX</t>
        </is>
      </c>
      <c r="I97" s="20">
        <f>I96</f>
        <v/>
      </c>
      <c r="J97" s="20">
        <f>J96</f>
        <v/>
      </c>
      <c r="K97" s="20">
        <f>I97-J97</f>
        <v/>
      </c>
    </row>
    <row r="98" ht="14.5" customHeight="1" s="19">
      <c r="I98" s="12" t="n"/>
      <c r="J98" s="12" t="n"/>
      <c r="K98" s="12" t="n"/>
    </row>
    <row r="99" ht="14.5" customHeight="1" s="19">
      <c r="H99" s="101" t="inlineStr">
        <is>
          <t>4. CAPITAL GAINS / QUALIFIED DIVIDENDS TAX</t>
        </is>
      </c>
      <c r="I99" s="20" t="n"/>
      <c r="J99" s="20" t="n"/>
      <c r="K99" s="20" t="n"/>
    </row>
    <row r="100" ht="14.5" customHeight="1" s="19">
      <c r="H100" t="inlineStr">
        <is>
          <t>LTCG + Qualified Dividends</t>
        </is>
      </c>
      <c r="I100" s="12">
        <f>I31+I30</f>
        <v/>
      </c>
      <c r="J100" s="12">
        <f>J31+J30</f>
        <v/>
      </c>
      <c r="K100" s="12" t="n"/>
    </row>
    <row r="101" ht="14.5" customHeight="1" s="19">
      <c r="H101" t="inlineStr">
        <is>
          <t>Sec 1250 Recapture Gain</t>
        </is>
      </c>
      <c r="I101" s="12">
        <f>I33</f>
        <v/>
      </c>
      <c r="J101" s="12">
        <f>J33</f>
        <v/>
      </c>
      <c r="K101" s="12" t="n"/>
    </row>
    <row r="102" ht="14.5" customHeight="1" s="19">
      <c r="H102" t="inlineStr">
        <is>
          <t>Stacking Base (Ordinary TI for bracket floor)</t>
        </is>
      </c>
      <c r="I102" s="12">
        <f>I95</f>
        <v/>
      </c>
      <c r="J102" s="12">
        <f>J95</f>
        <v/>
      </c>
      <c r="K102" s="12" t="n"/>
    </row>
    <row r="103" ht="14.5" customHeight="1" s="19">
      <c r="H103" t="inlineStr">
        <is>
          <t>Full CG Rate Tax (SUMPRODUCT stack)</t>
        </is>
      </c>
      <c r="I103" s="12">
        <f t="array" ref="I103">SUMPRODUCT((Tax_Ref!$B$210:$B$281=2024)*(Tax_Ref!$C$210:$C$281=Filing_Status)*((I102+I100&gt;Tax_Ref!$E$210:$E$281)*(Tax_Ref!$E$210:$E$281-Tax_Ref!$D$210:$D$281)+(I102+I100&gt;Tax_Ref!$D$210:$D$281)*(I102+I100&lt;=Tax_Ref!$E$210:$E$281)*(I102+I100-Tax_Ref!$D$210:$D$281))*Tax_Ref!$F$210:$F$281)</f>
        <v/>
      </c>
      <c r="J103" s="12">
        <f t="array" ref="J103">SUMPRODUCT((Tax_Ref!$B$210:$B$281=2024)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2" t="n"/>
    </row>
    <row r="104" ht="14.5" customHeight="1" s="19">
      <c r="H104" t="inlineStr">
        <is>
          <t>CG Rate Tax on Ordinary only</t>
        </is>
      </c>
      <c r="I104" s="12">
        <f t="array" ref="I104">SUMPRODUCT((Tax_Ref!$B$210:$B$281=2024)*(Tax_Ref!$C$210:$C$281=Filing_Status)*((I102&gt;Tax_Ref!$E$210:$E$281)*(Tax_Ref!$E$210:$E$281-Tax_Ref!$D$210:$D$281)+(I102&gt;Tax_Ref!$D$210:$D$281)*(I102&lt;=Tax_Ref!$E$210:$E$281)*(I102-Tax_Ref!$D$210:$D$281))*Tax_Ref!$F$210:$F$281)</f>
        <v/>
      </c>
      <c r="J104" s="12">
        <f t="array" ref="J104">SUMPRODUCT((Tax_Ref!$B$210:$B$281=2024)*(Tax_Ref!$C$210:$C$281=Filing_Status)*((J102&gt;Tax_Ref!$E$210:$E$281)*(Tax_Ref!$E$210:$E$281-Tax_Ref!$D$210:$D$281)+(J102&gt;Tax_Ref!$D$210:$D$281)*(J102&lt;=Tax_Ref!$E$210:$E$281)*(J102-Tax_Ref!$D$210:$D$281))*Tax_Ref!$F$210:$F$281)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2" t="n"/>
    </row>
    <row r="105" ht="14.5" customHeight="1" s="19">
      <c r="H105" t="inlineStr">
        <is>
          <t>Net LTCG/QD Tax</t>
        </is>
      </c>
      <c r="I105" s="12">
        <f>I103-I104</f>
        <v/>
      </c>
      <c r="J105" s="12">
        <f>J103-J104</f>
        <v/>
      </c>
      <c r="K105" s="12" t="n"/>
    </row>
    <row r="106" ht="14.5" customHeight="1" s="19">
      <c r="I106" s="12">
        <f>I33*0.25</f>
        <v/>
      </c>
      <c r="J106" s="12">
        <f>J33*0.25</f>
        <v/>
      </c>
      <c r="K106" s="12" t="n"/>
    </row>
    <row r="107" ht="14.5" customHeight="1" s="19">
      <c r="H107" s="13" t="inlineStr">
        <is>
          <t>TOTAL CAP GAINS TAX</t>
        </is>
      </c>
      <c r="I107" s="20">
        <f>I105+I106</f>
        <v/>
      </c>
      <c r="J107" s="20">
        <f>J105+J106</f>
        <v/>
      </c>
      <c r="K107" s="20">
        <f>I107-J107</f>
        <v/>
      </c>
    </row>
    <row r="108" ht="14.5" customHeight="1" s="19">
      <c r="I108" s="12" t="n"/>
      <c r="J108" s="12" t="n"/>
      <c r="K108" s="12" t="n"/>
    </row>
    <row r="109" ht="14.5" customHeight="1" s="19">
      <c r="H109" s="101" t="inlineStr">
        <is>
          <t>5. NET INVESTMENT INCOME TAX (NIIT)</t>
        </is>
      </c>
      <c r="I109" s="20" t="n"/>
      <c r="J109" s="20" t="n"/>
      <c r="K109" s="20" t="n"/>
    </row>
    <row r="110" ht="14.5" customHeight="1" s="19">
      <c r="H110" t="inlineStr">
        <is>
          <t>MAGI</t>
        </is>
      </c>
      <c r="I110" s="12">
        <f>I38</f>
        <v/>
      </c>
      <c r="J110" s="12">
        <f>J38</f>
        <v/>
      </c>
      <c r="K110" s="12" t="n"/>
    </row>
    <row r="111" ht="14.5" customHeight="1" s="19">
      <c r="H111" t="inlineStr">
        <is>
          <t>NIIT Threshold</t>
        </is>
      </c>
      <c r="I111" s="12">
        <f>SUMIFS(tblThresholds[Value], tblThresholds[Year], 2024, tblThresholds[FilingStatus], Filing_Status, tblThresholds[Item], "NIIT_Threshold")</f>
        <v/>
      </c>
      <c r="J111" s="12">
        <f>SUMIFS(tblThresholds[Value], tblThresholds[Year], 2024, tblThresholds[FilingStatus], Filing_Status, tblThresholds[Item], "NIIT_Threshold")</f>
        <v/>
      </c>
      <c r="K111" s="12" t="n"/>
    </row>
    <row r="112" ht="14.5" customHeight="1" s="19">
      <c r="H112" t="inlineStr">
        <is>
          <t>Net Investment Income (NII)</t>
        </is>
      </c>
      <c r="I112" s="12">
        <f>MAX(0,I39)</f>
        <v/>
      </c>
      <c r="J112" s="12">
        <f>MAX(0,J39)</f>
        <v/>
      </c>
      <c r="K112" s="12" t="n"/>
    </row>
    <row r="113" ht="14.5" customHeight="1" s="19">
      <c r="H113" t="inlineStr">
        <is>
          <t>NIIT Base (lesser of NII or MAGI excess)</t>
        </is>
      </c>
      <c r="I113" s="12">
        <f>MAX(0,I110-I111)</f>
        <v/>
      </c>
      <c r="J113" s="12">
        <f>MAX(0,J110-J111)</f>
        <v/>
      </c>
      <c r="K113" s="12" t="n"/>
    </row>
    <row r="114" ht="14.5" customHeight="1" s="19">
      <c r="H114" s="13" t="inlineStr">
        <is>
          <t>NIIT (3.8%)</t>
        </is>
      </c>
      <c r="I114" s="20">
        <f>MIN(I112,I113)*SUMIFS(tblThresholds[Value], tblThresholds[Year], 2024, tblThresholds[FilingStatus], Filing_Status, tblThresholds[Item], "NIIT_Rate")</f>
        <v/>
      </c>
      <c r="J114" s="20">
        <f>MIN(J112,J113)*SUMIFS(tblThresholds[Value], tblThresholds[Year], 2024, tblThresholds[FilingStatus], Filing_Status, tblThresholds[Item], "NIIT_Rate")</f>
        <v/>
      </c>
      <c r="K114" s="20">
        <f>I114-J114</f>
        <v/>
      </c>
    </row>
    <row r="115" ht="14.5" customHeight="1" s="19">
      <c r="I115" s="12" t="n"/>
      <c r="J115" s="12" t="n"/>
      <c r="K115" s="12" t="n"/>
    </row>
    <row r="116" ht="14.5" customHeight="1" s="19">
      <c r="H116" s="101" t="inlineStr">
        <is>
          <t>6. QBI DEDUCTION (§199A)</t>
        </is>
      </c>
      <c r="I116" s="20" t="n"/>
      <c r="J116" s="20" t="n"/>
      <c r="K116" s="20" t="n"/>
    </row>
    <row r="117" ht="14.5" customHeight="1" s="19">
      <c r="H117" t="inlineStr">
        <is>
          <t>QBI-Eligible Income</t>
        </is>
      </c>
      <c r="I117" s="12">
        <f>I40</f>
        <v/>
      </c>
      <c r="J117" s="12">
        <f>J40</f>
        <v/>
      </c>
      <c r="K117" s="12" t="n"/>
    </row>
    <row r="118" ht="14.5" customHeight="1" s="19">
      <c r="H118" t="inlineStr">
        <is>
          <t>20% of QBI</t>
        </is>
      </c>
      <c r="I118" s="12">
        <f>MAX(0,I117)*0.2</f>
        <v/>
      </c>
      <c r="J118" s="12">
        <f>MAX(0,J117)*0.2</f>
        <v/>
      </c>
      <c r="K118" s="12" t="n"/>
    </row>
    <row r="119" ht="14.5" customHeight="1" s="19">
      <c r="H119" t="inlineStr">
        <is>
          <t>50% of W-2 Wages</t>
        </is>
      </c>
      <c r="I119" s="12">
        <f>MAX(0,I41)*0.2</f>
        <v/>
      </c>
      <c r="J119" s="12">
        <f>MAX(0,J41)*0.2</f>
        <v/>
      </c>
      <c r="K119" s="12" t="n"/>
    </row>
    <row r="120" ht="14.5" customHeight="1" s="19">
      <c r="H120" t="inlineStr">
        <is>
          <t>25% W-2 + 2.5% UBIA</t>
        </is>
      </c>
      <c r="I120" s="12">
        <f>MAX(I23*0.5, I23*0.25+I44*0.025)</f>
        <v/>
      </c>
      <c r="J120" s="12">
        <f>MAX(J23*0.5, J23*0.25+J44*0.025)</f>
        <v/>
      </c>
      <c r="K120" s="12" t="n"/>
    </row>
    <row r="121" ht="14.5" customHeight="1" s="19">
      <c r="H121" t="inlineStr">
        <is>
          <t>Phase-in applies?</t>
        </is>
      </c>
      <c r="I121" s="12">
        <f>IF(I41&gt;SUMIFS(tblThresholds[Value], tblThresholds[Year], 2024, tblThresholds[FilingStatus], Filing_Status, tblThresholds[Item], "QBI_Threshold_Start"),"YES","NO")</f>
        <v/>
      </c>
      <c r="J121" s="12">
        <f>IF(J41&gt;SUMIFS(tblThresholds[Value], tblThresholds[Year], 2024, tblThresholds[FilingStatus], Filing_Status, tblThresholds[Item], "QBI_Threshold_Start"),"YES","NO")</f>
        <v/>
      </c>
      <c r="K121" s="12" t="n"/>
    </row>
    <row r="122" ht="14.5" customHeight="1" s="19">
      <c r="H122" s="13" t="inlineStr">
        <is>
          <t>QBI DEDUCTION</t>
        </is>
      </c>
      <c r="I122" s="20">
        <f>IF(AND(I45=TRUE,I41&gt;SUMIFS(tblThresholds[Value], tblThresholds[Year], 2024, tblThresholds[FilingStatus], Filing_Status, tblThresholds[Item], "QBI_Threshold_End")),0,IF(I41&lt;=SUMIFS(tblThresholds[Value], tblThresholds[Year], 2024, tblThresholds[FilingStatus], Filing_Status, tblThresholds[Item], "QBI_Threshold_Start"),MIN(I118,I119),MIN(I118,I119,I120)))</f>
        <v/>
      </c>
      <c r="J122" s="20">
        <f>IF(AND(J45=TRUE,J41&gt;SUMIFS(tblThresholds[Value], tblThresholds[Year], 2024, tblThresholds[FilingStatus], Filing_Status, tblThresholds[Item], "QBI_Threshold_End")),0,IF(J41&lt;=SUMIFS(tblThresholds[Value], tblThresholds[Year], 2024, tblThresholds[FilingStatus], Filing_Status, tblThresholds[Item], "QBI_Threshold_Start"),MIN(J118,J119),MIN(J118,J119,J120)))</f>
        <v/>
      </c>
      <c r="K122" s="20">
        <f>J122-I122</f>
        <v/>
      </c>
    </row>
    <row r="123" ht="14.5" customHeight="1" s="19">
      <c r="I123" s="12" t="n"/>
      <c r="J123" s="12" t="n"/>
      <c r="K123" s="12" t="n"/>
    </row>
    <row r="124" ht="14.5" customHeight="1" s="19">
      <c r="H124" s="101" t="inlineStr">
        <is>
          <t>7. COMBINED TAX SUMMARY</t>
        </is>
      </c>
      <c r="I124" s="20" t="n"/>
      <c r="J124" s="20" t="n"/>
      <c r="K124" s="20" t="n"/>
    </row>
    <row r="125" ht="14.5" customHeight="1" s="19">
      <c r="H125" t="inlineStr">
        <is>
          <t>Total Income</t>
        </is>
      </c>
      <c r="I125" s="12">
        <f>J6+J8+J10+J11+J12</f>
        <v/>
      </c>
      <c r="J125" s="12">
        <f>O13</f>
        <v/>
      </c>
      <c r="K125" s="12" t="inlineStr">
        <is>
          <t>Δ Savings</t>
        </is>
      </c>
    </row>
    <row r="126" ht="14.5" customHeight="1" s="19">
      <c r="H126" t="inlineStr">
        <is>
          <t>Ordinary Tax</t>
        </is>
      </c>
      <c r="I126" s="12">
        <f>I97</f>
        <v/>
      </c>
      <c r="J126" s="12">
        <f>J97</f>
        <v/>
      </c>
      <c r="K126" s="12">
        <f>I126-J126</f>
        <v/>
      </c>
    </row>
    <row r="127" ht="14.5" customHeight="1" s="19">
      <c r="H127" t="inlineStr">
        <is>
          <t>Capital Gains Tax</t>
        </is>
      </c>
      <c r="I127" s="12">
        <f>I107</f>
        <v/>
      </c>
      <c r="J127" s="12">
        <f>J107</f>
        <v/>
      </c>
      <c r="K127" s="12">
        <f>I127-J127</f>
        <v/>
      </c>
    </row>
    <row r="128" ht="14.5" customHeight="1" s="19">
      <c r="H128" t="inlineStr">
        <is>
          <t>Self-Employment Tax</t>
        </is>
      </c>
      <c r="I128" s="12">
        <f>I80</f>
        <v/>
      </c>
      <c r="J128" s="12">
        <f>J80</f>
        <v/>
      </c>
      <c r="K128" s="12">
        <f>I128-J128</f>
        <v/>
      </c>
    </row>
    <row r="129" ht="14.5" customHeight="1" s="19">
      <c r="H129" t="inlineStr">
        <is>
          <t>Payroll Tax (Employee + Employer)</t>
        </is>
      </c>
      <c r="I129" s="12">
        <f>I91</f>
        <v/>
      </c>
      <c r="J129" s="12">
        <f>J91</f>
        <v/>
      </c>
      <c r="K129" s="12">
        <f>I129-J129</f>
        <v/>
      </c>
    </row>
    <row r="130" ht="14.5" customHeight="1" s="19">
      <c r="H130" t="inlineStr">
        <is>
          <t>NIIT</t>
        </is>
      </c>
      <c r="I130" s="12">
        <f>I114</f>
        <v/>
      </c>
      <c r="J130" s="12">
        <f>J114</f>
        <v/>
      </c>
      <c r="K130" s="12">
        <f>I130-J130</f>
        <v/>
      </c>
    </row>
    <row r="131" ht="14.5" customHeight="1" s="19">
      <c r="H131" t="inlineStr">
        <is>
          <t>Less: QBI Tax Benefit</t>
        </is>
      </c>
      <c r="I131" s="12">
        <f>-I122*0.24</f>
        <v/>
      </c>
      <c r="J131" s="12">
        <f>-J122*0.24</f>
        <v/>
      </c>
      <c r="K131" s="12">
        <f>I131-J131</f>
        <v/>
      </c>
    </row>
    <row r="132" ht="14.5" customHeight="1" s="19">
      <c r="I132" s="12" t="n"/>
      <c r="J132" s="12" t="n"/>
      <c r="K132" s="12" t="n"/>
    </row>
    <row r="133" ht="14.5" customHeight="1" s="19">
      <c r="H133" s="13" t="inlineStr">
        <is>
          <t>TOTAL COMBINED TAX</t>
        </is>
      </c>
      <c r="I133" s="20">
        <f>SUM(I126:I131)</f>
        <v/>
      </c>
      <c r="J133" s="20">
        <f>SUM(J126:J131)</f>
        <v/>
      </c>
      <c r="K133" s="20">
        <f>I133-J133</f>
        <v/>
      </c>
    </row>
    <row r="134" ht="14.5" customHeight="1" s="19">
      <c r="H134" t="inlineStr">
        <is>
          <t>Effective Rate (vs Total Income)</t>
        </is>
      </c>
      <c r="I134" s="57">
        <f>IFERROR(I133/I125,0)</f>
        <v/>
      </c>
      <c r="J134" s="57">
        <f>IFERROR(J133/J125,0)</f>
        <v/>
      </c>
      <c r="K134" s="57">
        <f>I134-J134</f>
        <v/>
      </c>
    </row>
    <row r="135" ht="14.5" customHeight="1" s="19">
      <c r="I135" s="12" t="n"/>
      <c r="J135" s="12" t="n"/>
      <c r="K135" s="12" t="n"/>
    </row>
    <row r="136" ht="14.5" customHeight="1" s="19">
      <c r="H136" s="13" t="inlineStr">
        <is>
          <t>TOTAL TAX SAVINGS FROM PLANNING:</t>
        </is>
      </c>
      <c r="I136" s="20">
        <f>K133</f>
        <v/>
      </c>
      <c r="J136" s="20" t="n"/>
      <c r="K136" s="20" t="n"/>
    </row>
  </sheetData>
  <dataValidations count="1">
    <dataValidation sqref="K6:K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P136"/>
  <sheetViews>
    <sheetView tabSelected="1" topLeftCell="F1" workbookViewId="0">
      <pane ySplit="5" topLeftCell="A18" activePane="bottomLeft" state="frozen"/>
      <selection pane="bottomLeft" activeCell="O27" sqref="O27"/>
    </sheetView>
  </sheetViews>
  <sheetFormatPr baseColWidth="8" defaultRowHeight="14.5"/>
  <cols>
    <col width="73.1796875" customWidth="1" style="19" min="1" max="1"/>
    <col width="36" customWidth="1" style="19" min="2" max="2"/>
    <col width="12" customWidth="1" style="19" min="3" max="3"/>
    <col width="14" customWidth="1" style="19" min="4" max="5"/>
    <col width="32" customWidth="1" style="19" min="6" max="6"/>
    <col width="3" customWidth="1" style="19" min="7" max="7"/>
    <col width="36" customWidth="1" style="19" min="8" max="8"/>
    <col width="16" customWidth="1" style="19" min="9" max="9"/>
    <col width="10.6328125" bestFit="1" customWidth="1" style="19" min="10" max="10"/>
    <col width="16" customWidth="1" style="19" min="11" max="11"/>
    <col width="14" customWidth="1" style="19" min="12" max="12"/>
    <col width="16" customWidth="1" style="19" min="13" max="13"/>
    <col width="9" customWidth="1" style="19" min="14" max="15"/>
  </cols>
  <sheetData>
    <row r="1">
      <c r="A1" s="17" t="inlineStr">
        <is>
          <t>Y2025 — standalone tax planning sandbox</t>
        </is>
      </c>
    </row>
    <row r="2">
      <c r="A2" s="90" t="inlineStr">
        <is>
          <t>Strategies: enter Amount + Status below. Committed strategies flow to rollup M column. Push to Master_Inputs when final.</t>
        </is>
      </c>
    </row>
    <row r="4">
      <c r="A4" s="101" t="inlineStr">
        <is>
          <t>▸ STRATEGIES</t>
        </is>
      </c>
    </row>
    <row r="5" ht="43.5" customHeight="1" s="1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s="3" t="inlineStr">
        <is>
          <t>Line</t>
        </is>
      </c>
      <c r="I5" s="3" t="inlineStr">
        <is>
          <t>Description</t>
        </is>
      </c>
      <c r="J5" s="3" t="inlineStr">
        <is>
          <t>Baseline (Master)</t>
        </is>
      </c>
      <c r="K5" s="54" t="inlineStr">
        <is>
          <t>PY?</t>
        </is>
      </c>
      <c r="L5" s="3" t="inlineStr">
        <is>
          <t>S1 Override</t>
        </is>
      </c>
      <c r="M5" s="3" t="inlineStr">
        <is>
          <t>Strategies</t>
        </is>
      </c>
      <c r="N5" s="3" t="inlineStr">
        <is>
          <t>Effective</t>
        </is>
      </c>
      <c r="O5" s="100" t="inlineStr">
        <is>
          <t>Eff w/ Strategies</t>
        </is>
      </c>
      <c r="P5" s="3" t="inlineStr">
        <is>
          <t>Drill</t>
        </is>
      </c>
    </row>
    <row r="6">
      <c r="A6" s="66" t="inlineStr">
        <is>
          <t>STR-001</t>
        </is>
      </c>
      <c r="B6" s="66" t="inlineStr">
        <is>
          <t>S-Corp Wage Optimization</t>
        </is>
      </c>
      <c r="C6" s="66" t="inlineStr">
        <is>
          <t>1z</t>
        </is>
      </c>
      <c r="D6" s="94" t="n">
        <v>-25000</v>
      </c>
      <c r="E6" s="66" t="inlineStr">
        <is>
          <t>Committed</t>
        </is>
      </c>
      <c r="F6" s="66" t="inlineStr">
        <is>
          <t>Reduce W-2 $25K, offset by K-1 increase</t>
        </is>
      </c>
      <c r="G6" s="66" t="n">
        <v>8</v>
      </c>
      <c r="H6" t="inlineStr">
        <is>
          <t>1z</t>
        </is>
      </c>
      <c r="I6" t="inlineStr">
        <is>
          <t>Wages</t>
        </is>
      </c>
      <c r="J6" s="12">
        <f>SUMIFS(tblMaster_Inputs[Baseline_Amount], tblMaster_Inputs[Year], 2025, tblMaster_Inputs[Primary_Line], $H6, tblMaster_Inputs[Activity_Type], "Baseline")</f>
        <v/>
      </c>
      <c r="K6" s="55" t="n"/>
      <c r="L6" s="56" t="n"/>
      <c r="M6" s="12">
        <f>SUMIFS(tblY2025_Strategies[Amount],tblY2025_Strategies[TargetLine],$H6)-SUMIFS(tblY2025_Strategies[Amount],tblY2025_Strategies[CounterLine],$H6)</f>
        <v/>
      </c>
      <c r="N6" s="12">
        <f>IF(UPPER(K6)="Y",SUMIFS(tblMaster_Inputs[Baseline_Amount],tblMaster_Inputs[Year],2024,tblMaster_Inputs[Primary_Line],"1z"),IF(ISBLANK(L6),J6,L6))</f>
        <v/>
      </c>
      <c r="O6" s="12">
        <f>N6+M6</f>
        <v/>
      </c>
      <c r="P6" s="8">
        <f>HYPERLINK("#Y2025!I49", "↗ drill")</f>
        <v/>
      </c>
    </row>
    <row r="7">
      <c r="A7" s="66" t="inlineStr">
        <is>
          <t>STR-002</t>
        </is>
      </c>
      <c r="B7" s="66" t="inlineStr">
        <is>
          <t>HSA Family Max</t>
        </is>
      </c>
      <c r="C7" s="66" t="n">
        <v>10</v>
      </c>
      <c r="D7" s="94" t="n">
        <v>-8550</v>
      </c>
      <c r="E7" s="66" t="inlineStr">
        <is>
          <t>Committed</t>
        </is>
      </c>
      <c r="F7" s="66" t="inlineStr">
        <is>
          <t>Family HSA contribution</t>
        </is>
      </c>
      <c r="G7" s="66" t="n"/>
      <c r="H7" t="inlineStr">
        <is>
          <t>2a</t>
        </is>
      </c>
      <c r="I7" t="inlineStr">
        <is>
          <t>Tax-exempt interest (informational — Helper)</t>
        </is>
      </c>
      <c r="J7" s="12">
        <f>TAX_EXEMPT</f>
        <v/>
      </c>
      <c r="K7" s="55" t="n"/>
      <c r="L7" s="4" t="n"/>
      <c r="M7">
        <f>SUMIFS(tblY2025_Strategies[Amount],tblY2025_Strategies[TargetLine],"2a",tblY2025_Strategies[Status],"Committed")</f>
        <v/>
      </c>
      <c r="N7" s="12">
        <f>IF(UPPER(K7)="Y",SUMIFS(tblMaster_Inputs[Helper_Amount],tblMaster_Inputs[Year],2024,tblMaster_Inputs[Helper_Treatment],"TAX_EXEMPT"),IF(ISBLANK(L7),J7,L7))</f>
        <v/>
      </c>
      <c r="O7" s="12">
        <f>N7</f>
        <v/>
      </c>
      <c r="P7" s="8">
        <f>HYPERLINK("#Y2025!I49", "↗ drill")</f>
        <v/>
      </c>
    </row>
    <row r="8">
      <c r="A8" s="66" t="inlineStr">
        <is>
          <t>STR-003</t>
        </is>
      </c>
      <c r="B8" s="66" t="inlineStr">
        <is>
          <t>Charitable Bunching (DAF)</t>
        </is>
      </c>
      <c r="C8" s="66" t="n">
        <v>12</v>
      </c>
      <c r="D8" s="94" t="n">
        <v>15000</v>
      </c>
      <c r="E8" s="66" t="inlineStr">
        <is>
          <t>Proposed</t>
        </is>
      </c>
      <c r="F8" s="66" t="inlineStr">
        <is>
          <t>Donor-advised fund stacking</t>
        </is>
      </c>
      <c r="G8" s="66" t="n"/>
      <c r="H8" t="inlineStr">
        <is>
          <t>2b</t>
        </is>
      </c>
      <c r="I8" t="inlineStr">
        <is>
          <t>Taxable interest</t>
        </is>
      </c>
      <c r="J8" s="12">
        <f>SUMIFS(tblMaster_Inputs[Baseline_Amount], tblMaster_Inputs[Year], 2025, tblMaster_Inputs[Primary_Line], $H8, tblMaster_Inputs[Activity_Type], "Baseline")</f>
        <v/>
      </c>
      <c r="K8" s="55" t="n"/>
      <c r="L8" s="4" t="n"/>
      <c r="M8" s="12">
        <f>SUMIFS(tblY2025_Strategies[Amount],tblY2025_Strategies[TargetLine],$H8)-SUMIFS(tblY2025_Strategies[Amount],tblY2025_Strategies[CounterLine],$H8)</f>
        <v/>
      </c>
      <c r="N8" s="12">
        <f>IF(UPPER(K8)="Y",SUMIFS(tblMaster_Inputs[Baseline_Amount],tblMaster_Inputs[Year],2024,tblMaster_Inputs[Primary_Line],"2b"),IF(ISBLANK(L8),J8,L8))</f>
        <v/>
      </c>
      <c r="O8" s="12">
        <f>N8+M8</f>
        <v/>
      </c>
      <c r="P8" s="8">
        <f>HYPERLINK("#Y2025!I49", "↗ drill")</f>
        <v/>
      </c>
    </row>
    <row r="9">
      <c r="A9" s="66" t="inlineStr">
        <is>
          <t>STR-004</t>
        </is>
      </c>
      <c r="B9" s="66" t="inlineStr">
        <is>
          <t>SEP-IRA / Solo 401(k)</t>
        </is>
      </c>
      <c r="C9" s="66" t="n">
        <v>10</v>
      </c>
      <c r="D9" s="94" t="n">
        <v>-7000</v>
      </c>
      <c r="E9" s="66" t="inlineStr">
        <is>
          <t>Approved</t>
        </is>
      </c>
      <c r="F9" s="66" t="inlineStr">
        <is>
          <t>Retirement contribution</t>
        </is>
      </c>
      <c r="G9" s="66" t="n"/>
      <c r="H9" t="inlineStr">
        <is>
          <t>3a</t>
        </is>
      </c>
      <c r="I9" t="inlineStr">
        <is>
          <t>Qualified dividends (informational — Helper)</t>
        </is>
      </c>
      <c r="J9" s="12">
        <f>QUAL_DIV</f>
        <v/>
      </c>
      <c r="K9" s="55" t="n"/>
      <c r="L9" s="4" t="n"/>
      <c r="M9">
        <f>SUMIFS(tblY2025_Strategies[Amount],tblY2025_Strategies[TargetLine],"3a",tblY2025_Strategies[Status],"Committed")</f>
        <v/>
      </c>
      <c r="N9" s="12">
        <f>IF(UPPER(K9)="Y",SUMIFS(tblMaster_Inputs[Helper_Amount],tblMaster_Inputs[Year],2024,tblMaster_Inputs[Helper_Treatment],"QUAL_DIV"),IF(ISBLANK(L9),J9,L9))</f>
        <v/>
      </c>
      <c r="O9" s="12">
        <f>N9</f>
        <v/>
      </c>
      <c r="P9" s="8">
        <f>HYPERLINK("#Y2025!I49", "↗ drill")</f>
        <v/>
      </c>
    </row>
    <row r="10">
      <c r="A10" s="66" t="inlineStr">
        <is>
          <t>STR-005</t>
        </is>
      </c>
      <c r="B10" s="66" t="inlineStr">
        <is>
          <t>Cost Seg Study</t>
        </is>
      </c>
      <c r="C10" s="66" t="n">
        <v>8</v>
      </c>
      <c r="D10" s="94" t="n">
        <v>-80000</v>
      </c>
      <c r="E10" s="66" t="inlineStr">
        <is>
          <t>Committed</t>
        </is>
      </c>
      <c r="F10" s="66" t="inlineStr">
        <is>
          <t>123 Main St — accelerated depreciation</t>
        </is>
      </c>
      <c r="G10" s="66" t="n"/>
      <c r="H10" t="inlineStr">
        <is>
          <t>3b</t>
        </is>
      </c>
      <c r="I10" t="inlineStr">
        <is>
          <t>Ordinary dividends (total — incl qualified)</t>
        </is>
      </c>
      <c r="J10" s="12">
        <f>SUMIFS(tblMaster_Inputs[Baseline_Amount], tblMaster_Inputs[Year], 2025, tblMaster_Inputs[Primary_Line], $H10, tblMaster_Inputs[Activity_Type], "Baseline")</f>
        <v/>
      </c>
      <c r="K10" s="55" t="n"/>
      <c r="L10" s="4" t="n"/>
      <c r="M10" s="12">
        <f>SUMIFS(tblY2025_Strategies[Amount],tblY2025_Strategies[TargetLine],$H10)-SUMIFS(tblY2025_Strategies[Amount],tblY2025_Strategies[CounterLine],$H10)</f>
        <v/>
      </c>
      <c r="N10" s="12">
        <f>IF(UPPER(K10)="Y",SUMIFS(tblMaster_Inputs[Baseline_Amount],tblMaster_Inputs[Year],2024,tblMaster_Inputs[Primary_Line],"3b"),IF(ISBLANK(L10),J10,L10))</f>
        <v/>
      </c>
      <c r="O10" s="12">
        <f>N10+M10</f>
        <v/>
      </c>
      <c r="P10" s="8">
        <f>HYPERLINK("#Y2025!I49", "↗ drill")</f>
        <v/>
      </c>
    </row>
    <row r="11">
      <c r="A11" s="66" t="inlineStr">
        <is>
          <t>STR-006</t>
        </is>
      </c>
      <c r="B11" s="66" t="inlineStr">
        <is>
          <t>Roth Conversion</t>
        </is>
      </c>
      <c r="C11" s="66" t="inlineStr">
        <is>
          <t>1z</t>
        </is>
      </c>
      <c r="D11" s="94" t="n"/>
      <c r="E11" s="66" t="n"/>
      <c r="F11" s="66" t="inlineStr">
        <is>
          <t>Conversion amount (increases taxable income)</t>
        </is>
      </c>
      <c r="G11" s="66" t="n"/>
      <c r="H11" t="inlineStr">
        <is>
          <t>7</t>
        </is>
      </c>
      <c r="I11" t="inlineStr">
        <is>
          <t>Capital gain or (loss)</t>
        </is>
      </c>
      <c r="J11" s="12">
        <f>SUMIFS(tblMaster_Inputs[Baseline_Amount], tblMaster_Inputs[Year], 2025, tblMaster_Inputs[Primary_Line], $H11, tblMaster_Inputs[Activity_Type], "Baseline")</f>
        <v/>
      </c>
      <c r="K11" s="55" t="n"/>
      <c r="L11" s="4" t="n"/>
      <c r="M11" s="12">
        <f>SUMIFS(tblY2025_Strategies[Amount],tblY2025_Strategies[TargetLine],$H11)-SUMIFS(tblY2025_Strategies[Amount],tblY2025_Strategies[CounterLine],$H11)</f>
        <v/>
      </c>
      <c r="N11" s="12">
        <f>IF(UPPER(K11)="Y",SUMIFS(tblMaster_Inputs[Baseline_Amount],tblMaster_Inputs[Year],2024,tblMaster_Inputs[Primary_Line],"7"),IF(ISBLANK(L11),J11,L11))</f>
        <v/>
      </c>
      <c r="O11" s="12">
        <f>N11+M11</f>
        <v/>
      </c>
      <c r="P11" s="8">
        <f>HYPERLINK("#Y2025!I49", "↗ drill")</f>
        <v/>
      </c>
    </row>
    <row r="12">
      <c r="A12" s="66" t="inlineStr">
        <is>
          <t>STR-007</t>
        </is>
      </c>
      <c r="B12" s="66" t="inlineStr">
        <is>
          <t>Augusta Rule (§280A)</t>
        </is>
      </c>
      <c r="C12" s="66" t="n">
        <v>8</v>
      </c>
      <c r="D12" s="94" t="n"/>
      <c r="E12" s="66" t="n"/>
      <c r="F12" s="66" t="inlineStr">
        <is>
          <t>Home rental to S-Corp (≤14 days, tax-free)</t>
        </is>
      </c>
      <c r="G12" s="66" t="n"/>
      <c r="H12" t="inlineStr">
        <is>
          <t>8</t>
        </is>
      </c>
      <c r="I12" t="inlineStr">
        <is>
          <t>Other income (incl business income via Sch 1)</t>
        </is>
      </c>
      <c r="J12" s="12">
        <f>SUMIFS(tblMaster_Inputs[Baseline_Amount], tblMaster_Inputs[Year], 2025, tblMaster_Inputs[Primary_Line], $H12, tblMaster_Inputs[Activity_Type], "Baseline")</f>
        <v/>
      </c>
      <c r="K12" s="55" t="n"/>
      <c r="L12" s="56" t="n"/>
      <c r="M12" s="12">
        <f>SUMIFS(tblY2025_Strategies[Amount],tblY2025_Strategies[TargetLine],$H12)-SUMIFS(tblY2025_Strategies[Amount],tblY2025_Strategies[CounterLine],$H12)</f>
        <v/>
      </c>
      <c r="N12" s="12">
        <f>IF(UPPER(K12)="Y",SUMIFS(tblMaster_Inputs[Baseline_Amount],tblMaster_Inputs[Year],2024,tblMaster_Inputs[Primary_Line],"8"),IF(ISBLANK(L12),J12,L12))</f>
        <v/>
      </c>
      <c r="O12" s="12">
        <f>N12+M12</f>
        <v/>
      </c>
      <c r="P12" s="8">
        <f>HYPERLINK("#Y2025!I49", "↗ drill")</f>
        <v/>
      </c>
    </row>
    <row r="13">
      <c r="A13" s="66" t="inlineStr">
        <is>
          <t>STR-008</t>
        </is>
      </c>
      <c r="B13" s="66" t="inlineStr">
        <is>
          <t>Accountable Plan</t>
        </is>
      </c>
      <c r="C13" s="66" t="n">
        <v>8</v>
      </c>
      <c r="D13" s="94" t="n"/>
      <c r="E13" s="66" t="n"/>
      <c r="F13" s="66" t="inlineStr">
        <is>
          <t>Business expense reimbursement</t>
        </is>
      </c>
      <c r="G13" s="66" t="n"/>
      <c r="H13" t="inlineStr">
        <is>
          <t>9</t>
        </is>
      </c>
      <c r="I13" t="inlineStr">
        <is>
          <t>TOTAL INCOME</t>
        </is>
      </c>
      <c r="J13" s="12">
        <f>J6+J8+J10+J11+J12</f>
        <v/>
      </c>
      <c r="K13" s="55" t="n"/>
      <c r="L13" s="4" t="n"/>
      <c r="M13" s="12">
        <f>M6+M8+M10+M11+M12</f>
        <v/>
      </c>
      <c r="N13" s="12">
        <f>N6+N8+N10+N11+N12</f>
        <v/>
      </c>
      <c r="O13" s="12">
        <f>O6+O8+O10+O11+O12</f>
        <v/>
      </c>
      <c r="P13" s="8">
        <f>HYPERLINK("#Y2025!I49", "↗ drill")</f>
        <v/>
      </c>
    </row>
    <row r="14">
      <c r="A14" s="66" t="inlineStr">
        <is>
          <t>STR-009</t>
        </is>
      </c>
      <c r="B14" s="66" t="inlineStr">
        <is>
          <t>Hire Children</t>
        </is>
      </c>
      <c r="C14" s="66" t="n">
        <v>8</v>
      </c>
      <c r="D14" s="94" t="n"/>
      <c r="E14" s="66" t="n"/>
      <c r="F14" s="66" t="inlineStr">
        <is>
          <t>Wages to children under §3121(b)(3)</t>
        </is>
      </c>
      <c r="G14" s="66" t="n"/>
      <c r="H14" t="inlineStr">
        <is>
          <t>10</t>
        </is>
      </c>
      <c r="I14" t="inlineStr">
        <is>
          <t>Adjustments to income</t>
        </is>
      </c>
      <c r="J14" s="12">
        <f>SUMIFS(tblMaster_Inputs[Baseline_Amount], tblMaster_Inputs[Year], 2025, tblMaster_Inputs[Primary_Line], $H14, tblMaster_Inputs[Activity_Type], "Baseline")</f>
        <v/>
      </c>
      <c r="K14" s="55" t="n"/>
      <c r="L14" s="4" t="n"/>
      <c r="M14" s="12">
        <f>SUMIFS(tblY2025_Strategies[Amount],tblY2025_Strategies[TargetLine],$H14)-SUMIFS(tblY2025_Strategies[Amount],tblY2025_Strategies[CounterLine],$H14)</f>
        <v/>
      </c>
      <c r="N14" s="12">
        <f>IF(UPPER(K14)="Y",SUMIFS(tblMaster_Inputs[Baseline_Amount],tblMaster_Inputs[Year],2024,tblMaster_Inputs[Primary_Line],"10"),IF(ISBLANK(L14),J14,L14))</f>
        <v/>
      </c>
      <c r="O14" s="12">
        <f>N14+M14</f>
        <v/>
      </c>
      <c r="P14" s="8">
        <f>HYPERLINK("#Y2025!I49", "↗ drill")</f>
        <v/>
      </c>
    </row>
    <row r="15">
      <c r="A15" s="66" t="inlineStr">
        <is>
          <t>STR-010</t>
        </is>
      </c>
      <c r="B15" s="66" t="inlineStr">
        <is>
          <t>Entity Restructuring</t>
        </is>
      </c>
      <c r="C15" s="66" t="n">
        <v>8</v>
      </c>
      <c r="D15" s="94" t="n"/>
      <c r="E15" s="66" t="n"/>
      <c r="F15" s="66" t="inlineStr">
        <is>
          <t>Partnership → S-Corp, etc.</t>
        </is>
      </c>
      <c r="G15" s="66" t="n"/>
      <c r="H15" t="inlineStr">
        <is>
          <t>11</t>
        </is>
      </c>
      <c r="I15" t="inlineStr">
        <is>
          <t>AGI</t>
        </is>
      </c>
      <c r="J15" s="12">
        <f>J13+J14</f>
        <v/>
      </c>
      <c r="K15" s="55" t="n"/>
      <c r="L15" s="4" t="n"/>
      <c r="M15" s="12">
        <f>M13+M14</f>
        <v/>
      </c>
      <c r="N15" s="12">
        <f>N13+N14</f>
        <v/>
      </c>
      <c r="O15" s="12">
        <f>O13+O14</f>
        <v/>
      </c>
      <c r="P15" s="8">
        <f>HYPERLINK("#Y2025!I49", "↗ drill")</f>
        <v/>
      </c>
    </row>
    <row r="16">
      <c r="A16" s="66" t="inlineStr">
        <is>
          <t>STR-011</t>
        </is>
      </c>
      <c r="B16" s="66" t="inlineStr">
        <is>
          <t>Installment Sale / 1031</t>
        </is>
      </c>
      <c r="C16" s="66" t="n">
        <v>7</v>
      </c>
      <c r="D16" s="94" t="n"/>
      <c r="E16" s="66" t="n"/>
      <c r="F16" s="66" t="inlineStr">
        <is>
          <t>Gain deferral strategies</t>
        </is>
      </c>
      <c r="G16" s="66" t="n"/>
      <c r="H16" t="inlineStr">
        <is>
          <t>12</t>
        </is>
      </c>
      <c r="I16" t="inlineStr">
        <is>
          <t>Std/Itemized deduction</t>
        </is>
      </c>
      <c r="J16" s="12">
        <f>SUMIFS(tblMaster_Inputs[Baseline_Amount], tblMaster_Inputs[Year], 2025, tblMaster_Inputs[Primary_Line], $H16, tblMaster_Inputs[Activity_Type], "Baseline")</f>
        <v/>
      </c>
      <c r="K16" s="55" t="n"/>
      <c r="L16" s="4" t="n"/>
      <c r="M16" s="12">
        <f>SUMIFS(tblY2025_Strategies[Amount],tblY2025_Strategies[TargetLine],$H16)-SUMIFS(tblY2025_Strategies[Amount],tblY2025_Strategies[CounterLine],$H16)</f>
        <v/>
      </c>
      <c r="N16" s="12">
        <f>IF(UPPER(K16)="Y",SUMIFS(tblMaster_Inputs[Baseline_Amount],tblMaster_Inputs[Year],2024,tblMaster_Inputs[Primary_Line],"12"),IF(ISBLANK(L16),J16,L16))</f>
        <v/>
      </c>
      <c r="O16" s="12">
        <f>N16+M16</f>
        <v/>
      </c>
      <c r="P16" s="8">
        <f>HYPERLINK("#Y2025!I49", "↗ drill")</f>
        <v/>
      </c>
    </row>
    <row r="17">
      <c r="A17" s="66" t="inlineStr">
        <is>
          <t>STR-012</t>
        </is>
      </c>
      <c r="B17" s="66" t="inlineStr">
        <is>
          <t>Bonus Depreciation §168(k)</t>
        </is>
      </c>
      <c r="C17" s="66" t="n">
        <v>8</v>
      </c>
      <c r="D17" s="94" t="n"/>
      <c r="E17" s="66" t="n"/>
      <c r="F17" s="66" t="inlineStr">
        <is>
          <t>First-year depreciation</t>
        </is>
      </c>
      <c r="G17" s="66" t="n"/>
      <c r="H17" t="inlineStr">
        <is>
          <t>13</t>
        </is>
      </c>
      <c r="I17" t="inlineStr">
        <is>
          <t>QBI deduction</t>
        </is>
      </c>
      <c r="J17" s="12">
        <f>SUMIFS(tblMaster_Inputs[Baseline_Amount], tblMaster_Inputs[Year], 2025, tblMaster_Inputs[Primary_Line], $H17, tblMaster_Inputs[Activity_Type], "Baseline")</f>
        <v/>
      </c>
      <c r="K17" s="55" t="n"/>
      <c r="L17" s="4" t="n"/>
      <c r="M17" s="12">
        <f>SUMIFS(tblY2025_Strategies[Amount],tblY2025_Strategies[TargetLine],$H17)-SUMIFS(tblY2025_Strategies[Amount],tblY2025_Strategies[CounterLine],$H17)</f>
        <v/>
      </c>
      <c r="N17" s="12">
        <f>IF(UPPER(K17)="Y",SUMIFS(tblMaster_Inputs[Baseline_Amount],tblMaster_Inputs[Year],2024,tblMaster_Inputs[Primary_Line],"13"),IF(ISBLANK(L17),J17,L17))</f>
        <v/>
      </c>
      <c r="O17" s="12">
        <f>N17+M17</f>
        <v/>
      </c>
      <c r="P17" s="8">
        <f>HYPERLINK("#Y2025!I49", "↗ drill")</f>
        <v/>
      </c>
    </row>
    <row r="18">
      <c r="A18" s="66" t="inlineStr">
        <is>
          <t>STR-013</t>
        </is>
      </c>
      <c r="B18" s="66" t="inlineStr">
        <is>
          <t>R&amp;D Credit §41</t>
        </is>
      </c>
      <c r="C18" s="66" t="n">
        <v>20</v>
      </c>
      <c r="D18" s="94" t="n"/>
      <c r="E18" s="66" t="n"/>
      <c r="F18" s="66" t="inlineStr">
        <is>
          <t>Research credit</t>
        </is>
      </c>
      <c r="G18" s="66" t="n"/>
      <c r="H18" t="inlineStr">
        <is>
          <t>15</t>
        </is>
      </c>
      <c r="I18" t="inlineStr">
        <is>
          <t>TAXABLE INCOME</t>
        </is>
      </c>
      <c r="J18" s="12">
        <f>J15+J16+J17</f>
        <v/>
      </c>
      <c r="K18" s="55" t="n"/>
      <c r="L18" s="4" t="n"/>
      <c r="M18" s="12">
        <f>M15+M16+M17</f>
        <v/>
      </c>
      <c r="N18" s="12">
        <f>N15+N16+N17</f>
        <v/>
      </c>
      <c r="O18" s="12">
        <f>O15+O16+O17</f>
        <v/>
      </c>
      <c r="P18" s="8">
        <f>HYPERLINK("#Y2025!I49", "↗ drill")</f>
        <v/>
      </c>
    </row>
    <row r="19">
      <c r="A19" s="66" t="inlineStr">
        <is>
          <t>STR-014</t>
        </is>
      </c>
      <c r="B19" s="66" t="inlineStr">
        <is>
          <t>SALT PTE Election</t>
        </is>
      </c>
      <c r="C19" s="66" t="n">
        <v>12</v>
      </c>
      <c r="D19" s="94" t="n"/>
      <c r="E19" s="66" t="n"/>
      <c r="F19" s="66" t="inlineStr">
        <is>
          <t>State pass-through entity tax</t>
        </is>
      </c>
      <c r="G19" s="66" t="n"/>
    </row>
    <row r="20">
      <c r="A20" s="66" t="inlineStr">
        <is>
          <t>STR-015</t>
        </is>
      </c>
      <c r="B20" s="66" t="inlineStr">
        <is>
          <t>Timing / Deferral</t>
        </is>
      </c>
      <c r="C20" s="66" t="n">
        <v>8</v>
      </c>
      <c r="D20" s="94" t="n"/>
      <c r="E20" s="66" t="n"/>
      <c r="F20" s="66" t="inlineStr">
        <is>
          <t>Income acceleration or deferral</t>
        </is>
      </c>
      <c r="G20" s="66" t="n"/>
    </row>
    <row r="22">
      <c r="A22" s="101" t="inlineStr">
        <is>
          <t>▸ TAX IMPACT SUMMARY</t>
        </is>
      </c>
      <c r="H22" s="3" t="inlineStr">
        <is>
          <t>Description</t>
        </is>
      </c>
      <c r="I22" s="3">
        <f>N5</f>
        <v/>
      </c>
      <c r="J22" s="3">
        <f>O5</f>
        <v/>
      </c>
      <c r="K22" s="3" t="inlineStr">
        <is>
          <t>Used by</t>
        </is>
      </c>
    </row>
    <row r="23">
      <c r="A23" s="93" t="inlineStr">
        <is>
          <t>Metric</t>
        </is>
      </c>
      <c r="B23" s="93" t="inlineStr">
        <is>
          <t>Baseline</t>
        </is>
      </c>
      <c r="C23" s="93" t="inlineStr">
        <is>
          <t>Effective</t>
        </is>
      </c>
      <c r="D23" s="93" t="inlineStr">
        <is>
          <t>Eff w/ Strat</t>
        </is>
      </c>
      <c r="E23" s="93" t="inlineStr">
        <is>
          <t>Savings</t>
        </is>
      </c>
      <c r="H23" t="inlineStr">
        <is>
          <t>Owner W-2 wages (S-Corp reasonable comp; Treatment_Profile=W2_SCorpOwner)</t>
        </is>
      </c>
      <c r="I23" s="12">
        <f>SUMIFS(tblMaster_Inputs[Baseline_Amount], tblMaster_Inputs[Year], 2025, tblMaster_Inputs[Treatment_Profile], "W2_SCorpOwner", tblMaster_Inputs[Activity_Type], "Baseline")</f>
        <v/>
      </c>
      <c r="J23" s="12">
        <f>I23+SUMIFS(tblY2025_Strategies[Amount],tblY2025_Strategies[TargetLine],"1z")-SUMIFS(tblY2025_Strategies[Amount],tblY2025_Strategies[CounterLine],"1z")</f>
        <v/>
      </c>
      <c r="K23" s="2" t="inlineStr">
        <is>
          <t>FICA_Employer/Employee — True Tax Burden box</t>
        </is>
      </c>
    </row>
    <row r="24">
      <c r="A24" t="inlineStr">
        <is>
          <t>Total Income</t>
        </is>
      </c>
      <c r="B24" s="95">
        <f>J13</f>
        <v/>
      </c>
      <c r="C24" s="95">
        <f>N13</f>
        <v/>
      </c>
      <c r="D24" s="95">
        <f>O13</f>
        <v/>
      </c>
      <c r="E24" s="95">
        <f>B24-D24</f>
        <v/>
      </c>
      <c r="H24" t="inlineStr">
        <is>
          <t>Third-party W-2 wages (Treatment_Profile=W2_Employee)</t>
        </is>
      </c>
      <c r="I24" s="12">
        <f>SUMIFS(tblMaster_Inputs[Baseline_Amount], tblMaster_Inputs[Year], 2025, tblMaster_Inputs[Treatment_Profile], "W2_Employee", tblMaster_Inputs[Activity_Type], "Baseline")</f>
        <v/>
      </c>
      <c r="J24" s="12">
        <f>I24</f>
        <v/>
      </c>
      <c r="K24" s="2" t="inlineStr">
        <is>
          <t>Calc_SE_Tax (SS-base sharing) · AddlMedicareTax_FN</t>
        </is>
      </c>
    </row>
    <row r="25">
      <c r="A25" t="inlineStr">
        <is>
          <t>Taxable Income</t>
        </is>
      </c>
      <c r="B25" s="95">
        <f>J18</f>
        <v/>
      </c>
      <c r="C25" s="95">
        <f>N18</f>
        <v/>
      </c>
      <c r="D25" s="95">
        <f>O18</f>
        <v/>
      </c>
      <c r="E25" s="95">
        <f>B25-D25</f>
        <v/>
      </c>
      <c r="H25" t="inlineStr">
        <is>
          <t>Total W-2 wages (owner + third-party)</t>
        </is>
      </c>
      <c r="I25" s="12">
        <f>I23+I24</f>
        <v/>
      </c>
      <c r="J25" s="12">
        <f>J23+J24</f>
        <v/>
      </c>
      <c r="K25" s="2" t="inlineStr">
        <is>
          <t>Calc_SE_Tax (SS-base sharing) · AddlMedicareTax_FN</t>
        </is>
      </c>
    </row>
    <row r="26">
      <c r="A26" s="13" t="inlineStr">
        <is>
          <t>Total Tax</t>
        </is>
      </c>
      <c r="B26" s="96">
        <f>I133</f>
        <v/>
      </c>
      <c r="C26" s="96">
        <f>I133</f>
        <v/>
      </c>
      <c r="D26" s="96">
        <f>J133</f>
        <v/>
      </c>
      <c r="E26" s="95">
        <f>B26-D26</f>
        <v/>
      </c>
      <c r="H26" t="inlineStr">
        <is>
          <t>Business income subject to SE tax (Sch C, Sch F, active K-1 PTP)</t>
        </is>
      </c>
      <c r="I26" s="12">
        <f>SUMIFS(tblMaster_Inputs[Baseline_Amount], tblMaster_Inputs[Year], 2025, tblMaster_Inputs[Bucket], "Business Income", tblMaster_Inputs[SE_Subject], "Yes", tblMaster_Inputs[Activity_Type], "Baseline")</f>
        <v/>
      </c>
      <c r="J26" s="12">
        <f>I26</f>
        <v/>
      </c>
      <c r="K26" s="2" t="inlineStr">
        <is>
          <t>Calc_SE_Tax base · AddlMedicareTax_FN</t>
        </is>
      </c>
    </row>
    <row r="27">
      <c r="A27" t="inlineStr">
        <is>
          <t>Effective Rate</t>
        </is>
      </c>
      <c r="B27" s="97">
        <f>I134</f>
        <v/>
      </c>
      <c r="C27" s="97">
        <f>I134</f>
        <v/>
      </c>
      <c r="D27" s="97">
        <f>J134</f>
        <v/>
      </c>
      <c r="E27" s="97">
        <f>B27-D27</f>
        <v/>
      </c>
      <c r="H27" t="inlineStr">
        <is>
          <t>Active business income NOT subject to SE (active S-Corp K-1, etc.)</t>
        </is>
      </c>
      <c r="I27" s="12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J27" s="12">
        <f>I27+SUMIFS(tblY2025_Strategies[Amount],tblY2025_Strategies[TargetLine],"8")-SUMIFS(tblY2025_Strategies[Amount],tblY2025_Strategies[CounterLine],"8")</f>
        <v/>
      </c>
      <c r="K27" s="2" t="inlineStr">
        <is>
          <t>NIIT exclusion (active) · QBI eligible</t>
        </is>
      </c>
    </row>
    <row r="28">
      <c r="A28" t="inlineStr">
        <is>
          <t>Committed Strategies</t>
        </is>
      </c>
      <c r="B28" s="98">
        <f>COUNTIF(tblY2025_Strategies[Status],"Committed")</f>
        <v/>
      </c>
      <c r="C28" s="98" t="inlineStr">
        <is>
          <t>Net Strategy Impact</t>
        </is>
      </c>
      <c r="D28" s="95">
        <f>SUMIF(tblY2025_Strategies[Status],"Committed",tblY2025_Strategies[Amount])</f>
        <v/>
      </c>
      <c r="E28" s="98" t="n"/>
      <c r="H28" t="inlineStr">
        <is>
          <t>Passive business income / loss (passive K-1s, Sch E rental)</t>
        </is>
      </c>
      <c r="I28" s="12">
        <f>SUMIFS(tblMaster_Inputs[Baseline_Amount], tblMaster_Inputs[Year], 2025, tblMaster_Inputs[Bucket], "Business Income", tblMaster_Inputs[NIIT_Class], "Passive", tblMaster_Inputs[Activity_Type], "Baseline")</f>
        <v/>
      </c>
      <c r="J28" s="12">
        <f>I28</f>
        <v/>
      </c>
      <c r="K28" s="2" t="inlineStr">
        <is>
          <t>PassiveLossAllowed_FN · NIIT inclusion</t>
        </is>
      </c>
    </row>
    <row r="29">
      <c r="H29" t="inlineStr">
        <is>
          <t>Tax-exempt interest (Line 2a; reported but not taxed)</t>
        </is>
      </c>
      <c r="I29" s="12">
        <f>SUMIFS(tblMaster_Inputs[Helper_Amount], tblMaster_Inputs[Year], 2025, tblMaster_Inputs[Helper_Treatment], "TAX_EXEMPT")</f>
        <v/>
      </c>
      <c r="J29" s="12">
        <f>I29+SUMIFS(tblY2025_Strategies[Amount],tblY2025_Strategies[TargetLine],"2a")-SUMIFS(tblY2025_Strategies[Amount],tblY2025_Strategies[CounterLine],"2a")</f>
        <v/>
      </c>
      <c r="K29" s="2" t="inlineStr">
        <is>
          <t>NIIT_FN (MAGI base)</t>
        </is>
      </c>
    </row>
    <row r="30">
      <c r="H30" t="inlineStr">
        <is>
          <t>Qualified dividends (carve-out of Line 3b; LTCG stack)</t>
        </is>
      </c>
      <c r="I30" s="12">
        <f>SUMIFS(tblMaster_Inputs[Helper_Amount], tblMaster_Inputs[Year], 2025, tblMaster_Inputs[Helper_Treatment], "QUAL_DIV", tblMaster_Inputs[Activity_Type], "Baseline")</f>
        <v/>
      </c>
      <c r="J30" s="12">
        <f>I30</f>
        <v/>
      </c>
      <c r="K30" s="2" t="inlineStr">
        <is>
          <t>Calc_CapGainsTax stacking</t>
        </is>
      </c>
    </row>
    <row r="31">
      <c r="H31" t="inlineStr">
        <is>
          <t>Long-term capital gains (LT preferential rate; stacks with qualified div)</t>
        </is>
      </c>
      <c r="I31" s="12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"Sec1250_Recap", tblMaster_Inputs[Activity_Type], "Baseline")</f>
        <v/>
      </c>
      <c r="J31" s="12">
        <f>I31+SUMIFS(tblY2025_Strategies[Amount],tblY2025_Strategies[TargetLine],"7")-SUMIFS(tblY2025_Strategies[Amount],tblY2025_Strategies[CounterLine],"7")</f>
        <v/>
      </c>
      <c r="K31" s="2" t="inlineStr">
        <is>
          <t>Calc_CapGainsTax</t>
        </is>
      </c>
    </row>
    <row r="32">
      <c r="H32" t="inlineStr">
        <is>
          <t>Short-term capital gains (taxed as ordinary income)</t>
        </is>
      </c>
      <c r="I32" s="12">
        <f>SUMIFS(tblMaster_Inputs[Baseline_Amount], tblMaster_Inputs[Year], 2025, tblMaster_Inputs[Treatment_Profile], "STCG_Stock", tblMaster_Inputs[Activity_Type], "Baseline")</f>
        <v/>
      </c>
      <c r="J32" s="12">
        <f>I32</f>
        <v/>
      </c>
      <c r="K32" s="2" t="inlineStr">
        <is>
          <t>Calc_OrdinaryTax (ST folded into ordinary income)</t>
        </is>
      </c>
    </row>
    <row r="33">
      <c r="H33" t="inlineStr">
        <is>
          <t>§1250 unrecaptured gain (sub-carve of CG_LT; capped at 25% rate)</t>
        </is>
      </c>
      <c r="I33" s="12">
        <f>SUMIFS(tblMaster_Inputs[Helper_Amount], tblMaster_Inputs[Year], 2025, tblMaster_Inputs[Helper_Treatment], "SEC1250", tblMaster_Inputs[Activity_Type], "Baseline")</f>
        <v/>
      </c>
      <c r="J33" s="12">
        <f>I33</f>
        <v/>
      </c>
      <c r="K33" s="2" t="inlineStr">
        <is>
          <t>Calc_1250Tax</t>
        </is>
      </c>
    </row>
    <row r="36">
      <c r="H36" s="3" t="inlineStr">
        <is>
          <t>Description</t>
        </is>
      </c>
      <c r="I36" s="3" t="inlineStr">
        <is>
          <t>Formula / Value</t>
        </is>
      </c>
      <c r="J36" s="3" t="inlineStr">
        <is>
          <t>Effective</t>
        </is>
      </c>
      <c r="K36" s="3" t="inlineStr">
        <is>
          <t>Used by LAMBDA</t>
        </is>
      </c>
    </row>
    <row r="37">
      <c r="H37" t="inlineStr">
        <is>
          <t>Ordinary income (TaxableIncome - CG_LT - QUAL_DIV - SEC1250)</t>
        </is>
      </c>
      <c r="I37" s="12">
        <f>J18-I31-I30-I33</f>
        <v/>
      </c>
      <c r="J37" s="12">
        <f>O18-J31-J30-J33</f>
        <v/>
      </c>
      <c r="K37" s="2" t="inlineStr">
        <is>
          <t>Calc_CapGainsTax stacking base · Calc_OrdinaryTax (after carve-outs)</t>
        </is>
      </c>
    </row>
    <row r="38">
      <c r="H38" t="inlineStr">
        <is>
          <t>Modified AGI = AGI + tax-exempt interest</t>
        </is>
      </c>
      <c r="I38" s="12">
        <f>J15+I29</f>
        <v/>
      </c>
      <c r="J38" s="12">
        <f>O15+J29</f>
        <v/>
      </c>
      <c r="K38" s="2" t="inlineStr">
        <is>
          <t>Calc_NIIT · PassiveLossAllowed_FN</t>
        </is>
      </c>
    </row>
    <row r="39">
      <c r="H39" t="inlineStr">
        <is>
          <t>Net Investment Income = taxable int + div + cap gain + passive</t>
        </is>
      </c>
      <c r="I39" s="12">
        <f>J8+J10+J11+I28</f>
        <v/>
      </c>
      <c r="J39" s="12">
        <f>O8+O10+O11+J28</f>
        <v/>
      </c>
      <c r="K39" s="2" t="inlineStr">
        <is>
          <t>Calc_NIIT</t>
        </is>
      </c>
    </row>
    <row r="40">
      <c r="H40" t="inlineStr">
        <is>
          <t>QBI-eligible business income (active business)</t>
        </is>
      </c>
      <c r="I40" s="12">
        <f>I26+I27</f>
        <v/>
      </c>
      <c r="J40" s="12">
        <f>J26+J27</f>
        <v/>
      </c>
      <c r="K40" s="2" t="inlineStr">
        <is>
          <t>Calc_QBI_Simple · QBI_FN</t>
        </is>
      </c>
    </row>
    <row r="41">
      <c r="H41" t="inlineStr">
        <is>
          <t>Taxable Income BEFORE QBI deduction (= AGI - StdItemDed)</t>
        </is>
      </c>
      <c r="I41" s="12">
        <f>J15+J16</f>
        <v/>
      </c>
      <c r="J41" s="12">
        <f>O15+O16</f>
        <v/>
      </c>
      <c r="K41" s="2" t="inlineStr">
        <is>
          <t>Calc_QBI_Simple (cap reference)</t>
        </is>
      </c>
    </row>
    <row r="42">
      <c r="H42" t="inlineStr">
        <is>
          <t>Net business loss (only when negative; for EBL limit)</t>
        </is>
      </c>
      <c r="I42" s="12">
        <f>MIN(0,I26+I27+I28)</f>
        <v/>
      </c>
      <c r="J42" s="12">
        <f>MIN(0,J26+J27+J28)</f>
        <v/>
      </c>
      <c r="K42" s="2" t="inlineStr">
        <is>
          <t>ExcessBusinessLossLimit_FN</t>
        </is>
      </c>
    </row>
    <row r="43">
      <c r="H43" t="inlineStr">
        <is>
          <t>Net SE income (alias of BI_SE_SUBJECT for LAMBDA clarity)</t>
        </is>
      </c>
      <c r="I43" s="12">
        <f>I26</f>
        <v/>
      </c>
      <c r="J43" s="12">
        <f>J26</f>
        <v/>
      </c>
      <c r="K43" s="2" t="inlineStr">
        <is>
          <t>Calc_SE_Tax · AddlMedicareTax_FN · SETax_FN</t>
        </is>
      </c>
    </row>
    <row r="44">
      <c r="H44" t="inlineStr">
        <is>
          <t>Unadjusted Basis Immediately After Acquisition (QBI W-2/UBIA test)</t>
        </is>
      </c>
      <c r="I44" s="56" t="n">
        <v>0</v>
      </c>
      <c r="J44" s="56">
        <f>I44</f>
        <v/>
      </c>
      <c r="K44" s="2" t="inlineStr">
        <is>
          <t>QBI_FN</t>
        </is>
      </c>
    </row>
    <row r="45">
      <c r="H45" t="inlineStr">
        <is>
          <t>Is Specified Service Trade or Business? (TRUE/FALSE)</t>
        </is>
      </c>
      <c r="I45" s="70">
        <f>IF(Control_Panel!C21="Yes",TRUE,FALSE)</f>
        <v/>
      </c>
      <c r="J45" s="4">
        <f>I45</f>
        <v/>
      </c>
      <c r="K45" s="2" t="inlineStr">
        <is>
          <t>QBI_FN</t>
        </is>
      </c>
    </row>
    <row r="46">
      <c r="H46" t="inlineStr">
        <is>
          <t>NOL carryforward available (from prior-year Carryovers; populate manually for now)</t>
        </is>
      </c>
      <c r="I46" s="70">
        <f>Carryovers!F52</f>
        <v/>
      </c>
      <c r="J46" s="56">
        <f>I46</f>
        <v/>
      </c>
      <c r="K46" s="2" t="inlineStr">
        <is>
          <t>NOLDeductionAllowed_FN</t>
        </is>
      </c>
    </row>
    <row r="49">
      <c r="H49" s="9" t="inlineStr">
        <is>
          <t>1z</t>
        </is>
      </c>
      <c r="K49" s="8">
        <f>HYPERLINK("#Master_Inputs!A1", "✏ open Master_Inputs to edit")</f>
        <v/>
      </c>
    </row>
    <row r="51" ht="29" customHeight="1" s="19">
      <c r="H51" s="3" t="inlineStr">
        <is>
          <t>Bucket</t>
        </is>
      </c>
      <c r="I51" s="3" t="inlineStr">
        <is>
          <t>Treatment_Profile</t>
        </is>
      </c>
      <c r="J51" s="3" t="n"/>
      <c r="K51" s="3" t="inlineStr">
        <is>
          <t>Payor</t>
        </is>
      </c>
      <c r="L51" s="3" t="inlineStr">
        <is>
          <t>Baseline_Amount</t>
        </is>
      </c>
      <c r="M51" s="3" t="inlineStr">
        <is>
          <t>Helper_Amount</t>
        </is>
      </c>
      <c r="N51" s="3" t="inlineStr">
        <is>
          <t>Notes</t>
        </is>
      </c>
      <c r="O51" s="3" t="n"/>
    </row>
    <row r="65" ht="16" customHeight="1" s="19" thickBot="1">
      <c r="H65" s="101" t="inlineStr">
        <is>
          <t>▸ 7-COMPONENT TAX CALCULATOR</t>
        </is>
      </c>
      <c r="I65" s="49" t="inlineStr">
        <is>
          <t>Baseline</t>
        </is>
      </c>
      <c r="J65" s="49" t="inlineStr">
        <is>
          <t>Effective</t>
        </is>
      </c>
      <c r="K65" s="49" t="inlineStr">
        <is>
          <t>Δ Savings</t>
        </is>
      </c>
      <c r="L65" s="51" t="n"/>
      <c r="M65" s="51" t="n"/>
      <c r="N65" s="51" t="n"/>
      <c r="O65" s="99" t="n"/>
    </row>
    <row r="66">
      <c r="H66" t="inlineStr">
        <is>
          <t>Dual columns: Baseline (H) vs With Planning (I)</t>
        </is>
      </c>
    </row>
    <row r="68">
      <c r="H68" s="101" t="inlineStr">
        <is>
          <t>1. SELF-EMPLOYMENT TAX</t>
        </is>
      </c>
      <c r="I68" s="36" t="n"/>
      <c r="J68" s="36" t="n"/>
      <c r="K68" s="36" t="n"/>
    </row>
    <row r="69">
      <c r="H69" t="inlineStr">
        <is>
          <t>SE Tax Label</t>
        </is>
      </c>
      <c r="I69" s="12" t="n"/>
      <c r="J69" s="12" t="n"/>
      <c r="K69" s="12" t="n"/>
    </row>
    <row r="70">
      <c r="H70" t="inlineStr">
        <is>
          <t>Net SE Earnings</t>
        </is>
      </c>
      <c r="I70" s="12">
        <f>I43</f>
        <v/>
      </c>
      <c r="J70" s="12">
        <f>J43</f>
        <v/>
      </c>
      <c r="K70" s="12" t="n"/>
    </row>
    <row r="71">
      <c r="H71" t="inlineStr">
        <is>
          <t>SE Base (× 0.9235)</t>
        </is>
      </c>
      <c r="I71" s="20">
        <f>I70*SUMIFS(tblThresholds[Value], tblThresholds[Year], 2025, tblThresholds[FilingStatus], Filing_Status, tblThresholds[Item], "SE_Earnings_Factor")</f>
        <v/>
      </c>
      <c r="J71" s="20">
        <f>J70*SUMIFS(tblThresholds[Value], tblThresholds[Year], 2025, tblThresholds[FilingStatus], Filing_Status, tblThresholds[Item], "SE_Earnings_Factor")</f>
        <v/>
      </c>
      <c r="K71" s="20" t="n"/>
    </row>
    <row r="72">
      <c r="H72" t="inlineStr">
        <is>
          <t>W-2 Wages</t>
        </is>
      </c>
      <c r="I72" s="12">
        <f>I25</f>
        <v/>
      </c>
      <c r="J72" s="12">
        <f>J25</f>
        <v/>
      </c>
      <c r="K72" s="12" t="n"/>
    </row>
    <row r="73">
      <c r="H73" t="inlineStr">
        <is>
          <t>Remaining SS Wage Base</t>
        </is>
      </c>
      <c r="I73" s="12">
        <f>MAX(0,SUMIFS(tblThresholds[Value], tblThresholds[Year], 2025, tblThresholds[FilingStatus], Filing_Status, tblThresholds[Item], "SS_Wage_Base")-I72)</f>
        <v/>
      </c>
      <c r="J73" s="12">
        <f>MAX(0,SUMIFS(tblThresholds[Value], tblThresholds[Year], 2025, tblThresholds[FilingStatus], Filing_Status, tblThresholds[Item], "SS_Wage_Base")-J72)</f>
        <v/>
      </c>
      <c r="K73" s="12" t="n"/>
    </row>
    <row r="74">
      <c r="I74" s="39">
        <f>MIN(I71,I73)</f>
        <v/>
      </c>
      <c r="J74" s="39">
        <f>MIN(J71,J73)</f>
        <v/>
      </c>
      <c r="K74" s="39" t="n"/>
    </row>
    <row r="75">
      <c r="H75" t="inlineStr">
        <is>
          <t>Social Security Tax (12.4%)</t>
        </is>
      </c>
      <c r="I75" s="12">
        <f>I74*SUMIFS(tblThresholds[Value], tblThresholds[Year], 2025, tblThresholds[FilingStatus], Filing_Status, tblThresholds[Item], "SS_Rate_Combined")</f>
        <v/>
      </c>
      <c r="J75" s="12">
        <f>J74*SUMIFS(tblThresholds[Value], tblThresholds[Year], 2025, tblThresholds[FilingStatus], Filing_Status, tblThresholds[Item], "SS_Rate_Combined")</f>
        <v/>
      </c>
      <c r="K75" s="12" t="n"/>
    </row>
    <row r="76" ht="15.5" customHeight="1" s="19">
      <c r="H76" t="inlineStr">
        <is>
          <t>Medicare Tax (2.9%)</t>
        </is>
      </c>
      <c r="I76" s="52">
        <f>I71*SUMIFS(tblThresholds[Value], tblThresholds[Year], 2025, tblThresholds[FilingStatus], Filing_Status, tblThresholds[Item], "Medicare_Rate_Combined")</f>
        <v/>
      </c>
      <c r="J76" s="52">
        <f>J71*SUMIFS(tblThresholds[Value], tblThresholds[Year], 2025, tblThresholds[FilingStatus], Filing_Status, tblThresholds[Item], "Medicare_Rate_Combined")</f>
        <v/>
      </c>
      <c r="K76" s="52" t="n"/>
    </row>
    <row r="77">
      <c r="H77" t="inlineStr">
        <is>
          <t>Addl Medicare (0.9% &gt; threshold)</t>
        </is>
      </c>
      <c r="I77" s="12">
        <f>MAX(0,(I72+I71-SUMIFS(tblThresholds[Value],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J77" s="12">
        <f>MAX(0,(J72+J71-SUMIFS(tblThresholds[Value],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77" s="12" t="n"/>
    </row>
    <row r="78">
      <c r="I78" s="12">
        <f>-(I75+I76)/2</f>
        <v/>
      </c>
      <c r="J78" s="12">
        <f>-(J75+J76)/2</f>
        <v/>
      </c>
      <c r="K78" s="12" t="n"/>
    </row>
    <row r="79" ht="18.5" customHeight="1" s="19">
      <c r="I79" s="53" t="n"/>
      <c r="J79" s="12" t="n"/>
      <c r="K79" s="12" t="n"/>
    </row>
    <row r="80">
      <c r="H80" s="13" t="inlineStr">
        <is>
          <t>TOTAL SE TAX</t>
        </is>
      </c>
      <c r="I80" s="20">
        <f>I75+I76+I77</f>
        <v/>
      </c>
      <c r="J80" s="20">
        <f>J75+J76+J77</f>
        <v/>
      </c>
      <c r="K80" s="20">
        <f>I80-J80</f>
        <v/>
      </c>
    </row>
    <row r="81">
      <c r="I81" s="12" t="n"/>
      <c r="J81" s="12" t="n"/>
      <c r="K81" s="12" t="n"/>
    </row>
    <row r="82">
      <c r="H82" s="101" t="inlineStr">
        <is>
          <t>2. PAYROLL TAX</t>
        </is>
      </c>
      <c r="I82" s="12" t="n"/>
      <c r="J82" s="12" t="n"/>
      <c r="K82" s="12" t="n"/>
    </row>
    <row r="83">
      <c r="H83" t="inlineStr">
        <is>
          <t>W-2 Wages</t>
        </is>
      </c>
      <c r="I83" s="12">
        <f>I25</f>
        <v/>
      </c>
      <c r="J83" s="12">
        <f>J25</f>
        <v/>
      </c>
      <c r="K83" s="12" t="n"/>
    </row>
    <row r="84">
      <c r="H84" t="inlineStr">
        <is>
          <t>Social Security (6.2%)</t>
        </is>
      </c>
      <c r="I84" s="12">
        <f>MIN(I83,SUMIFS(tblThresholds[Value], tblThresholds[Year], 2025, tblThresholds[FilingStatus], Filing_Status, tblThresholds[Item], "SS_Wage_Base"))*0.062</f>
        <v/>
      </c>
      <c r="J84" s="12">
        <f>MIN(J83,SUMIFS(tblThresholds[Value], tblThresholds[Year], 2025, tblThresholds[FilingStatus], Filing_Status, tblThresholds[Item], "SS_Wage_Base"))*0.062</f>
        <v/>
      </c>
      <c r="K84" s="12" t="n"/>
    </row>
    <row r="85">
      <c r="H85" t="inlineStr">
        <is>
          <t>Medicare (1.45%)</t>
        </is>
      </c>
      <c r="I85" s="12">
        <f>I83*0.0145</f>
        <v/>
      </c>
      <c r="J85" s="12">
        <f>J83*0.0145</f>
        <v/>
      </c>
      <c r="K85" s="12" t="n"/>
    </row>
    <row r="86">
      <c r="H86" t="inlineStr">
        <is>
          <t>Addl Medicare (0.9% &gt; threshold)</t>
        </is>
      </c>
      <c r="I86" s="12">
        <f>MAX(0,(I83-SUMIFS(tblThresholds[Value],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J86" s="12">
        <f>MAX(0,(J83-SUMIFS(tblThresholds[Value],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86" s="12" t="n"/>
    </row>
    <row r="87">
      <c r="H87" s="13" t="inlineStr">
        <is>
          <t>TOTAL PAYROLL TAX</t>
        </is>
      </c>
      <c r="I87" s="20">
        <f>I84+I85+I86</f>
        <v/>
      </c>
      <c r="J87" s="20">
        <f>J84+J85+J86</f>
        <v/>
      </c>
      <c r="K87" s="20">
        <f>I87-J87</f>
        <v/>
      </c>
    </row>
    <row r="88">
      <c r="H88" s="13" t="inlineStr">
        <is>
          <t>Employer Social Security (6.2%)</t>
        </is>
      </c>
      <c r="I88" s="20">
        <f>I84</f>
        <v/>
      </c>
      <c r="J88" s="20">
        <f>J84</f>
        <v/>
      </c>
      <c r="K88" s="20">
        <f>I88-J88</f>
        <v/>
      </c>
    </row>
    <row r="89">
      <c r="H89" s="13" t="inlineStr">
        <is>
          <t>Employer Medicare (1.45%)</t>
        </is>
      </c>
      <c r="I89" s="20">
        <f>I85</f>
        <v/>
      </c>
      <c r="J89" s="20">
        <f>J85</f>
        <v/>
      </c>
      <c r="K89" s="20">
        <f>I89-J89</f>
        <v/>
      </c>
    </row>
    <row r="90">
      <c r="H90" s="13" t="n"/>
      <c r="I90" s="20" t="n"/>
      <c r="J90" s="20" t="n"/>
      <c r="K90" s="20" t="n"/>
    </row>
    <row r="91">
      <c r="H91" s="13" t="inlineStr">
        <is>
          <t>TOTAL PAYROLL TAX (Employee + Employer)</t>
        </is>
      </c>
      <c r="I91" s="20">
        <f>I87+I88+I89</f>
        <v/>
      </c>
      <c r="J91" s="20">
        <f>J87+J88+J89</f>
        <v/>
      </c>
      <c r="K91" s="20">
        <f>I91-J91</f>
        <v/>
      </c>
    </row>
    <row r="92">
      <c r="I92" s="12" t="n"/>
      <c r="J92" s="12" t="n"/>
      <c r="K92" s="12" t="n"/>
    </row>
    <row r="93">
      <c r="H93" s="101" t="inlineStr">
        <is>
          <t>3. ORDINARY INCOME TAX</t>
        </is>
      </c>
      <c r="I93" s="12" t="n"/>
      <c r="J93" s="12" t="n"/>
      <c r="K93" s="12" t="n"/>
    </row>
    <row r="94">
      <c r="H94" t="inlineStr">
        <is>
          <t>Taxable Income</t>
        </is>
      </c>
      <c r="I94" s="12">
        <f>I37</f>
        <v/>
      </c>
      <c r="J94" s="12">
        <f>J37</f>
        <v/>
      </c>
      <c r="K94" s="12" t="n"/>
    </row>
    <row r="95">
      <c r="H95" t="inlineStr">
        <is>
          <t>Ordinary Taxable (TI - LTCG - QD)</t>
        </is>
      </c>
      <c r="I95" s="12">
        <f>MAX(0,I94)</f>
        <v/>
      </c>
      <c r="J95" s="12">
        <f>MAX(0,J94)</f>
        <v/>
      </c>
      <c r="K95" s="12" t="n"/>
    </row>
    <row r="96">
      <c r="H96" t="inlineStr">
        <is>
          <t>Tax (SUMPRODUCT bracket lookup)</t>
        </is>
      </c>
      <c r="I96" s="12">
        <f t="array" ref="I96">SUMPRODUCT((tblBrackets_FIT[Year]=2025)*(tblBrackets_FIT[FilingStatus]=Filing_Status)*((I95&gt;tblBrackets_FIT[Upper])*(tblBrackets_FIT[Upper]-tblBrackets_FIT[Lower])+(I95&gt;tblBrackets_FIT[Lower])*(I95&lt;=tblBrackets_FIT[Upper])*(I95-tblBrackets_FIT[Lower]))*tblBrackets_FIT[Rate])</f>
        <v/>
      </c>
      <c r="J96" s="12">
        <f t="array" ref="J96">SUMPRODUCT((tblBrackets_FIT[Year]=2025)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2" t="n"/>
    </row>
    <row r="97">
      <c r="H97" s="13" t="inlineStr">
        <is>
          <t>TOTAL ORDINARY TAX</t>
        </is>
      </c>
      <c r="I97" s="20">
        <f>I96</f>
        <v/>
      </c>
      <c r="J97" s="20">
        <f>J96</f>
        <v/>
      </c>
      <c r="K97" s="20">
        <f>I97-J97</f>
        <v/>
      </c>
    </row>
    <row r="98">
      <c r="I98" s="12" t="n"/>
      <c r="J98" s="12" t="n"/>
      <c r="K98" s="12" t="n"/>
    </row>
    <row r="99">
      <c r="H99" s="101" t="inlineStr">
        <is>
          <t>4. CAPITAL GAINS / QUALIFIED DIVIDENDS TAX</t>
        </is>
      </c>
      <c r="I99" s="12" t="n"/>
      <c r="J99" s="12" t="n"/>
      <c r="K99" s="12" t="n"/>
    </row>
    <row r="100">
      <c r="H100" t="inlineStr">
        <is>
          <t>LTCG + Qualified Dividends</t>
        </is>
      </c>
      <c r="I100" s="12">
        <f>I31+I30</f>
        <v/>
      </c>
      <c r="J100" s="12">
        <f>J31+J30</f>
        <v/>
      </c>
      <c r="K100" s="12" t="n"/>
    </row>
    <row r="101">
      <c r="H101" t="inlineStr">
        <is>
          <t>Sec 1250 Recapture Gain</t>
        </is>
      </c>
      <c r="I101" s="12">
        <f>I33</f>
        <v/>
      </c>
      <c r="J101" s="12">
        <f>J33</f>
        <v/>
      </c>
      <c r="K101" s="12" t="n"/>
    </row>
    <row r="102">
      <c r="H102" t="inlineStr">
        <is>
          <t>Stacking Base (Ordinary TI for bracket floor)</t>
        </is>
      </c>
      <c r="I102" s="12">
        <f>I95</f>
        <v/>
      </c>
      <c r="J102" s="12">
        <f>J95</f>
        <v/>
      </c>
      <c r="K102" s="12" t="n"/>
    </row>
    <row r="103">
      <c r="H103" t="inlineStr">
        <is>
          <t>Full CG Rate Tax (SUMPRODUCT stack)</t>
        </is>
      </c>
      <c r="I103" s="12">
        <f t="array" ref="I103">SUMPRODUCT((Tax_Ref!$B$210:$B$281=2025)*(Tax_Ref!$C$210:$C$281=Filing_Status)*((I102+I100&gt;Tax_Ref!$E$210:$E$281)*(Tax_Ref!$E$210:$E$281-Tax_Ref!$D$210:$D$281)+(I102+I100&gt;Tax_Ref!$D$210:$D$281)*(I102+I100&lt;=Tax_Ref!$E$210:$E$281)*(I102+I100-Tax_Ref!$D$210:$D$281))*Tax_Ref!$F$210:$F$281)</f>
        <v/>
      </c>
      <c r="J103" s="12">
        <f t="array" ref="J103">SUMPRODUCT((Tax_Ref!$B$210:$B$281=2025)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2" t="n"/>
    </row>
    <row r="104">
      <c r="H104" t="inlineStr">
        <is>
          <t>CG Rate Tax on Ordinary only</t>
        </is>
      </c>
      <c r="I104" s="12">
        <f t="array" ref="I104">SUMPRODUCT((Tax_Ref!$B$210:$B$281=2025)*(Tax_Ref!$C$210:$C$281=Filing_Status)*((I102&gt;Tax_Ref!$E$210:$E$281)*(Tax_Ref!$E$210:$E$281-Tax_Ref!$D$210:$D$281)+(I102&gt;Tax_Ref!$D$210:$D$281)*(I102&lt;=Tax_Ref!$E$210:$E$281)*(I102-Tax_Ref!$D$210:$D$281))*Tax_Ref!$F$210:$F$281)</f>
        <v/>
      </c>
      <c r="J104" s="12">
        <f t="array" ref="J104">SUMPRODUCT((Tax_Ref!$B$210:$B$281=2025)*(Tax_Ref!$C$210:$C$281=Filing_Status)*((J102&gt;Tax_Ref!$E$210:$E$281)*(Tax_Ref!$E$210:$E$281-Tax_Ref!$D$210:$D$281)+(J102&gt;Tax_Ref!$D$210:$D$281)*(J102&lt;=Tax_Ref!$E$210:$E$281)*(J102-Tax_Ref!$D$210:$D$281))*Tax_Ref!$F$210:$F$281)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2" t="n"/>
    </row>
    <row r="105">
      <c r="H105" t="inlineStr">
        <is>
          <t>Net LTCG/QD Tax</t>
        </is>
      </c>
      <c r="I105" s="12">
        <f>I103-I104</f>
        <v/>
      </c>
      <c r="J105" s="12">
        <f>J103-J104</f>
        <v/>
      </c>
      <c r="K105" s="12" t="n"/>
    </row>
    <row r="106">
      <c r="I106" s="12">
        <f>I33*0.25</f>
        <v/>
      </c>
      <c r="J106" s="12">
        <f>J33*0.25</f>
        <v/>
      </c>
      <c r="K106" s="12" t="n"/>
    </row>
    <row r="107">
      <c r="H107" s="13" t="inlineStr">
        <is>
          <t>TOTAL CAP GAINS TAX</t>
        </is>
      </c>
      <c r="I107" s="20">
        <f>I105+I106</f>
        <v/>
      </c>
      <c r="J107" s="20">
        <f>J105+J106</f>
        <v/>
      </c>
      <c r="K107" s="20">
        <f>I107-J107</f>
        <v/>
      </c>
    </row>
    <row r="108">
      <c r="I108" s="12" t="n"/>
      <c r="J108" s="12" t="n"/>
      <c r="K108" s="12" t="n"/>
    </row>
    <row r="109">
      <c r="H109" s="101" t="inlineStr">
        <is>
          <t>5. NET INVESTMENT INCOME TAX (NIIT)</t>
        </is>
      </c>
      <c r="I109" s="12" t="n"/>
      <c r="J109" s="12" t="n"/>
      <c r="K109" s="12" t="n"/>
    </row>
    <row r="110">
      <c r="H110" t="inlineStr">
        <is>
          <t>MAGI</t>
        </is>
      </c>
      <c r="I110" s="12">
        <f>I38</f>
        <v/>
      </c>
      <c r="J110" s="12">
        <f>J38</f>
        <v/>
      </c>
      <c r="K110" s="12" t="n"/>
    </row>
    <row r="111">
      <c r="H111" t="inlineStr">
        <is>
          <t>NIIT Threshold</t>
        </is>
      </c>
      <c r="I111" s="12">
        <f>SUMIFS(tblThresholds[Value], tblThresholds[Year], 2025, tblThresholds[FilingStatus], Filing_Status, tblThresholds[Item], "NIIT_Threshold")</f>
        <v/>
      </c>
      <c r="J111" s="12">
        <f>SUMIFS(tblThresholds[Value], tblThresholds[Year], 2025, tblThresholds[FilingStatus], Filing_Status, tblThresholds[Item], "NIIT_Threshold")</f>
        <v/>
      </c>
      <c r="K111" s="12" t="n"/>
    </row>
    <row r="112">
      <c r="H112" t="inlineStr">
        <is>
          <t>Net Investment Income (NII)</t>
        </is>
      </c>
      <c r="I112" s="12">
        <f>MAX(0,I39)</f>
        <v/>
      </c>
      <c r="J112" s="12">
        <f>MAX(0,J39)</f>
        <v/>
      </c>
      <c r="K112" s="12" t="n"/>
    </row>
    <row r="113">
      <c r="H113" t="inlineStr">
        <is>
          <t>NIIT Base (lesser of NII or MAGI excess)</t>
        </is>
      </c>
      <c r="I113" s="12">
        <f>MAX(0,I110-I111)</f>
        <v/>
      </c>
      <c r="J113" s="12">
        <f>MAX(0,J110-J111)</f>
        <v/>
      </c>
      <c r="K113" s="12" t="n"/>
    </row>
    <row r="114">
      <c r="H114" s="13" t="inlineStr">
        <is>
          <t>NIIT (3.8%)</t>
        </is>
      </c>
      <c r="I114" s="20">
        <f>MIN(I112,I113)*SUMIFS(tblThresholds[Value], tblThresholds[Year], 2025, tblThresholds[FilingStatus], Filing_Status, tblThresholds[Item], "NIIT_Rate")</f>
        <v/>
      </c>
      <c r="J114" s="20">
        <f>MIN(J112,J113)*SUMIFS(tblThresholds[Value], tblThresholds[Year], 2025, tblThresholds[FilingStatus], Filing_Status, tblThresholds[Item], "NIIT_Rate")</f>
        <v/>
      </c>
      <c r="K114" s="20">
        <f>I114-J114</f>
        <v/>
      </c>
    </row>
    <row r="115">
      <c r="I115" s="12" t="n"/>
      <c r="J115" s="12" t="n"/>
      <c r="K115" s="12" t="n"/>
    </row>
    <row r="116">
      <c r="H116" s="101" t="inlineStr">
        <is>
          <t>6. QBI DEDUCTION (§199A)</t>
        </is>
      </c>
      <c r="I116" s="12" t="n"/>
      <c r="J116" s="12" t="n"/>
      <c r="K116" s="12" t="n"/>
    </row>
    <row r="117">
      <c r="H117" t="inlineStr">
        <is>
          <t>QBI-Eligible Income</t>
        </is>
      </c>
      <c r="I117" s="12">
        <f>I40</f>
        <v/>
      </c>
      <c r="J117" s="12">
        <f>J40</f>
        <v/>
      </c>
      <c r="K117" s="12" t="n"/>
    </row>
    <row r="118">
      <c r="H118" t="inlineStr">
        <is>
          <t>20% of QBI</t>
        </is>
      </c>
      <c r="I118" s="12">
        <f>MAX(0,I117)*0.2</f>
        <v/>
      </c>
      <c r="J118" s="12">
        <f>MAX(0,J117)*0.2</f>
        <v/>
      </c>
      <c r="K118" s="12" t="n"/>
    </row>
    <row r="119">
      <c r="H119" t="inlineStr">
        <is>
          <t>50% of W-2 Wages</t>
        </is>
      </c>
      <c r="I119" s="12">
        <f>MAX(0,I41)*0.2</f>
        <v/>
      </c>
      <c r="J119" s="12">
        <f>MAX(0,J41)*0.2</f>
        <v/>
      </c>
      <c r="K119" s="12" t="n"/>
    </row>
    <row r="120">
      <c r="H120" t="inlineStr">
        <is>
          <t>25% W-2 + 2.5% UBIA</t>
        </is>
      </c>
      <c r="I120" s="12">
        <f>MAX(I23*0.5, I23*0.25+I44*0.025)</f>
        <v/>
      </c>
      <c r="J120" s="12">
        <f>MAX(J23*0.5, J23*0.25+J44*0.025)</f>
        <v/>
      </c>
      <c r="K120" s="12" t="n"/>
    </row>
    <row r="121">
      <c r="H121" t="inlineStr">
        <is>
          <t>Phase-in applies?</t>
        </is>
      </c>
      <c r="I121" s="12">
        <f>IF(I41&gt;SUMIFS(tblThresholds[Value], tblThresholds[Year], 2025, tblThresholds[FilingStatus], Filing_Status, tblThresholds[Item], "QBI_Threshold_Start"),"YES","NO")</f>
        <v/>
      </c>
      <c r="J121" s="12">
        <f>IF(J41&gt;SUMIFS(tblThresholds[Value], tblThresholds[Year], 2025, tblThresholds[FilingStatus], Filing_Status, tblThresholds[Item], "QBI_Threshold_Start"),"YES","NO")</f>
        <v/>
      </c>
      <c r="K121" s="12" t="n"/>
    </row>
    <row r="122">
      <c r="H122" s="13" t="inlineStr">
        <is>
          <t>QBI DEDUCTION</t>
        </is>
      </c>
      <c r="I122" s="20">
        <f>IF(AND(I45=TRUE,I41&gt;SUMIFS(tblThresholds[Value], tblThresholds[Year], 2025, tblThresholds[FilingStatus], Filing_Status, tblThresholds[Item], "QBI_Threshold_End")),0,IF(I41&lt;=SUMIFS(tblThresholds[Value], tblThresholds[Year], 2025, tblThresholds[FilingStatus], Filing_Status, tblThresholds[Item], "QBI_Threshold_Start"),MIN(I118,I119),MIN(I118,I119,I120)))</f>
        <v/>
      </c>
      <c r="J122" s="20">
        <f>IF(AND(J45=TRUE,J41&gt;SUMIFS(tblThresholds[Value], tblThresholds[Year], 2025, tblThresholds[FilingStatus], Filing_Status, tblThresholds[Item], "QBI_Threshold_End")),0,IF(J41&lt;=SUMIFS(tblThresholds[Value], tblThresholds[Year], 2025, tblThresholds[FilingStatus], Filing_Status, tblThresholds[Item], "QBI_Threshold_Start"),MIN(J118,J119),MIN(J118,J119,J120)))</f>
        <v/>
      </c>
      <c r="K122" s="20">
        <f>J122-I122</f>
        <v/>
      </c>
    </row>
    <row r="123">
      <c r="I123" s="12" t="n"/>
      <c r="J123" s="12" t="n"/>
      <c r="K123" s="12" t="n"/>
    </row>
    <row r="124">
      <c r="H124" s="101" t="inlineStr">
        <is>
          <t>7. COMBINED TAX SUMMARY</t>
        </is>
      </c>
      <c r="I124" s="12" t="n"/>
      <c r="J124" s="12" t="n"/>
      <c r="K124" s="12" t="n"/>
    </row>
    <row r="125">
      <c r="H125" t="inlineStr">
        <is>
          <t>Total Income</t>
        </is>
      </c>
      <c r="I125" s="12">
        <f>J6+J8+J10+J11+J12</f>
        <v/>
      </c>
      <c r="J125" s="12">
        <f>O13</f>
        <v/>
      </c>
      <c r="K125" s="12" t="inlineStr">
        <is>
          <t>Δ Savings</t>
        </is>
      </c>
    </row>
    <row r="126">
      <c r="H126" t="inlineStr">
        <is>
          <t>Ordinary Tax</t>
        </is>
      </c>
      <c r="I126" s="12">
        <f>I97</f>
        <v/>
      </c>
      <c r="J126" s="12">
        <f>J97</f>
        <v/>
      </c>
      <c r="K126" s="12">
        <f>I126-J126</f>
        <v/>
      </c>
    </row>
    <row r="127">
      <c r="H127" t="inlineStr">
        <is>
          <t>Capital Gains Tax</t>
        </is>
      </c>
      <c r="I127" s="12">
        <f>I107</f>
        <v/>
      </c>
      <c r="J127" s="12">
        <f>J107</f>
        <v/>
      </c>
      <c r="K127" s="12">
        <f>I127-J127</f>
        <v/>
      </c>
    </row>
    <row r="128">
      <c r="H128" t="inlineStr">
        <is>
          <t>Self-Employment Tax</t>
        </is>
      </c>
      <c r="I128" s="12">
        <f>I80</f>
        <v/>
      </c>
      <c r="J128" s="12">
        <f>J80</f>
        <v/>
      </c>
      <c r="K128" s="12">
        <f>I128-J128</f>
        <v/>
      </c>
    </row>
    <row r="129">
      <c r="H129" t="inlineStr">
        <is>
          <t>Payroll Tax (Employee + Employer)</t>
        </is>
      </c>
      <c r="I129" s="12">
        <f>I91</f>
        <v/>
      </c>
      <c r="J129" s="12">
        <f>J91</f>
        <v/>
      </c>
      <c r="K129" s="12">
        <f>I129-J129</f>
        <v/>
      </c>
    </row>
    <row r="130">
      <c r="H130" t="inlineStr">
        <is>
          <t>NIIT</t>
        </is>
      </c>
      <c r="I130" s="12">
        <f>I114</f>
        <v/>
      </c>
      <c r="J130" s="12">
        <f>J114</f>
        <v/>
      </c>
      <c r="K130" s="12">
        <f>I130-J130</f>
        <v/>
      </c>
    </row>
    <row r="131">
      <c r="H131" t="inlineStr">
        <is>
          <t>Less: QBI Tax Benefit</t>
        </is>
      </c>
      <c r="I131" s="12">
        <f>-I122*0.24</f>
        <v/>
      </c>
      <c r="J131" s="12">
        <f>-J122*0.24</f>
        <v/>
      </c>
      <c r="K131" s="12">
        <f>I131-J131</f>
        <v/>
      </c>
    </row>
    <row r="132">
      <c r="I132" s="12" t="n"/>
      <c r="J132" s="12" t="n"/>
      <c r="K132" s="12" t="n"/>
    </row>
    <row r="133">
      <c r="H133" s="13" t="inlineStr">
        <is>
          <t>TOTAL COMBINED TAX</t>
        </is>
      </c>
      <c r="I133" s="20">
        <f>SUM(I126:I131)</f>
        <v/>
      </c>
      <c r="J133" s="20">
        <f>SUM(J126:J131)</f>
        <v/>
      </c>
      <c r="K133" s="20">
        <f>I133-J133</f>
        <v/>
      </c>
    </row>
    <row r="134">
      <c r="H134" t="inlineStr">
        <is>
          <t>Effective Rate (vs Total Income)</t>
        </is>
      </c>
      <c r="I134" s="24">
        <f>IFERROR(I133/I125,0)</f>
        <v/>
      </c>
      <c r="J134" s="24">
        <f>IFERROR(J133/J125,0)</f>
        <v/>
      </c>
      <c r="K134" s="24">
        <f>I134-J134</f>
        <v/>
      </c>
    </row>
    <row r="135">
      <c r="I135" s="12" t="n"/>
      <c r="J135" s="12" t="n"/>
      <c r="K135" s="12" t="n"/>
    </row>
    <row r="136">
      <c r="H136" s="13" t="inlineStr">
        <is>
          <t>TOTAL TAX SAVINGS FROM PLANNING:</t>
        </is>
      </c>
      <c r="I136" s="20">
        <f>K133</f>
        <v/>
      </c>
      <c r="J136" s="20" t="n"/>
      <c r="K136" s="20" t="n"/>
    </row>
  </sheetData>
  <dataValidations count="4">
    <dataValidation sqref="C11:C204" showDropDown="0" showInputMessage="0" showErrorMessage="0" allowBlank="1" type="list">
      <formula1>TaxLines</formula1>
    </dataValidation>
    <dataValidation sqref="E11:E204" showDropDown="0" showInputMessage="0" showErrorMessage="0" allowBlank="1" type="list">
      <formula1>Status</formula1>
    </dataValidation>
    <dataValidation sqref="H49" showDropDown="0" showInputMessage="0" showErrorMessage="0" allowBlank="0" type="list">
      <formula1>"1z,2a,2b,3a,3b,7,8,9,10,11,12,13,15"</formula1>
    </dataValidation>
    <dataValidation sqref="K6:K18" showDropDown="0" showInputMessage="1" showErrorMessage="1" allowBlank="1" promptTitle="Prior Year?" prompt="Select Y to use prior year baseline, or leave blank" type="list">
      <formula1>"Y"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P136"/>
  <sheetViews>
    <sheetView topLeftCell="B29" workbookViewId="0">
      <selection activeCell="L53" sqref="L53"/>
    </sheetView>
  </sheetViews>
  <sheetFormatPr baseColWidth="8" defaultRowHeight="14.5"/>
  <cols>
    <col width="12" customWidth="1" style="19" min="1" max="1"/>
    <col width="36" customWidth="1" style="19" min="2" max="2"/>
    <col width="12" customWidth="1" style="19" min="3" max="3"/>
    <col width="14" customWidth="1" style="19" min="4" max="5"/>
    <col width="32" customWidth="1" style="19" min="6" max="6"/>
    <col width="3" customWidth="1" style="19" min="7" max="7"/>
    <col width="36" customWidth="1" style="19" min="8" max="8"/>
    <col width="16" customWidth="1" style="19" min="9" max="9"/>
    <col width="6.36328125" customWidth="1" style="19" min="10" max="10"/>
    <col width="16" customWidth="1" style="19" min="11" max="11"/>
    <col width="14" customWidth="1" style="19" min="12" max="12"/>
    <col width="16" customWidth="1" style="19" min="13" max="13"/>
    <col width="9" customWidth="1" style="19" min="14" max="15"/>
  </cols>
  <sheetData>
    <row r="1" ht="18.5" customHeight="1" s="19">
      <c r="A1" s="17" t="inlineStr">
        <is>
          <t>Y2026 — standalone tax planning sandbox</t>
        </is>
      </c>
    </row>
    <row r="2" ht="14.5" customHeight="1" s="19">
      <c r="A2" s="90" t="inlineStr">
        <is>
          <t>Strategies: enter Amount + Status below. Committed strategies flow to rollup M column. Push to Master_Inputs when final.</t>
        </is>
      </c>
    </row>
    <row r="3" ht="14.5" customHeight="1" s="19"/>
    <row r="4" ht="14.5" customHeight="1" s="19">
      <c r="A4" s="101" t="inlineStr">
        <is>
          <t>▸ STRATEGIES</t>
        </is>
      </c>
    </row>
    <row r="5" ht="14.5" customHeight="1" s="1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s="3" t="inlineStr">
        <is>
          <t>Line</t>
        </is>
      </c>
      <c r="I5" s="3" t="inlineStr">
        <is>
          <t>Description</t>
        </is>
      </c>
      <c r="J5" s="3" t="inlineStr">
        <is>
          <t>Baseline (Master)</t>
        </is>
      </c>
      <c r="K5" s="54" t="inlineStr">
        <is>
          <t>PY?</t>
        </is>
      </c>
      <c r="L5" s="3" t="inlineStr">
        <is>
          <t>S1 Override</t>
        </is>
      </c>
      <c r="M5" s="3" t="inlineStr">
        <is>
          <t>Strategies</t>
        </is>
      </c>
      <c r="N5" s="3" t="inlineStr">
        <is>
          <t>Effective</t>
        </is>
      </c>
      <c r="O5" s="100" t="inlineStr">
        <is>
          <t>Eff w/ Strategies</t>
        </is>
      </c>
      <c r="P5" s="3" t="inlineStr">
        <is>
          <t>Drill</t>
        </is>
      </c>
    </row>
    <row r="6" ht="14.5" customHeight="1" s="19">
      <c r="A6" s="66" t="inlineStr">
        <is>
          <t>STR-001</t>
        </is>
      </c>
      <c r="B6" s="66" t="inlineStr">
        <is>
          <t>S-Corp Wage Optimization</t>
        </is>
      </c>
      <c r="C6" s="66" t="inlineStr">
        <is>
          <t>1z</t>
        </is>
      </c>
      <c r="D6" s="94" t="n"/>
      <c r="E6" s="66" t="n"/>
      <c r="F6" s="66" t="n"/>
      <c r="G6" s="66" t="n"/>
      <c r="H6" t="inlineStr">
        <is>
          <t>1z</t>
        </is>
      </c>
      <c r="I6" t="inlineStr">
        <is>
          <t>Wages</t>
        </is>
      </c>
      <c r="J6" s="12">
        <f>SUMIFS(tblMaster_Inputs[Baseline_Amount],tblMaster_Inputs[Year],2026,tblMaster_Inputs[Primary_Line],$H6, tblMaster_Inputs[Activity_Type], "Baseline")</f>
        <v/>
      </c>
      <c r="K6" s="55" t="n"/>
      <c r="L6" s="4" t="n"/>
      <c r="M6" s="12">
        <f>SUMIFS(tblY2026_Strategies[Amount],tblY2026_Strategies[TargetLine],$H6)-SUMIFS(tblY2026_Strategies[Amount],tblY2026_Strategies[CounterLine],$H6)</f>
        <v/>
      </c>
      <c r="N6" s="12">
        <f>IF(UPPER(K6)="Y",SUMIFS(tblMaster_Inputs[Baseline_Amount],tblMaster_Inputs[Year],2025,tblMaster_Inputs[Primary_Line],"1z"),IF(ISBLANK(L6),J6,L6))</f>
        <v/>
      </c>
      <c r="O6" s="12">
        <f>N6+M6</f>
        <v/>
      </c>
      <c r="P6" s="8">
        <f>HYPERLINK("#Y2026!I49","↗ drill")</f>
        <v/>
      </c>
    </row>
    <row r="7" ht="14.5" customHeight="1" s="19">
      <c r="A7" s="66" t="inlineStr">
        <is>
          <t>STR-002</t>
        </is>
      </c>
      <c r="B7" s="66" t="inlineStr">
        <is>
          <t>HSA Family Max</t>
        </is>
      </c>
      <c r="C7" s="66" t="n">
        <v>10</v>
      </c>
      <c r="D7" s="94" t="n"/>
      <c r="E7" s="66" t="n"/>
      <c r="F7" s="66" t="n"/>
      <c r="G7" s="66" t="n"/>
      <c r="H7" t="inlineStr">
        <is>
          <t>2a</t>
        </is>
      </c>
      <c r="I7" t="inlineStr">
        <is>
          <t>Tax-exempt interest</t>
        </is>
      </c>
      <c r="J7" s="12">
        <f>SUMIFS(tblMaster_Inputs[Helper_Amount],tblMaster_Inputs[Year],2026,tblMaster_Inputs[Helper_Treatment],"TAX_EXEMPT")</f>
        <v/>
      </c>
      <c r="K7" s="55" t="n"/>
      <c r="L7" s="4" t="n"/>
      <c r="M7">
        <f>SUMIFS(tblY2026_Strategies[Amount],tblY2026_Strategies[TargetLine],"2a",tblY2026_Strategies[Status],"Committed")</f>
        <v/>
      </c>
      <c r="N7" s="12">
        <f>IF(UPPER(K7)="Y",SUMIFS(tblMaster_Inputs[Helper_Amount],tblMaster_Inputs[Year],2025,tblMaster_Inputs[Helper_Treatment],"TAX_EXEMPT"),IF(ISBLANK(L7),J7,L7))</f>
        <v/>
      </c>
      <c r="O7" s="12">
        <f>N7</f>
        <v/>
      </c>
      <c r="P7" s="8">
        <f>HYPERLINK("#Y2026!I49","↗ drill")</f>
        <v/>
      </c>
    </row>
    <row r="8" ht="14.5" customHeight="1" s="19">
      <c r="A8" s="66" t="inlineStr">
        <is>
          <t>STR-003</t>
        </is>
      </c>
      <c r="B8" s="66" t="inlineStr">
        <is>
          <t>Charitable Bunching (DAF)</t>
        </is>
      </c>
      <c r="C8" s="66" t="n">
        <v>12</v>
      </c>
      <c r="D8" s="94" t="n"/>
      <c r="E8" s="66" t="n"/>
      <c r="F8" s="66" t="n"/>
      <c r="G8" s="66" t="n"/>
      <c r="H8" t="inlineStr">
        <is>
          <t>2b</t>
        </is>
      </c>
      <c r="I8" t="inlineStr">
        <is>
          <t>Taxable interest</t>
        </is>
      </c>
      <c r="J8" s="12">
        <f>SUMIFS(tblMaster_Inputs[Baseline_Amount],tblMaster_Inputs[Year],2026,tblMaster_Inputs[Primary_Line],$H8, tblMaster_Inputs[Activity_Type], "Baseline")</f>
        <v/>
      </c>
      <c r="K8" s="55" t="n"/>
      <c r="L8" s="4" t="n"/>
      <c r="M8" s="12">
        <f>SUMIFS(tblY2026_Strategies[Amount],tblY2026_Strategies[TargetLine],$H8)-SUMIFS(tblY2026_Strategies[Amount],tblY2026_Strategies[CounterLine],$H8)</f>
        <v/>
      </c>
      <c r="N8" s="12">
        <f>IF(UPPER(K8)="Y",SUMIFS(tblMaster_Inputs[Baseline_Amount],tblMaster_Inputs[Year],2025,tblMaster_Inputs[Primary_Line],"2b"),IF(ISBLANK(L8),J8,L8))</f>
        <v/>
      </c>
      <c r="O8" s="12">
        <f>N8+M8</f>
        <v/>
      </c>
      <c r="P8" s="8">
        <f>HYPERLINK("#Y2026!I49","↗ drill")</f>
        <v/>
      </c>
    </row>
    <row r="9" ht="14.5" customHeight="1" s="19">
      <c r="A9" s="66" t="inlineStr">
        <is>
          <t>STR-004</t>
        </is>
      </c>
      <c r="B9" s="66" t="inlineStr">
        <is>
          <t>SEP-IRA / Solo 401(k)</t>
        </is>
      </c>
      <c r="C9" s="66" t="n">
        <v>10</v>
      </c>
      <c r="D9" s="94" t="n"/>
      <c r="E9" s="66" t="n"/>
      <c r="F9" s="66" t="n"/>
      <c r="G9" s="66" t="n"/>
      <c r="H9" t="inlineStr">
        <is>
          <t>3a</t>
        </is>
      </c>
      <c r="I9" t="inlineStr">
        <is>
          <t>Qualified dividends</t>
        </is>
      </c>
      <c r="J9" s="12">
        <f>SUMIFS(tblMaster_Inputs[Helper_Amount],tblMaster_Inputs[Year],2026,tblMaster_Inputs[Helper_Treatment],"QUAL_DIV")</f>
        <v/>
      </c>
      <c r="K9" s="55" t="n"/>
      <c r="L9" s="4" t="n"/>
      <c r="M9">
        <f>SUMIFS(tblY2026_Strategies[Amount],tblY2026_Strategies[TargetLine],"3a",tblY2026_Strategies[Status],"Committed")</f>
        <v/>
      </c>
      <c r="N9" s="12">
        <f>IF(UPPER(K9)="Y",SUMIFS(tblMaster_Inputs[Helper_Amount],tblMaster_Inputs[Year],2025,tblMaster_Inputs[Helper_Treatment],"QUAL_DIV"),IF(ISBLANK(L9),J9,L9))</f>
        <v/>
      </c>
      <c r="O9" s="12">
        <f>N9</f>
        <v/>
      </c>
      <c r="P9" s="8">
        <f>HYPERLINK("#Y2026!I49","↗ drill")</f>
        <v/>
      </c>
    </row>
    <row r="10" ht="14.5" customHeight="1" s="19">
      <c r="A10" s="66" t="inlineStr">
        <is>
          <t>STR-005</t>
        </is>
      </c>
      <c r="B10" s="66" t="inlineStr">
        <is>
          <t>Cost Seg Study</t>
        </is>
      </c>
      <c r="C10" s="66" t="n">
        <v>8</v>
      </c>
      <c r="D10" s="94" t="n"/>
      <c r="E10" s="66" t="n"/>
      <c r="F10" s="66" t="n"/>
      <c r="G10" s="66" t="n"/>
      <c r="H10" t="inlineStr">
        <is>
          <t>3b</t>
        </is>
      </c>
      <c r="I10" t="inlineStr">
        <is>
          <t>Ordinary dividends</t>
        </is>
      </c>
      <c r="J10" s="12">
        <f>SUMIFS(tblMaster_Inputs[Baseline_Amount],tblMaster_Inputs[Year],2026,tblMaster_Inputs[Primary_Line],$H10, tblMaster_Inputs[Activity_Type], "Baseline")</f>
        <v/>
      </c>
      <c r="K10" s="55" t="n"/>
      <c r="L10" s="4" t="n"/>
      <c r="M10" s="12">
        <f>SUMIFS(tblY2026_Strategies[Amount],tblY2026_Strategies[TargetLine],$H10)-SUMIFS(tblY2026_Strategies[Amount],tblY2026_Strategies[CounterLine],$H10)</f>
        <v/>
      </c>
      <c r="N10" s="12">
        <f>IF(UPPER(K10)="Y",SUMIFS(tblMaster_Inputs[Baseline_Amount],tblMaster_Inputs[Year],2025,tblMaster_Inputs[Primary_Line],"3b"),IF(ISBLANK(L10),J10,L10))</f>
        <v/>
      </c>
      <c r="O10" s="12">
        <f>N10+M10</f>
        <v/>
      </c>
      <c r="P10" s="8">
        <f>HYPERLINK("#Y2026!I49","↗ drill")</f>
        <v/>
      </c>
    </row>
    <row r="11" ht="14.5" customHeight="1" s="19">
      <c r="A11" s="66" t="inlineStr">
        <is>
          <t>STR-006</t>
        </is>
      </c>
      <c r="B11" s="66" t="inlineStr">
        <is>
          <t>Roth Conversion</t>
        </is>
      </c>
      <c r="C11" s="66" t="inlineStr">
        <is>
          <t>1z</t>
        </is>
      </c>
      <c r="D11" s="94" t="n"/>
      <c r="E11" s="66" t="n"/>
      <c r="F11" s="66" t="n"/>
      <c r="G11" s="66" t="n"/>
      <c r="H11" t="n">
        <v>7</v>
      </c>
      <c r="I11" t="inlineStr">
        <is>
          <t>Capital gain/(loss)</t>
        </is>
      </c>
      <c r="J11" s="12">
        <f>SUMIFS(tblMaster_Inputs[Baseline_Amount],tblMaster_Inputs[Year],2026,tblMaster_Inputs[Primary_Line],$H11, tblMaster_Inputs[Activity_Type], "Baseline")</f>
        <v/>
      </c>
      <c r="K11" s="55" t="n"/>
      <c r="L11" s="4" t="n"/>
      <c r="M11" s="12">
        <f>SUMIFS(tblY2026_Strategies[Amount],tblY2026_Strategies[TargetLine],$H11)-SUMIFS(tblY2026_Strategies[Amount],tblY2026_Strategies[CounterLine],$H11)</f>
        <v/>
      </c>
      <c r="N11" s="12">
        <f>IF(UPPER(K11)="Y",SUMIFS(tblMaster_Inputs[Baseline_Amount],tblMaster_Inputs[Year],2025,tblMaster_Inputs[Primary_Line],"7"),IF(ISBLANK(L11),J11,L11))</f>
        <v/>
      </c>
      <c r="O11" s="12">
        <f>N11+M11</f>
        <v/>
      </c>
      <c r="P11" s="8">
        <f>HYPERLINK("#Y2026!I49","↗ drill")</f>
        <v/>
      </c>
    </row>
    <row r="12" ht="14.5" customHeight="1" s="19">
      <c r="A12" s="66" t="inlineStr">
        <is>
          <t>STR-007</t>
        </is>
      </c>
      <c r="B12" s="66" t="inlineStr">
        <is>
          <t>Augusta Rule (§280A)</t>
        </is>
      </c>
      <c r="C12" s="66" t="n">
        <v>8</v>
      </c>
      <c r="D12" s="94" t="n"/>
      <c r="E12" s="66" t="n"/>
      <c r="F12" s="66" t="n"/>
      <c r="G12" s="66" t="n"/>
      <c r="H12" t="n">
        <v>8</v>
      </c>
      <c r="I12" t="inlineStr">
        <is>
          <t>Other income (business)</t>
        </is>
      </c>
      <c r="J12" s="12">
        <f>SUMIFS(tblMaster_Inputs[Baseline_Amount],tblMaster_Inputs[Year],2026,tblMaster_Inputs[Primary_Line],$H12, tblMaster_Inputs[Activity_Type], "Baseline")</f>
        <v/>
      </c>
      <c r="K12" s="55" t="n"/>
      <c r="L12" s="4" t="n"/>
      <c r="M12" s="12">
        <f>SUMIFS(tblY2026_Strategies[Amount],tblY2026_Strategies[TargetLine],$H12)-SUMIFS(tblY2026_Strategies[Amount],tblY2026_Strategies[CounterLine],$H12)</f>
        <v/>
      </c>
      <c r="N12" s="12">
        <f>IF(UPPER(K12)="Y",SUMIFS(tblMaster_Inputs[Baseline_Amount],tblMaster_Inputs[Year],2025,tblMaster_Inputs[Primary_Line],"8"),IF(ISBLANK(L12),J12,L12))</f>
        <v/>
      </c>
      <c r="O12" s="12">
        <f>N12+M12</f>
        <v/>
      </c>
      <c r="P12" s="8">
        <f>HYPERLINK("#Y2026!I49","↗ drill")</f>
        <v/>
      </c>
    </row>
    <row r="13" ht="14.5" customHeight="1" s="19">
      <c r="A13" s="66" t="inlineStr">
        <is>
          <t>STR-008</t>
        </is>
      </c>
      <c r="B13" s="66" t="inlineStr">
        <is>
          <t>Accountable Plan</t>
        </is>
      </c>
      <c r="C13" s="66" t="n">
        <v>8</v>
      </c>
      <c r="D13" s="94" t="n"/>
      <c r="E13" s="66" t="n"/>
      <c r="F13" s="66" t="n"/>
      <c r="G13" s="66" t="n"/>
      <c r="H13" t="n">
        <v>9</v>
      </c>
      <c r="I13" t="inlineStr">
        <is>
          <t>TOTAL INCOME</t>
        </is>
      </c>
      <c r="J13" s="12">
        <f>J6+J8+J10+J11+J12</f>
        <v/>
      </c>
      <c r="K13" s="55" t="n"/>
      <c r="L13" s="4" t="n"/>
      <c r="M13" s="12">
        <f>M6+M8+M10+M11+M12</f>
        <v/>
      </c>
      <c r="N13" s="12">
        <f>N6+N8+N10+N11+N12</f>
        <v/>
      </c>
      <c r="O13" s="12">
        <f>O6+O8+O10+O11+O12</f>
        <v/>
      </c>
      <c r="P13" s="8">
        <f>HYPERLINK("#Y2026!I49","↗ drill")</f>
        <v/>
      </c>
    </row>
    <row r="14" ht="14.5" customHeight="1" s="19">
      <c r="A14" s="66" t="inlineStr">
        <is>
          <t>STR-009</t>
        </is>
      </c>
      <c r="B14" s="66" t="inlineStr">
        <is>
          <t>Hire Children</t>
        </is>
      </c>
      <c r="C14" s="66" t="n">
        <v>8</v>
      </c>
      <c r="D14" s="94" t="n"/>
      <c r="E14" s="66" t="n"/>
      <c r="F14" s="66" t="n"/>
      <c r="G14" s="66" t="n"/>
      <c r="H14" t="n">
        <v>10</v>
      </c>
      <c r="I14" t="inlineStr">
        <is>
          <t>Adjustments</t>
        </is>
      </c>
      <c r="J14" s="12">
        <f>SUMIFS(tblMaster_Inputs[Baseline_Amount],tblMaster_Inputs[Year],2026,tblMaster_Inputs[Primary_Line],$H14, tblMaster_Inputs[Activity_Type], "Baseline")</f>
        <v/>
      </c>
      <c r="K14" s="55" t="n"/>
      <c r="L14" s="4" t="n"/>
      <c r="M14" s="12">
        <f>SUMIFS(tblY2026_Strategies[Amount],tblY2026_Strategies[TargetLine],$H14)-SUMIFS(tblY2026_Strategies[Amount],tblY2026_Strategies[CounterLine],$H14)</f>
        <v/>
      </c>
      <c r="N14" s="12">
        <f>IF(UPPER(K14)="Y",SUMIFS(tblMaster_Inputs[Baseline_Amount],tblMaster_Inputs[Year],2025,tblMaster_Inputs[Primary_Line],"10"),IF(ISBLANK(L14),J14,L14))</f>
        <v/>
      </c>
      <c r="O14" s="12">
        <f>N14+M14</f>
        <v/>
      </c>
      <c r="P14" s="8">
        <f>HYPERLINK("#Y2026!I49","↗ drill")</f>
        <v/>
      </c>
    </row>
    <row r="15" ht="14.5" customHeight="1" s="19">
      <c r="A15" s="66" t="inlineStr">
        <is>
          <t>STR-010</t>
        </is>
      </c>
      <c r="B15" s="66" t="inlineStr">
        <is>
          <t>Entity Restructuring</t>
        </is>
      </c>
      <c r="C15" s="66" t="n">
        <v>8</v>
      </c>
      <c r="D15" s="94" t="n"/>
      <c r="E15" s="66" t="n"/>
      <c r="F15" s="66" t="n"/>
      <c r="G15" s="66" t="n"/>
      <c r="H15" t="n">
        <v>11</v>
      </c>
      <c r="I15" t="inlineStr">
        <is>
          <t>AGI</t>
        </is>
      </c>
      <c r="J15" s="12">
        <f>J13+J14</f>
        <v/>
      </c>
      <c r="K15" s="55" t="n"/>
      <c r="L15" s="4" t="n"/>
      <c r="M15" s="12">
        <f>M13+M14</f>
        <v/>
      </c>
      <c r="N15" s="12">
        <f>N13+N14</f>
        <v/>
      </c>
      <c r="O15" s="12">
        <f>O13+O14</f>
        <v/>
      </c>
      <c r="P15" s="8">
        <f>HYPERLINK("#Y2026!I49","↗ drill")</f>
        <v/>
      </c>
    </row>
    <row r="16" ht="14.5" customHeight="1" s="19">
      <c r="A16" s="66" t="inlineStr">
        <is>
          <t>STR-011</t>
        </is>
      </c>
      <c r="B16" s="66" t="inlineStr">
        <is>
          <t>Installment Sale / 1031</t>
        </is>
      </c>
      <c r="C16" s="66" t="n">
        <v>7</v>
      </c>
      <c r="D16" s="94" t="n"/>
      <c r="E16" s="66" t="n"/>
      <c r="F16" s="66" t="n"/>
      <c r="G16" s="66" t="n"/>
      <c r="H16" t="n">
        <v>12</v>
      </c>
      <c r="I16" t="inlineStr">
        <is>
          <t>Std/Itemized ded</t>
        </is>
      </c>
      <c r="J16" s="12">
        <f>SUMIFS(tblMaster_Inputs[Baseline_Amount],tblMaster_Inputs[Year],2026,tblMaster_Inputs[Primary_Line],$H16, tblMaster_Inputs[Activity_Type], "Baseline")</f>
        <v/>
      </c>
      <c r="K16" s="55" t="n"/>
      <c r="L16" s="4" t="n"/>
      <c r="M16" s="12">
        <f>SUMIFS(tblY2026_Strategies[Amount],tblY2026_Strategies[TargetLine],$H16)-SUMIFS(tblY2026_Strategies[Amount],tblY2026_Strategies[CounterLine],$H16)</f>
        <v/>
      </c>
      <c r="N16" s="12">
        <f>IF(UPPER(K16)="Y",SUMIFS(tblMaster_Inputs[Baseline_Amount],tblMaster_Inputs[Year],2025,tblMaster_Inputs[Primary_Line],"12"),IF(ISBLANK(L16),J16,L16))</f>
        <v/>
      </c>
      <c r="O16" s="12">
        <f>N16+M16</f>
        <v/>
      </c>
      <c r="P16" s="8">
        <f>HYPERLINK("#Y2026!I49","↗ drill")</f>
        <v/>
      </c>
    </row>
    <row r="17" ht="14.5" customHeight="1" s="19">
      <c r="A17" s="66" t="inlineStr">
        <is>
          <t>STR-012</t>
        </is>
      </c>
      <c r="B17" s="66" t="inlineStr">
        <is>
          <t>Bonus Depreciation §168(k)</t>
        </is>
      </c>
      <c r="C17" s="66" t="n">
        <v>8</v>
      </c>
      <c r="D17" s="94" t="n"/>
      <c r="E17" s="66" t="n"/>
      <c r="F17" s="66" t="n"/>
      <c r="G17" s="66" t="n"/>
      <c r="H17" t="n">
        <v>13</v>
      </c>
      <c r="I17" t="inlineStr">
        <is>
          <t>QBI deduction</t>
        </is>
      </c>
      <c r="J17" s="12">
        <f>SUMIFS(tblMaster_Inputs[Baseline_Amount],tblMaster_Inputs[Year],2026,tblMaster_Inputs[Primary_Line],$H17, tblMaster_Inputs[Activity_Type], "Baseline")</f>
        <v/>
      </c>
      <c r="K17" s="55" t="n"/>
      <c r="L17" s="4" t="n"/>
      <c r="M17" s="12">
        <f>SUMIFS(tblY2026_Strategies[Amount],tblY2026_Strategies[TargetLine],$H17)-SUMIFS(tblY2026_Strategies[Amount],tblY2026_Strategies[CounterLine],$H17)</f>
        <v/>
      </c>
      <c r="N17" s="12">
        <f>IF(UPPER(K17)="Y",SUMIFS(tblMaster_Inputs[Baseline_Amount],tblMaster_Inputs[Year],2025,tblMaster_Inputs[Primary_Line],"13"),IF(ISBLANK(L17),J17,L17))</f>
        <v/>
      </c>
      <c r="O17" s="12">
        <f>N17+M17</f>
        <v/>
      </c>
      <c r="P17" s="8">
        <f>HYPERLINK("#Y2026!I49","↗ drill")</f>
        <v/>
      </c>
    </row>
    <row r="18" ht="14.5" customHeight="1" s="19">
      <c r="A18" s="66" t="inlineStr">
        <is>
          <t>STR-013</t>
        </is>
      </c>
      <c r="B18" s="66" t="inlineStr">
        <is>
          <t>R&amp;D Credit §41</t>
        </is>
      </c>
      <c r="C18" s="66" t="n">
        <v>13</v>
      </c>
      <c r="D18" s="94" t="n"/>
      <c r="E18" s="66" t="n"/>
      <c r="F18" s="66" t="n"/>
      <c r="G18" s="66" t="n"/>
      <c r="H18" t="n">
        <v>15</v>
      </c>
      <c r="I18" t="inlineStr">
        <is>
          <t>TAXABLE INCOME</t>
        </is>
      </c>
      <c r="J18" s="12">
        <f>J15+J16+J17</f>
        <v/>
      </c>
      <c r="K18" s="55" t="n"/>
      <c r="L18" s="4" t="n"/>
      <c r="M18" s="12">
        <f>M15+M16+M17</f>
        <v/>
      </c>
      <c r="N18" s="12">
        <f>N15+N16+N17</f>
        <v/>
      </c>
      <c r="O18" s="12">
        <f>O15+O16+O17</f>
        <v/>
      </c>
      <c r="P18" s="8">
        <f>HYPERLINK("#Y2026!I49","↗ drill")</f>
        <v/>
      </c>
    </row>
    <row r="19" ht="14.5" customHeight="1" s="19">
      <c r="A19" s="66" t="inlineStr">
        <is>
          <t>STR-014</t>
        </is>
      </c>
      <c r="B19" s="66" t="inlineStr">
        <is>
          <t>SALT PTE Election</t>
        </is>
      </c>
      <c r="C19" s="66" t="n">
        <v>12</v>
      </c>
      <c r="D19" s="94" t="n"/>
      <c r="E19" s="66" t="n"/>
      <c r="F19" s="66" t="n"/>
      <c r="G19" s="66" t="n"/>
    </row>
    <row r="20" ht="14.5" customHeight="1" s="19">
      <c r="A20" s="66" t="inlineStr">
        <is>
          <t>STR-015</t>
        </is>
      </c>
      <c r="B20" s="66" t="inlineStr">
        <is>
          <t>Timing / Deferral</t>
        </is>
      </c>
      <c r="C20" s="66" t="n">
        <v>8</v>
      </c>
      <c r="D20" s="94" t="n"/>
      <c r="E20" s="66" t="n"/>
      <c r="F20" s="66" t="n"/>
      <c r="G20" s="66" t="n"/>
    </row>
    <row r="21" ht="14.5" customHeight="1" s="19"/>
    <row r="22" ht="29" customHeight="1" s="19">
      <c r="A22" s="101" t="inlineStr">
        <is>
          <t>▸ TAX IMPACT SUMMARY</t>
        </is>
      </c>
      <c r="H22" s="3" t="inlineStr">
        <is>
          <t>Description</t>
        </is>
      </c>
      <c r="I22" s="3" t="inlineStr">
        <is>
          <t>Amount</t>
        </is>
      </c>
      <c r="J22" s="3" t="inlineStr">
        <is>
          <t>Effective</t>
        </is>
      </c>
      <c r="K22" s="3" t="inlineStr">
        <is>
          <t>Used by</t>
        </is>
      </c>
    </row>
    <row r="23" ht="14.5" customHeight="1" s="19">
      <c r="A23" s="93" t="inlineStr">
        <is>
          <t>Metric</t>
        </is>
      </c>
      <c r="B23" s="93" t="inlineStr">
        <is>
          <t>Baseline</t>
        </is>
      </c>
      <c r="C23" s="93" t="inlineStr">
        <is>
          <t>Effective</t>
        </is>
      </c>
      <c r="D23" s="93" t="inlineStr">
        <is>
          <t>Eff w/ Strat</t>
        </is>
      </c>
      <c r="E23" s="93" t="inlineStr">
        <is>
          <t>Savings</t>
        </is>
      </c>
      <c r="H23" t="inlineStr">
        <is>
          <t>Owner W-2</t>
        </is>
      </c>
      <c r="I23" s="12">
        <f>SUMIFS(tblMaster_Inputs[Baseline_Amount],tblMaster_Inputs[Year],2026,tblMaster_Inputs[Treatment_Profile],"W2_SCorpOwner", tblMaster_Inputs[Activity_Type], "Baseline")</f>
        <v/>
      </c>
      <c r="J23" s="12">
        <f>I23+SUMIFS(tblY2026_Strategies[Amount],tblY2026_Strategies[TargetLine],"1z")-SUMIFS(tblY2026_Strategies[Amount],tblY2026_Strategies[CounterLine],"1z")</f>
        <v/>
      </c>
      <c r="K23" s="2" t="n"/>
    </row>
    <row r="24" ht="14.5" customHeight="1" s="19">
      <c r="A24" t="inlineStr">
        <is>
          <t>Total Income</t>
        </is>
      </c>
      <c r="B24" s="95">
        <f>J13</f>
        <v/>
      </c>
      <c r="C24" s="95">
        <f>N13</f>
        <v/>
      </c>
      <c r="D24" s="95">
        <f>O13</f>
        <v/>
      </c>
      <c r="E24" s="95">
        <f>B24-D24</f>
        <v/>
      </c>
      <c r="H24" t="inlineStr">
        <is>
          <t>Third-party W-2</t>
        </is>
      </c>
      <c r="I24" s="12">
        <f>SUMIFS(tblMaster_Inputs[Baseline_Amount],tblMaster_Inputs[Year],2026,tblMaster_Inputs[Treatment_Profile],"W2_Employee", tblMaster_Inputs[Activity_Type], "Baseline")</f>
        <v/>
      </c>
      <c r="J24" s="12">
        <f>I24</f>
        <v/>
      </c>
      <c r="K24" s="2" t="n"/>
    </row>
    <row r="25" ht="14.5" customHeight="1" s="19">
      <c r="A25" t="inlineStr">
        <is>
          <t>Taxable Income</t>
        </is>
      </c>
      <c r="B25" s="95">
        <f>J18</f>
        <v/>
      </c>
      <c r="C25" s="95">
        <f>N18</f>
        <v/>
      </c>
      <c r="D25" s="95">
        <f>O18</f>
        <v/>
      </c>
      <c r="E25" s="95">
        <f>B25-D25</f>
        <v/>
      </c>
      <c r="H25" t="inlineStr">
        <is>
          <t>Total W-2</t>
        </is>
      </c>
      <c r="I25" s="12">
        <f>I23+I24</f>
        <v/>
      </c>
      <c r="J25" s="12">
        <f>J23+J24</f>
        <v/>
      </c>
      <c r="K25" s="2" t="n"/>
    </row>
    <row r="26" ht="14.5" customHeight="1" s="19">
      <c r="A26" s="13" t="inlineStr">
        <is>
          <t>Total Tax</t>
        </is>
      </c>
      <c r="B26" s="96">
        <f>I133</f>
        <v/>
      </c>
      <c r="C26" s="96">
        <f>I133</f>
        <v/>
      </c>
      <c r="D26" s="96">
        <f>J133</f>
        <v/>
      </c>
      <c r="E26" s="95">
        <f>B26-D26</f>
        <v/>
      </c>
      <c r="H26" t="inlineStr">
        <is>
          <t>SE business</t>
        </is>
      </c>
      <c r="I26" s="12">
        <f>SUMIFS(tblMaster_Inputs[Baseline_Amount],tblMaster_Inputs[Year],2026,tblMaster_Inputs[Bucket],"Business Income",tblMaster_Inputs[SE_Subject],"Yes", tblMaster_Inputs[Activity_Type], "Baseline")</f>
        <v/>
      </c>
      <c r="J26" s="12">
        <f>I26</f>
        <v/>
      </c>
      <c r="K26" s="2" t="n"/>
    </row>
    <row r="27" ht="14.5" customHeight="1" s="19">
      <c r="A27" t="inlineStr">
        <is>
          <t>Effective Rate</t>
        </is>
      </c>
      <c r="B27" s="97">
        <f>I134</f>
        <v/>
      </c>
      <c r="C27" s="97">
        <f>I134</f>
        <v/>
      </c>
      <c r="D27" s="97">
        <f>J134</f>
        <v/>
      </c>
      <c r="E27" s="97">
        <f>B27-D27</f>
        <v/>
      </c>
      <c r="H27" t="inlineStr">
        <is>
          <t>Active non-SE</t>
        </is>
      </c>
      <c r="I27" s="12">
        <f>SUMIFS(tblMaster_Inputs[Baseline_Amount],tblMaster_Inputs[Year],2026,tblMaster_Inputs[Bucket],"Business Income",tblMaster_Inputs[SE_Subject],"No",tblMaster_Inputs[NIIT_Class],"Active", tblMaster_Inputs[Activity_Type], "Baseline")</f>
        <v/>
      </c>
      <c r="J27" s="12">
        <f>I27+SUMIFS(tblY2026_Strategies[Amount],tblY2026_Strategies[TargetLine],"8")-SUMIFS(tblY2026_Strategies[Amount],tblY2026_Strategies[CounterLine],"8")</f>
        <v/>
      </c>
      <c r="K27" s="2" t="n"/>
    </row>
    <row r="28" ht="14.5" customHeight="1" s="19">
      <c r="A28" t="inlineStr">
        <is>
          <t>Committed Strategies</t>
        </is>
      </c>
      <c r="B28" s="98">
        <f>COUNTIF(tblY2026_Strategies[Status],"Committed")</f>
        <v/>
      </c>
      <c r="C28" s="98" t="inlineStr">
        <is>
          <t>Net Strategy Impact</t>
        </is>
      </c>
      <c r="D28" s="95">
        <f>SUMIF(tblY2026_Strategies[Status],"Committed",tblY2026_Strategies[Amount])</f>
        <v/>
      </c>
      <c r="E28" s="98" t="n"/>
      <c r="H28" t="inlineStr">
        <is>
          <t>Passive business</t>
        </is>
      </c>
      <c r="I28" s="12">
        <f>SUMIFS(tblMaster_Inputs[Baseline_Amount],tblMaster_Inputs[Year],2026,tblMaster_Inputs[Bucket],"Business Income",tblMaster_Inputs[NIIT_Class],"Passive", tblMaster_Inputs[Activity_Type], "Baseline")</f>
        <v/>
      </c>
      <c r="J28" s="12">
        <f>I28</f>
        <v/>
      </c>
      <c r="K28" s="2" t="n"/>
    </row>
    <row r="29" ht="14.5" customHeight="1" s="19">
      <c r="H29" t="inlineStr">
        <is>
          <t>Tax-exempt int</t>
        </is>
      </c>
      <c r="I29" s="12">
        <f>SUMIFS(tblMaster_Inputs[Helper_Amount],tblMaster_Inputs[Year],2026,tblMaster_Inputs[Helper_Treatment],"TAX_EXEMPT")</f>
        <v/>
      </c>
      <c r="J29" s="12">
        <f>I29+SUMIFS(tblY2026_Strategies[Amount],tblY2026_Strategies[TargetLine],"2a")-SUMIFS(tblY2026_Strategies[Amount],tblY2026_Strategies[CounterLine],"2a")</f>
        <v/>
      </c>
      <c r="K29" s="2" t="n"/>
    </row>
    <row r="30" ht="14.5" customHeight="1" s="19">
      <c r="H30" t="inlineStr">
        <is>
          <t>Qualified div</t>
        </is>
      </c>
      <c r="I30" s="12">
        <f>SUMIFS(tblMaster_Inputs[Helper_Amount],tblMaster_Inputs[Year],2026,tblMaster_Inputs[Helper_Treatment],"QUAL_DIV", tblMaster_Inputs[Activity_Type], "Baseline")</f>
        <v/>
      </c>
      <c r="J30" s="12">
        <f>I30</f>
        <v/>
      </c>
      <c r="K30" s="2" t="n"/>
    </row>
    <row r="31" ht="14.5" customHeight="1" s="19">
      <c r="H31" t="inlineStr">
        <is>
          <t>LT cap gains</t>
        </is>
      </c>
      <c r="I31" s="12">
        <f>SUMIFS(tblMaster_Inputs[Baseline_Amount],tblMaster_Inputs[Year],2026,tblMaster_Inputs[Treatment_Profile],"LTCG_Stock")+SUMIFS(tblMaster_Inputs[Baseline_Amount],tblMaster_Inputs[Year],2026,tblMaster_Inputs[Treatment_Profile],"LTCG_RE")+SUMIFS(tblMaster_Inputs[Baseline_Amount],tblMaster_Inputs[Year],2026,tblMaster_Inputs[Treatment_Profile],"LTCG_K1_Passthrough")+SUMIFS(tblMaster_Inputs[Baseline_Amount],tblMaster_Inputs[Year],2026,tblMaster_Inputs[Treatment_Profile],"Sec1250_Recap", tblMaster_Inputs[Activity_Type], "Baseline")</f>
        <v/>
      </c>
      <c r="J31" s="12">
        <f>I31+SUMIFS(tblY2026_Strategies[Amount],tblY2026_Strategies[TargetLine],"7")-SUMIFS(tblY2026_Strategies[Amount],tblY2026_Strategies[CounterLine],"7")</f>
        <v/>
      </c>
      <c r="K31" s="2" t="n"/>
    </row>
    <row r="32" ht="14.5" customHeight="1" s="19">
      <c r="H32" t="inlineStr">
        <is>
          <t>ST cap gains</t>
        </is>
      </c>
      <c r="I32" s="12">
        <f>SUMIFS(tblMaster_Inputs[Baseline_Amount],tblMaster_Inputs[Year],2026,tblMaster_Inputs[Treatment_Profile],"STCG_Stock", tblMaster_Inputs[Activity_Type], "Baseline")</f>
        <v/>
      </c>
      <c r="J32" s="12">
        <f>I32</f>
        <v/>
      </c>
      <c r="K32" s="2" t="n"/>
    </row>
    <row r="33" ht="14.5" customHeight="1" s="19">
      <c r="H33" t="inlineStr">
        <is>
          <t>§1250 gain</t>
        </is>
      </c>
      <c r="I33" s="12">
        <f>SUMIFS(tblMaster_Inputs[Helper_Amount],tblMaster_Inputs[Year],2026,tblMaster_Inputs[Helper_Treatment],"SEC1250", tblMaster_Inputs[Activity_Type], "Baseline")</f>
        <v/>
      </c>
      <c r="J33" s="12">
        <f>I33</f>
        <v/>
      </c>
      <c r="K33" s="2" t="n"/>
    </row>
    <row r="34" ht="14.5" customHeight="1" s="19"/>
    <row r="35" ht="14.5" customHeight="1" s="19"/>
    <row r="36" ht="29" customHeight="1" s="19">
      <c r="H36" s="3" t="inlineStr">
        <is>
          <t>Description</t>
        </is>
      </c>
      <c r="I36" s="3" t="inlineStr">
        <is>
          <t>Value</t>
        </is>
      </c>
      <c r="J36" s="3" t="inlineStr">
        <is>
          <t>Effective</t>
        </is>
      </c>
      <c r="K36" s="3" t="inlineStr">
        <is>
          <t>Used by</t>
        </is>
      </c>
    </row>
    <row r="37" ht="14.5" customHeight="1" s="19">
      <c r="H37" t="inlineStr">
        <is>
          <t>TI-LTCG-QD-1250</t>
        </is>
      </c>
      <c r="I37" s="12">
        <f>J18-I31-I30-I33</f>
        <v/>
      </c>
      <c r="J37" s="12">
        <f>O18-J31-J30-J33</f>
        <v/>
      </c>
      <c r="K37" s="2" t="n"/>
    </row>
    <row r="38" ht="14.5" customHeight="1" s="19">
      <c r="H38" t="inlineStr">
        <is>
          <t>AGI+tax-exempt</t>
        </is>
      </c>
      <c r="I38" s="12">
        <f>J15+I29</f>
        <v/>
      </c>
      <c r="J38" s="12">
        <f>O15+J29</f>
        <v/>
      </c>
      <c r="K38" s="2" t="n"/>
    </row>
    <row r="39" ht="14.5" customHeight="1" s="19">
      <c r="H39" t="inlineStr">
        <is>
          <t>Net inv income</t>
        </is>
      </c>
      <c r="I39" s="12">
        <f>J8+J10+J11+I28</f>
        <v/>
      </c>
      <c r="J39" s="12">
        <f>O8+O10+O11+J28</f>
        <v/>
      </c>
      <c r="K39" s="2" t="n"/>
    </row>
    <row r="40" ht="14.5" customHeight="1" s="19">
      <c r="H40" t="inlineStr">
        <is>
          <t>QBI-eligible</t>
        </is>
      </c>
      <c r="I40" s="12">
        <f>I26+I27</f>
        <v/>
      </c>
      <c r="J40" s="12">
        <f>J26+J27</f>
        <v/>
      </c>
      <c r="K40" s="2" t="n"/>
    </row>
    <row r="41" ht="14.5" customHeight="1" s="19">
      <c r="H41" t="inlineStr">
        <is>
          <t>TI before QBI</t>
        </is>
      </c>
      <c r="I41" s="12">
        <f>J15+J16</f>
        <v/>
      </c>
      <c r="J41" s="12">
        <f>O15+O16</f>
        <v/>
      </c>
      <c r="K41" s="2" t="n"/>
    </row>
    <row r="42" ht="14.5" customHeight="1" s="19">
      <c r="H42" t="inlineStr">
        <is>
          <t>Net biz loss</t>
        </is>
      </c>
      <c r="I42" s="12">
        <f>MIN(0,I26+I27+I28)</f>
        <v/>
      </c>
      <c r="J42" s="12">
        <f>MIN(0,J26+J27+J28)</f>
        <v/>
      </c>
      <c r="K42" s="2" t="n"/>
    </row>
    <row r="43" ht="14.5" customHeight="1" s="19">
      <c r="H43" t="inlineStr">
        <is>
          <t>Net SE</t>
        </is>
      </c>
      <c r="I43" s="12">
        <f>I26</f>
        <v/>
      </c>
      <c r="J43" s="12">
        <f>J26</f>
        <v/>
      </c>
      <c r="K43" s="2" t="n"/>
    </row>
    <row r="44" ht="14.5" customHeight="1" s="19">
      <c r="I44" s="56" t="n"/>
      <c r="J44" s="56">
        <f>I44</f>
        <v/>
      </c>
      <c r="K44" s="2" t="n"/>
    </row>
    <row r="45" ht="14.5" customHeight="1" s="19">
      <c r="I45" s="70">
        <f>IF(Control_Panel!C21="Yes",TRUE,FALSE)</f>
        <v/>
      </c>
      <c r="J45" s="4">
        <f>I45</f>
        <v/>
      </c>
      <c r="K45" s="2" t="n"/>
    </row>
    <row r="46" ht="14.5" customHeight="1" s="19">
      <c r="I46" s="70">
        <f>Carryovers!F52</f>
        <v/>
      </c>
      <c r="J46" s="56">
        <f>I46</f>
        <v/>
      </c>
      <c r="K46" s="2" t="n"/>
    </row>
    <row r="47" ht="14.5" customHeight="1" s="19"/>
    <row r="48" ht="14.5" customHeight="1" s="19"/>
    <row r="49" ht="14.5" customHeight="1" s="19">
      <c r="H49" s="9" t="inlineStr">
        <is>
          <t>1z</t>
        </is>
      </c>
      <c r="K49" s="8">
        <f>HYPERLINK("#Master_Inputs!A1","✏ open Master_Inputs")</f>
        <v/>
      </c>
    </row>
    <row r="50" ht="14.5" customHeight="1" s="19"/>
    <row r="51" ht="29" customHeight="1" s="19">
      <c r="H51" s="3" t="n"/>
      <c r="I51" s="3" t="n"/>
      <c r="J51" s="3" t="n"/>
      <c r="K51" s="3" t="n"/>
      <c r="L51" s="3" t="n"/>
      <c r="M51" s="3" t="n"/>
      <c r="N51" s="3" t="n"/>
      <c r="O51" s="3" t="n"/>
    </row>
    <row r="52" ht="14.5" customHeight="1" s="19"/>
    <row r="53" ht="14.5" customHeight="1" s="19"/>
    <row r="54" ht="14.5" customHeight="1" s="19"/>
    <row r="55" ht="14.5" customHeight="1" s="19"/>
    <row r="56" ht="14.5" customHeight="1" s="19"/>
    <row r="57" ht="14.5" customHeight="1" s="19"/>
    <row r="58" ht="14.5" customHeight="1" s="19"/>
    <row r="59" ht="14.5" customHeight="1" s="19"/>
    <row r="60" ht="14.5" customHeight="1" s="19"/>
    <row r="61" ht="14.5" customHeight="1" s="19"/>
    <row r="62" ht="14.5" customHeight="1" s="19"/>
    <row r="63" ht="14.5" customHeight="1" s="19"/>
    <row r="64" ht="14.5" customHeight="1" s="19"/>
    <row r="65" ht="16" customHeight="1" s="19" thickBot="1">
      <c r="H65" s="101" t="inlineStr">
        <is>
          <t>▸ 7-COMPONENT TAX CALCULATOR</t>
        </is>
      </c>
      <c r="I65" s="49" t="inlineStr">
        <is>
          <t>Baseline</t>
        </is>
      </c>
      <c r="J65" s="49" t="inlineStr">
        <is>
          <t>Effective</t>
        </is>
      </c>
      <c r="K65" s="49" t="inlineStr">
        <is>
          <t>Δ Savings</t>
        </is>
      </c>
    </row>
    <row r="66" ht="14.5" customHeight="1" s="19">
      <c r="H66" t="inlineStr">
        <is>
          <t>Dual columns: Baseline (H) vs With Planning (I)</t>
        </is>
      </c>
    </row>
    <row r="67" ht="14.5" customHeight="1" s="19"/>
    <row r="68" ht="14.5" customHeight="1" s="19">
      <c r="H68" s="101" t="inlineStr">
        <is>
          <t>1. SELF-EMPLOYMENT TAX</t>
        </is>
      </c>
      <c r="I68" s="36" t="n"/>
      <c r="J68" s="36" t="n"/>
      <c r="K68" s="36" t="n"/>
    </row>
    <row r="69" ht="14.5" customHeight="1" s="19">
      <c r="H69" t="inlineStr">
        <is>
          <t>SE Tax Label</t>
        </is>
      </c>
      <c r="I69" s="20" t="n"/>
      <c r="J69" s="20" t="n"/>
      <c r="K69" s="20" t="n"/>
    </row>
    <row r="70" ht="14.5" customHeight="1" s="19">
      <c r="H70" t="inlineStr">
        <is>
          <t>Net SE Earnings</t>
        </is>
      </c>
      <c r="I70" s="12">
        <f>I43</f>
        <v/>
      </c>
      <c r="J70" s="12">
        <f>J43</f>
        <v/>
      </c>
      <c r="K70" s="12" t="n"/>
    </row>
    <row r="71" ht="14.5" customHeight="1" s="19">
      <c r="H71" t="inlineStr">
        <is>
          <t>SE Base (× 0.9235)</t>
        </is>
      </c>
      <c r="I71" s="20">
        <f>I70*SUMIFS(tblThresholds[Value], tblThresholds[Year], 2026, tblThresholds[FilingStatus], Filing_Status, tblThresholds[Item], "SE_Earnings_Factor")</f>
        <v/>
      </c>
      <c r="J71" s="20">
        <f>J70*SUMIFS(tblThresholds[Value], tblThresholds[Year], 2026, tblThresholds[FilingStatus], Filing_Status, tblThresholds[Item], "SE_Earnings_Factor")</f>
        <v/>
      </c>
      <c r="K71" s="20" t="n"/>
    </row>
    <row r="72" ht="14.5" customHeight="1" s="19">
      <c r="H72" t="inlineStr">
        <is>
          <t>W-2 Wages</t>
        </is>
      </c>
      <c r="I72" s="12">
        <f>I25</f>
        <v/>
      </c>
      <c r="J72" s="12">
        <f>J25</f>
        <v/>
      </c>
      <c r="K72" s="12" t="n"/>
    </row>
    <row r="73" ht="14.5" customHeight="1" s="19">
      <c r="H73" t="inlineStr">
        <is>
          <t>Remaining SS Wage Base</t>
        </is>
      </c>
      <c r="I73" s="12">
        <f>MAX(0,SUMIFS(tblThresholds[Value], tblThresholds[Year], 2026, tblThresholds[FilingStatus], Filing_Status, tblThresholds[Item], "SS_Wage_Base")-I72)</f>
        <v/>
      </c>
      <c r="J73" s="12">
        <f>MAX(0,SUMIFS(tblThresholds[Value], tblThresholds[Year], 2026, tblThresholds[FilingStatus], Filing_Status, tblThresholds[Item], "SS_Wage_Base")-J72)</f>
        <v/>
      </c>
      <c r="K73" s="12" t="n"/>
    </row>
    <row r="74" ht="14.5" customHeight="1" s="19">
      <c r="I74" s="39">
        <f>MIN(I71,I73)</f>
        <v/>
      </c>
      <c r="J74" s="39">
        <f>MIN(J71,J73)</f>
        <v/>
      </c>
      <c r="K74" s="39" t="n"/>
    </row>
    <row r="75" ht="14.5" customHeight="1" s="19">
      <c r="H75" t="inlineStr">
        <is>
          <t>Social Security Tax (12.4%)</t>
        </is>
      </c>
      <c r="I75" s="12">
        <f>I74*SUMIFS(tblThresholds[Value], tblThresholds[Year], 2026, tblThresholds[FilingStatus], Filing_Status, tblThresholds[Item], "SS_Rate_Combined")</f>
        <v/>
      </c>
      <c r="J75" s="12">
        <f>J74*SUMIFS(tblThresholds[Value], tblThresholds[Year], 2026, tblThresholds[FilingStatus], Filing_Status, tblThresholds[Item], "SS_Rate_Combined")</f>
        <v/>
      </c>
      <c r="K75" s="12" t="n"/>
    </row>
    <row r="76" ht="15.5" customHeight="1" s="19">
      <c r="H76" t="inlineStr">
        <is>
          <t>Medicare Tax (2.9%)</t>
        </is>
      </c>
      <c r="I76" s="52">
        <f>I71*SUMIFS(tblThresholds[Value], tblThresholds[Year], 2026, tblThresholds[FilingStatus], Filing_Status, tblThresholds[Item], "Medicare_Rate_Combined")</f>
        <v/>
      </c>
      <c r="J76" s="52">
        <f>J71*SUMIFS(tblThresholds[Value], tblThresholds[Year], 2026, tblThresholds[FilingStatus], Filing_Status, tblThresholds[Item], "Medicare_Rate_Combined")</f>
        <v/>
      </c>
      <c r="K76" s="52" t="n"/>
    </row>
    <row r="77" ht="14.5" customHeight="1" s="19">
      <c r="H77" t="inlineStr">
        <is>
          <t>Addl Medicare (0.9% &gt; threshold)</t>
        </is>
      </c>
      <c r="I77" s="12">
        <f>MAX(0,(I72+I71-SUMIFS(tblThresholds[Value],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J77" s="12">
        <f>MAX(0,(J72+J71-SUMIFS(tblThresholds[Value],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77" s="12" t="n"/>
    </row>
    <row r="78" ht="14.5" customHeight="1" s="19">
      <c r="I78" s="12">
        <f>-(I75+I76)/2</f>
        <v/>
      </c>
      <c r="J78" s="12">
        <f>-(J75+J76)/2</f>
        <v/>
      </c>
      <c r="K78" s="12" t="n"/>
    </row>
    <row r="79" ht="18.5" customHeight="1" s="19">
      <c r="I79" s="53" t="n"/>
      <c r="J79" s="12" t="n"/>
      <c r="K79" s="12" t="n"/>
    </row>
    <row r="80" ht="14.5" customHeight="1" s="19">
      <c r="H80" s="13" t="inlineStr">
        <is>
          <t>TOTAL SE TAX</t>
        </is>
      </c>
      <c r="I80" s="20">
        <f>I75+I76+I77</f>
        <v/>
      </c>
      <c r="J80" s="20">
        <f>J75+J76+J77</f>
        <v/>
      </c>
      <c r="K80" s="20">
        <f>I80-J80</f>
        <v/>
      </c>
    </row>
    <row r="81" ht="14.5" customHeight="1" s="19">
      <c r="I81" s="12" t="n"/>
      <c r="J81" s="12" t="n"/>
      <c r="K81" s="12" t="n"/>
    </row>
    <row r="82" ht="14.5" customHeight="1" s="19">
      <c r="H82" s="101" t="inlineStr">
        <is>
          <t>2. PAYROLL TAX</t>
        </is>
      </c>
      <c r="I82" s="20" t="n"/>
      <c r="J82" s="20" t="n"/>
      <c r="K82" s="20" t="n"/>
    </row>
    <row r="83" ht="14.5" customHeight="1" s="19">
      <c r="H83" t="inlineStr">
        <is>
          <t>W-2 Wages</t>
        </is>
      </c>
      <c r="I83" s="12">
        <f>I25</f>
        <v/>
      </c>
      <c r="J83" s="12">
        <f>J25</f>
        <v/>
      </c>
      <c r="K83" s="12" t="n"/>
    </row>
    <row r="84" ht="14.5" customHeight="1" s="19">
      <c r="H84" t="inlineStr">
        <is>
          <t>Social Security (6.2%)</t>
        </is>
      </c>
      <c r="I84" s="12">
        <f>MIN(I83,SUMIFS(tblThresholds[Value], tblThresholds[Year], 2026, tblThresholds[FilingStatus], Filing_Status, tblThresholds[Item], "SS_Wage_Base"))*0.062</f>
        <v/>
      </c>
      <c r="J84" s="12">
        <f>MIN(J83,SUMIFS(tblThresholds[Value], tblThresholds[Year], 2026, tblThresholds[FilingStatus], Filing_Status, tblThresholds[Item], "SS_Wage_Base"))*0.062</f>
        <v/>
      </c>
      <c r="K84" s="12" t="n"/>
    </row>
    <row r="85" ht="14.5" customHeight="1" s="19">
      <c r="H85" t="inlineStr">
        <is>
          <t>Medicare (1.45%)</t>
        </is>
      </c>
      <c r="I85" s="12">
        <f>I83*0.0145</f>
        <v/>
      </c>
      <c r="J85" s="12">
        <f>J83*0.0145</f>
        <v/>
      </c>
      <c r="K85" s="12" t="n"/>
    </row>
    <row r="86" ht="14.5" customHeight="1" s="19">
      <c r="H86" t="inlineStr">
        <is>
          <t>Addl Medicare (0.9% &gt; threshold)</t>
        </is>
      </c>
      <c r="I86" s="12">
        <f>MAX(0,(I83-SUMIFS(tblThresholds[Value],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J86" s="12">
        <f>MAX(0,(J83-SUMIFS(tblThresholds[Value],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86" s="12" t="n"/>
    </row>
    <row r="87" ht="14.5" customHeight="1" s="19">
      <c r="H87" s="13" t="inlineStr">
        <is>
          <t>TOTAL PAYROLL TAX</t>
        </is>
      </c>
      <c r="I87" s="20">
        <f>I84+I85+I86</f>
        <v/>
      </c>
      <c r="J87" s="20">
        <f>J84+J85+J86</f>
        <v/>
      </c>
      <c r="K87" s="20">
        <f>I87-J87</f>
        <v/>
      </c>
    </row>
    <row r="88" ht="14.5" customHeight="1" s="19">
      <c r="H88" s="13" t="inlineStr">
        <is>
          <t>Employer Social Security (6.2%)</t>
        </is>
      </c>
      <c r="I88" s="20">
        <f>I84</f>
        <v/>
      </c>
      <c r="J88" s="20">
        <f>J84</f>
        <v/>
      </c>
      <c r="K88" s="20">
        <f>I88-J88</f>
        <v/>
      </c>
    </row>
    <row r="89" ht="14.5" customHeight="1" s="19">
      <c r="H89" s="13" t="inlineStr">
        <is>
          <t>Employer Medicare (1.45%)</t>
        </is>
      </c>
      <c r="I89" s="20">
        <f>I85</f>
        <v/>
      </c>
      <c r="J89" s="20">
        <f>J85</f>
        <v/>
      </c>
      <c r="K89" s="20">
        <f>I89-J89</f>
        <v/>
      </c>
    </row>
    <row r="90" ht="14.5" customHeight="1" s="19">
      <c r="H90" s="13" t="n"/>
      <c r="I90" s="20" t="n"/>
      <c r="J90" s="20" t="n"/>
      <c r="K90" s="20" t="n"/>
    </row>
    <row r="91" ht="14.5" customHeight="1" s="19">
      <c r="H91" s="13" t="inlineStr">
        <is>
          <t>TOTAL PAYROLL TAX (Employee + Employer)</t>
        </is>
      </c>
      <c r="I91" s="20">
        <f>I87+I88+I89</f>
        <v/>
      </c>
      <c r="J91" s="20">
        <f>J87+J88+J89</f>
        <v/>
      </c>
      <c r="K91" s="20">
        <f>I91-J91</f>
        <v/>
      </c>
    </row>
    <row r="92" ht="14.5" customHeight="1" s="19">
      <c r="I92" s="12" t="n"/>
      <c r="J92" s="12" t="n"/>
      <c r="K92" s="12" t="n"/>
    </row>
    <row r="93" ht="14.5" customHeight="1" s="19">
      <c r="H93" s="101" t="inlineStr">
        <is>
          <t>3. ORDINARY INCOME TAX</t>
        </is>
      </c>
      <c r="I93" s="20" t="n"/>
      <c r="J93" s="20" t="n"/>
      <c r="K93" s="20" t="n"/>
    </row>
    <row r="94" ht="14.5" customHeight="1" s="19">
      <c r="H94" t="inlineStr">
        <is>
          <t>Taxable Income</t>
        </is>
      </c>
      <c r="I94" s="12">
        <f>I37</f>
        <v/>
      </c>
      <c r="J94" s="12">
        <f>J37</f>
        <v/>
      </c>
      <c r="K94" s="12" t="n"/>
    </row>
    <row r="95" ht="14.5" customHeight="1" s="19">
      <c r="H95" t="inlineStr">
        <is>
          <t>Ordinary Taxable (TI - LTCG - QD)</t>
        </is>
      </c>
      <c r="I95" s="12">
        <f>MAX(0,I94)</f>
        <v/>
      </c>
      <c r="J95" s="12">
        <f>MAX(0,J94)</f>
        <v/>
      </c>
      <c r="K95" s="12" t="n"/>
    </row>
    <row r="96" ht="14.5" customHeight="1" s="19">
      <c r="H96" t="inlineStr">
        <is>
          <t>Tax (SUMPRODUCT bracket lookup)</t>
        </is>
      </c>
      <c r="I96" s="12">
        <f t="array" ref="I96">SUMPRODUCT((tblBrackets_FIT[Year]=2026)*(tblBrackets_FIT[FilingStatus]=Filing_Status)*((I95&gt;tblBrackets_FIT[Upper])*(tblBrackets_FIT[Upper]-tblBrackets_FIT[Lower])+(I95&gt;tblBrackets_FIT[Lower])*(I95&lt;=tblBrackets_FIT[Upper])*(I95-tblBrackets_FIT[Lower]))*tblBrackets_FIT[Rate])</f>
        <v/>
      </c>
      <c r="J96" s="12">
        <f t="array" ref="J96">SUMPRODUCT((tblBrackets_FIT[Year]=2026)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2" t="n"/>
    </row>
    <row r="97" ht="14.5" customHeight="1" s="19">
      <c r="H97" s="13" t="inlineStr">
        <is>
          <t>TOTAL ORDINARY TAX</t>
        </is>
      </c>
      <c r="I97" s="20">
        <f>I96</f>
        <v/>
      </c>
      <c r="J97" s="20">
        <f>J96</f>
        <v/>
      </c>
      <c r="K97" s="20">
        <f>I97-J97</f>
        <v/>
      </c>
    </row>
    <row r="98" ht="14.5" customHeight="1" s="19">
      <c r="I98" s="12" t="n"/>
      <c r="J98" s="12" t="n"/>
      <c r="K98" s="12" t="n"/>
    </row>
    <row r="99" ht="14.5" customHeight="1" s="19">
      <c r="H99" s="101" t="inlineStr">
        <is>
          <t>4. CAPITAL GAINS / QUALIFIED DIVIDENDS TAX</t>
        </is>
      </c>
      <c r="I99" s="20" t="n"/>
      <c r="J99" s="20" t="n"/>
      <c r="K99" s="20" t="n"/>
    </row>
    <row r="100" ht="14.5" customHeight="1" s="19">
      <c r="H100" t="inlineStr">
        <is>
          <t>LTCG + Qualified Dividends</t>
        </is>
      </c>
      <c r="I100" s="12">
        <f>I31+I30</f>
        <v/>
      </c>
      <c r="J100" s="12">
        <f>J31+J30</f>
        <v/>
      </c>
      <c r="K100" s="12" t="n"/>
    </row>
    <row r="101" ht="14.5" customHeight="1" s="19">
      <c r="H101" t="inlineStr">
        <is>
          <t>Sec 1250 Recapture Gain</t>
        </is>
      </c>
      <c r="I101" s="12">
        <f>I33</f>
        <v/>
      </c>
      <c r="J101" s="12">
        <f>J33</f>
        <v/>
      </c>
      <c r="K101" s="12" t="n"/>
    </row>
    <row r="102" ht="14.5" customHeight="1" s="19">
      <c r="H102" t="inlineStr">
        <is>
          <t>Stacking Base (Ordinary TI for bracket floor)</t>
        </is>
      </c>
      <c r="I102" s="12">
        <f>I95</f>
        <v/>
      </c>
      <c r="J102" s="12">
        <f>J95</f>
        <v/>
      </c>
      <c r="K102" s="12" t="n"/>
    </row>
    <row r="103" ht="14.5" customHeight="1" s="19">
      <c r="H103" t="inlineStr">
        <is>
          <t>Full CG Rate Tax (SUMPRODUCT stack)</t>
        </is>
      </c>
      <c r="I103" s="12">
        <f t="array" ref="I103">SUMPRODUCT((Tax_Ref!$B$210:$B$281=2026)*(Tax_Ref!$C$210:$C$281=Filing_Status)*((I102+I100&gt;Tax_Ref!$E$210:$E$281)*(Tax_Ref!$E$210:$E$281-Tax_Ref!$D$210:$D$281)+(I102+I100&gt;Tax_Ref!$D$210:$D$281)*(I102+I100&lt;=Tax_Ref!$E$210:$E$281)*(I102+I100-Tax_Ref!$D$210:$D$281))*Tax_Ref!$F$210:$F$281)</f>
        <v/>
      </c>
      <c r="J103" s="12">
        <f t="array" ref="J103">SUMPRODUCT((Tax_Ref!$B$210:$B$281=2026)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2" t="n"/>
    </row>
    <row r="104" ht="14.5" customHeight="1" s="19">
      <c r="H104" t="inlineStr">
        <is>
          <t>CG Rate Tax on Ordinary only</t>
        </is>
      </c>
      <c r="I104" s="12">
        <f t="array" ref="I104">SUMPRODUCT((Tax_Ref!$B$210:$B$281=2026)*(Tax_Ref!$C$210:$C$281=Filing_Status)*((I102&gt;Tax_Ref!$E$210:$E$281)*(Tax_Ref!$E$210:$E$281-Tax_Ref!$D$210:$D$281)+(I102&gt;Tax_Ref!$D$210:$D$281)*(I102&lt;=Tax_Ref!$E$210:$E$281)*(I102-Tax_Ref!$D$210:$D$281))*Tax_Ref!$F$210:$F$281)</f>
        <v/>
      </c>
      <c r="J104" s="12">
        <f t="array" ref="J104">SUMPRODUCT((Tax_Ref!$B$210:$B$281=2026)*(Tax_Ref!$C$210:$C$281=Filing_Status)*((J102&gt;Tax_Ref!$E$210:$E$281)*(Tax_Ref!$E$210:$E$281-Tax_Ref!$D$210:$D$281)+(J102&gt;Tax_Ref!$D$210:$D$281)*(J102&lt;=Tax_Ref!$E$210:$E$281)*(J102-Tax_Ref!$D$210:$D$281))*Tax_Ref!$F$210:$F$281)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2" t="n"/>
    </row>
    <row r="105" ht="14.5" customHeight="1" s="19">
      <c r="H105" t="inlineStr">
        <is>
          <t>Net LTCG/QD Tax</t>
        </is>
      </c>
      <c r="I105" s="12">
        <f>I103-I104</f>
        <v/>
      </c>
      <c r="J105" s="12">
        <f>J103-J104</f>
        <v/>
      </c>
      <c r="K105" s="12" t="n"/>
    </row>
    <row r="106" ht="14.5" customHeight="1" s="19">
      <c r="I106" s="12">
        <f>I33*0.25</f>
        <v/>
      </c>
      <c r="J106" s="12">
        <f>J33*0.25</f>
        <v/>
      </c>
      <c r="K106" s="12" t="n"/>
    </row>
    <row r="107" ht="14.5" customHeight="1" s="19">
      <c r="H107" s="13" t="inlineStr">
        <is>
          <t>TOTAL CAP GAINS TAX</t>
        </is>
      </c>
      <c r="I107" s="20">
        <f>I105+I106</f>
        <v/>
      </c>
      <c r="J107" s="20">
        <f>J105+J106</f>
        <v/>
      </c>
      <c r="K107" s="20">
        <f>I107-J107</f>
        <v/>
      </c>
    </row>
    <row r="108" ht="14.5" customHeight="1" s="19">
      <c r="I108" s="12" t="n"/>
      <c r="J108" s="12" t="n"/>
      <c r="K108" s="12" t="n"/>
    </row>
    <row r="109" ht="14.5" customHeight="1" s="19">
      <c r="H109" s="101" t="inlineStr">
        <is>
          <t>5. NET INVESTMENT INCOME TAX (NIIT)</t>
        </is>
      </c>
      <c r="I109" s="20" t="n"/>
      <c r="J109" s="20" t="n"/>
      <c r="K109" s="20" t="n"/>
    </row>
    <row r="110" ht="14.5" customHeight="1" s="19">
      <c r="H110" t="inlineStr">
        <is>
          <t>MAGI</t>
        </is>
      </c>
      <c r="I110" s="12">
        <f>I38</f>
        <v/>
      </c>
      <c r="J110" s="12">
        <f>J38</f>
        <v/>
      </c>
      <c r="K110" s="12" t="n"/>
    </row>
    <row r="111" ht="14.5" customHeight="1" s="19">
      <c r="H111" t="inlineStr">
        <is>
          <t>NIIT Threshold</t>
        </is>
      </c>
      <c r="I111" s="12">
        <f>SUMIFS(tblThresholds[Value], tblThresholds[Year], 2026, tblThresholds[FilingStatus], Filing_Status, tblThresholds[Item], "NIIT_Threshold")</f>
        <v/>
      </c>
      <c r="J111" s="12">
        <f>SUMIFS(tblThresholds[Value], tblThresholds[Year], 2026, tblThresholds[FilingStatus], Filing_Status, tblThresholds[Item], "NIIT_Threshold")</f>
        <v/>
      </c>
      <c r="K111" s="12" t="n"/>
    </row>
    <row r="112" ht="14.5" customHeight="1" s="19">
      <c r="H112" t="inlineStr">
        <is>
          <t>Net Investment Income (NII)</t>
        </is>
      </c>
      <c r="I112" s="12">
        <f>MAX(0,I39)</f>
        <v/>
      </c>
      <c r="J112" s="12">
        <f>MAX(0,J39)</f>
        <v/>
      </c>
      <c r="K112" s="12" t="n"/>
    </row>
    <row r="113" ht="14.5" customHeight="1" s="19">
      <c r="H113" t="inlineStr">
        <is>
          <t>NIIT Base (lesser of NII or MAGI excess)</t>
        </is>
      </c>
      <c r="I113" s="12">
        <f>MAX(0,I110-I111)</f>
        <v/>
      </c>
      <c r="J113" s="12">
        <f>MAX(0,J110-J111)</f>
        <v/>
      </c>
      <c r="K113" s="12" t="n"/>
    </row>
    <row r="114" ht="14.5" customHeight="1" s="19">
      <c r="H114" s="13" t="inlineStr">
        <is>
          <t>NIIT (3.8%)</t>
        </is>
      </c>
      <c r="I114" s="20">
        <f>MIN(I112,I113)*SUMIFS(tblThresholds[Value], tblThresholds[Year], 2026, tblThresholds[FilingStatus], Filing_Status, tblThresholds[Item], "NIIT_Rate")</f>
        <v/>
      </c>
      <c r="J114" s="20">
        <f>MIN(J112,J113)*SUMIFS(tblThresholds[Value], tblThresholds[Year], 2026, tblThresholds[FilingStatus], Filing_Status, tblThresholds[Item], "NIIT_Rate")</f>
        <v/>
      </c>
      <c r="K114" s="20">
        <f>I114-J114</f>
        <v/>
      </c>
    </row>
    <row r="115" ht="14.5" customHeight="1" s="19">
      <c r="I115" s="12" t="n"/>
      <c r="J115" s="12" t="n"/>
      <c r="K115" s="12" t="n"/>
    </row>
    <row r="116" ht="14.5" customHeight="1" s="19">
      <c r="H116" s="101" t="inlineStr">
        <is>
          <t>6. QBI DEDUCTION (§199A)</t>
        </is>
      </c>
      <c r="I116" s="20" t="n"/>
      <c r="J116" s="20" t="n"/>
      <c r="K116" s="20" t="n"/>
    </row>
    <row r="117" ht="14.5" customHeight="1" s="19">
      <c r="H117" t="inlineStr">
        <is>
          <t>QBI-Eligible Income</t>
        </is>
      </c>
      <c r="I117" s="12">
        <f>I40</f>
        <v/>
      </c>
      <c r="J117" s="12">
        <f>J40</f>
        <v/>
      </c>
      <c r="K117" s="12" t="n"/>
    </row>
    <row r="118" ht="14.5" customHeight="1" s="19">
      <c r="H118" t="inlineStr">
        <is>
          <t>20% of QBI</t>
        </is>
      </c>
      <c r="I118" s="12">
        <f>MAX(0,I117)*0.2</f>
        <v/>
      </c>
      <c r="J118" s="12">
        <f>MAX(0,J117)*0.2</f>
        <v/>
      </c>
      <c r="K118" s="12" t="n"/>
    </row>
    <row r="119" ht="14.5" customHeight="1" s="19">
      <c r="H119" t="inlineStr">
        <is>
          <t>50% of W-2 Wages</t>
        </is>
      </c>
      <c r="I119" s="12">
        <f>MAX(0,I41)*0.2</f>
        <v/>
      </c>
      <c r="J119" s="12">
        <f>MAX(0,J41)*0.2</f>
        <v/>
      </c>
      <c r="K119" s="12" t="n"/>
    </row>
    <row r="120" ht="14.5" customHeight="1" s="19">
      <c r="H120" t="inlineStr">
        <is>
          <t>25% W-2 + 2.5% UBIA</t>
        </is>
      </c>
      <c r="I120" s="12">
        <f>MAX(I23*0.5, I23*0.25+I44*0.025)</f>
        <v/>
      </c>
      <c r="J120" s="12">
        <f>MAX(J23*0.5, J23*0.25+J44*0.025)</f>
        <v/>
      </c>
      <c r="K120" s="12" t="n"/>
    </row>
    <row r="121" ht="14.5" customHeight="1" s="19">
      <c r="H121" t="inlineStr">
        <is>
          <t>Phase-in applies?</t>
        </is>
      </c>
      <c r="I121" s="12">
        <f>IF(I41&gt;SUMIFS(tblThresholds[Value], tblThresholds[Year], 2026, tblThresholds[FilingStatus], Filing_Status, tblThresholds[Item], "QBI_Threshold_Start"),"YES","NO")</f>
        <v/>
      </c>
      <c r="J121" s="12">
        <f>IF(J41&gt;SUMIFS(tblThresholds[Value], tblThresholds[Year], 2026, tblThresholds[FilingStatus], Filing_Status, tblThresholds[Item], "QBI_Threshold_Start"),"YES","NO")</f>
        <v/>
      </c>
      <c r="K121" s="12" t="n"/>
    </row>
    <row r="122" ht="14.5" customHeight="1" s="19">
      <c r="H122" s="13" t="inlineStr">
        <is>
          <t>QBI DEDUCTION</t>
        </is>
      </c>
      <c r="I122" s="20">
        <f>IF(AND(I45=TRUE,I41&gt;SUMIFS(tblThresholds[Value], tblThresholds[Year], 2026, tblThresholds[FilingStatus], Filing_Status, tblThresholds[Item], "QBI_Threshold_End")),0,IF(I41&lt;=SUMIFS(tblThresholds[Value], tblThresholds[Year], 2026, tblThresholds[FilingStatus], Filing_Status, tblThresholds[Item], "QBI_Threshold_Start"),MIN(I118,I119),MIN(I118,I119,I120)))</f>
        <v/>
      </c>
      <c r="J122" s="20">
        <f>IF(AND(J45=TRUE,J41&gt;SUMIFS(tblThresholds[Value], tblThresholds[Year], 2026, tblThresholds[FilingStatus], Filing_Status, tblThresholds[Item], "QBI_Threshold_End")),0,IF(J41&lt;=SUMIFS(tblThresholds[Value], tblThresholds[Year], 2026, tblThresholds[FilingStatus], Filing_Status, tblThresholds[Item], "QBI_Threshold_Start"),MIN(J118,J119),MIN(J118,J119,J120)))</f>
        <v/>
      </c>
      <c r="K122" s="20">
        <f>J122-I122</f>
        <v/>
      </c>
    </row>
    <row r="123" ht="14.5" customHeight="1" s="19">
      <c r="I123" s="12" t="n"/>
      <c r="J123" s="12" t="n"/>
      <c r="K123" s="12" t="n"/>
    </row>
    <row r="124" ht="14.5" customHeight="1" s="19">
      <c r="H124" s="101" t="inlineStr">
        <is>
          <t>7. COMBINED TAX SUMMARY</t>
        </is>
      </c>
      <c r="I124" s="20" t="n"/>
      <c r="J124" s="20" t="n"/>
      <c r="K124" s="20" t="n"/>
    </row>
    <row r="125" ht="14.5" customHeight="1" s="19">
      <c r="H125" t="inlineStr">
        <is>
          <t>Total Income</t>
        </is>
      </c>
      <c r="I125" s="12">
        <f>J6+J8+J10+J11+J12</f>
        <v/>
      </c>
      <c r="J125" s="12">
        <f>O13</f>
        <v/>
      </c>
      <c r="K125" s="12" t="inlineStr">
        <is>
          <t>Δ Savings</t>
        </is>
      </c>
    </row>
    <row r="126" ht="14.5" customHeight="1" s="19">
      <c r="H126" t="inlineStr">
        <is>
          <t>Ordinary Tax</t>
        </is>
      </c>
      <c r="I126" s="12">
        <f>I97</f>
        <v/>
      </c>
      <c r="J126" s="12">
        <f>J97</f>
        <v/>
      </c>
      <c r="K126" s="12">
        <f>I126-J126</f>
        <v/>
      </c>
    </row>
    <row r="127" ht="14.5" customHeight="1" s="19">
      <c r="H127" t="inlineStr">
        <is>
          <t>Capital Gains Tax</t>
        </is>
      </c>
      <c r="I127" s="12">
        <f>I107</f>
        <v/>
      </c>
      <c r="J127" s="12">
        <f>J107</f>
        <v/>
      </c>
      <c r="K127" s="12">
        <f>I127-J127</f>
        <v/>
      </c>
    </row>
    <row r="128" ht="14.5" customHeight="1" s="19">
      <c r="H128" t="inlineStr">
        <is>
          <t>Self-Employment Tax</t>
        </is>
      </c>
      <c r="I128" s="12">
        <f>I80</f>
        <v/>
      </c>
      <c r="J128" s="12">
        <f>J80</f>
        <v/>
      </c>
      <c r="K128" s="12">
        <f>I128-J128</f>
        <v/>
      </c>
    </row>
    <row r="129" ht="14.5" customHeight="1" s="19">
      <c r="H129" t="inlineStr">
        <is>
          <t>Payroll Tax (Employee + Employer)</t>
        </is>
      </c>
      <c r="I129" s="12">
        <f>I91</f>
        <v/>
      </c>
      <c r="J129" s="12">
        <f>J91</f>
        <v/>
      </c>
      <c r="K129" s="12">
        <f>I129-J129</f>
        <v/>
      </c>
    </row>
    <row r="130" ht="14.5" customHeight="1" s="19">
      <c r="H130" t="inlineStr">
        <is>
          <t>NIIT</t>
        </is>
      </c>
      <c r="I130" s="12">
        <f>I114</f>
        <v/>
      </c>
      <c r="J130" s="12">
        <f>J114</f>
        <v/>
      </c>
      <c r="K130" s="12">
        <f>I130-J130</f>
        <v/>
      </c>
    </row>
    <row r="131" ht="14.5" customHeight="1" s="19">
      <c r="H131" t="inlineStr">
        <is>
          <t>Less: QBI Tax Benefit</t>
        </is>
      </c>
      <c r="I131" s="12">
        <f>-I122*0.24</f>
        <v/>
      </c>
      <c r="J131" s="12">
        <f>-J122*0.24</f>
        <v/>
      </c>
      <c r="K131" s="12">
        <f>I131-J131</f>
        <v/>
      </c>
    </row>
    <row r="132" ht="14.5" customHeight="1" s="19">
      <c r="I132" s="12" t="n"/>
      <c r="J132" s="12" t="n"/>
      <c r="K132" s="12" t="n"/>
    </row>
    <row r="133" ht="14.5" customHeight="1" s="19">
      <c r="H133" s="13" t="inlineStr">
        <is>
          <t>TOTAL COMBINED TAX</t>
        </is>
      </c>
      <c r="I133" s="20">
        <f>SUM(I126:I131)</f>
        <v/>
      </c>
      <c r="J133" s="20">
        <f>SUM(J126:J131)</f>
        <v/>
      </c>
      <c r="K133" s="20">
        <f>I133-J133</f>
        <v/>
      </c>
    </row>
    <row r="134" ht="14.5" customHeight="1" s="19">
      <c r="H134" t="inlineStr">
        <is>
          <t>Effective Rate (vs Total Income)</t>
        </is>
      </c>
      <c r="I134" s="57">
        <f>IFERROR(I133/I125,0)</f>
        <v/>
      </c>
      <c r="J134" s="57">
        <f>IFERROR(J133/J125,0)</f>
        <v/>
      </c>
      <c r="K134" s="57">
        <f>I134-J134</f>
        <v/>
      </c>
    </row>
    <row r="135" ht="14.5" customHeight="1" s="19">
      <c r="I135" s="12" t="n"/>
      <c r="J135" s="12" t="n"/>
      <c r="K135" s="12" t="n"/>
    </row>
    <row r="136" ht="14.5" customHeight="1" s="19">
      <c r="H136" s="13" t="inlineStr">
        <is>
          <t>TOTAL TAX SAVINGS FROM PLANNING:</t>
        </is>
      </c>
      <c r="I136" s="20">
        <f>K133</f>
        <v/>
      </c>
      <c r="J136" s="20" t="n"/>
      <c r="K136" s="20" t="n"/>
    </row>
  </sheetData>
  <dataValidations count="1">
    <dataValidation sqref="K6:K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P136"/>
  <sheetViews>
    <sheetView workbookViewId="0">
      <selection activeCell="L53" sqref="L53"/>
    </sheetView>
  </sheetViews>
  <sheetFormatPr baseColWidth="8" defaultRowHeight="14.5"/>
  <cols>
    <col width="12" customWidth="1" style="19" min="1" max="1"/>
    <col width="36" customWidth="1" style="19" min="2" max="2"/>
    <col width="12" customWidth="1" style="19" min="3" max="3"/>
    <col width="14" customWidth="1" style="19" min="4" max="5"/>
    <col width="32" customWidth="1" style="19" min="6" max="6"/>
    <col width="3" customWidth="1" style="19" min="7" max="7"/>
    <col width="36" customWidth="1" style="19" min="8" max="8"/>
    <col width="16" customWidth="1" style="19" min="9" max="9"/>
    <col width="6.36328125" customWidth="1" style="19" min="10" max="10"/>
    <col width="16" customWidth="1" style="19" min="11" max="11"/>
    <col width="14" customWidth="1" style="19" min="12" max="12"/>
    <col width="16" customWidth="1" style="19" min="13" max="13"/>
    <col width="9" customWidth="1" style="19" min="14" max="15"/>
  </cols>
  <sheetData>
    <row r="1" ht="18.5" customHeight="1" s="19">
      <c r="A1" s="17" t="inlineStr">
        <is>
          <t>Y2027 — standalone tax planning sandbox</t>
        </is>
      </c>
    </row>
    <row r="2" ht="14.5" customHeight="1" s="19">
      <c r="A2" s="90" t="inlineStr">
        <is>
          <t>Strategies: enter Amount + Status below. Committed strategies flow to rollup M column. Push to Master_Inputs when final.</t>
        </is>
      </c>
    </row>
    <row r="3" ht="14.5" customHeight="1" s="19"/>
    <row r="4" ht="14.5" customHeight="1" s="19">
      <c r="A4" s="101" t="inlineStr">
        <is>
          <t>▸ STRATEGIES</t>
        </is>
      </c>
    </row>
    <row r="5" ht="14.5" customHeight="1" s="1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s="3" t="inlineStr">
        <is>
          <t>Line</t>
        </is>
      </c>
      <c r="I5" s="3" t="inlineStr">
        <is>
          <t>Description</t>
        </is>
      </c>
      <c r="J5" s="3" t="inlineStr">
        <is>
          <t>Baseline (Master)</t>
        </is>
      </c>
      <c r="K5" s="54" t="inlineStr">
        <is>
          <t>PY?</t>
        </is>
      </c>
      <c r="L5" s="3" t="inlineStr">
        <is>
          <t>S1 Override</t>
        </is>
      </c>
      <c r="M5" s="3" t="inlineStr">
        <is>
          <t>Strategies</t>
        </is>
      </c>
      <c r="N5" s="3" t="inlineStr">
        <is>
          <t>Effective</t>
        </is>
      </c>
      <c r="O5" s="100" t="inlineStr">
        <is>
          <t>Eff w/ Strategies</t>
        </is>
      </c>
      <c r="P5" s="3" t="inlineStr">
        <is>
          <t>Drill</t>
        </is>
      </c>
    </row>
    <row r="6" ht="14.5" customHeight="1" s="19">
      <c r="A6" s="66" t="inlineStr">
        <is>
          <t>STR-001</t>
        </is>
      </c>
      <c r="B6" s="66" t="inlineStr">
        <is>
          <t>S-Corp Wage Optimization</t>
        </is>
      </c>
      <c r="C6" s="66" t="inlineStr">
        <is>
          <t>1z</t>
        </is>
      </c>
      <c r="D6" s="94" t="n"/>
      <c r="E6" s="66" t="n"/>
      <c r="F6" s="66" t="n"/>
      <c r="G6" s="66" t="n"/>
      <c r="H6" t="inlineStr">
        <is>
          <t>1z</t>
        </is>
      </c>
      <c r="I6" t="inlineStr">
        <is>
          <t>Wages</t>
        </is>
      </c>
      <c r="J6" s="12">
        <f>SUMIFS(tblMaster_Inputs[Baseline_Amount],tblMaster_Inputs[Year],2027,tblMaster_Inputs[Primary_Line],$H6, tblMaster_Inputs[Activity_Type], "Baseline")</f>
        <v/>
      </c>
      <c r="K6" s="55" t="n"/>
      <c r="L6" s="4" t="n"/>
      <c r="M6" s="12">
        <f>SUMIFS(tblY2027_Strategies[Amount],tblY2027_Strategies[TargetLine],$H6)-SUMIFS(tblY2027_Strategies[Amount],tblY2027_Strategies[CounterLine],$H6)</f>
        <v/>
      </c>
      <c r="N6" s="12">
        <f>IF(UPPER(K6)="Y",SUMIFS(tblMaster_Inputs[Baseline_Amount],tblMaster_Inputs[Year],2026,tblMaster_Inputs[Primary_Line],"1z"),IF(ISBLANK(L6),J6,L6))</f>
        <v/>
      </c>
      <c r="O6" s="12">
        <f>N6+M6</f>
        <v/>
      </c>
      <c r="P6" s="8">
        <f>HYPERLINK("#Y2027!I49","↗ drill")</f>
        <v/>
      </c>
    </row>
    <row r="7" ht="14.5" customHeight="1" s="19">
      <c r="A7" s="66" t="inlineStr">
        <is>
          <t>STR-002</t>
        </is>
      </c>
      <c r="B7" s="66" t="inlineStr">
        <is>
          <t>HSA Family Max</t>
        </is>
      </c>
      <c r="C7" s="66" t="n">
        <v>10</v>
      </c>
      <c r="D7" s="94" t="n"/>
      <c r="E7" s="66" t="n"/>
      <c r="F7" s="66" t="n"/>
      <c r="G7" s="66" t="n"/>
      <c r="H7" t="inlineStr">
        <is>
          <t>2a</t>
        </is>
      </c>
      <c r="I7" t="inlineStr">
        <is>
          <t>Tax-exempt interest</t>
        </is>
      </c>
      <c r="J7" s="12">
        <f>SUMIFS(tblMaster_Inputs[Helper_Amount],tblMaster_Inputs[Year],2027,tblMaster_Inputs[Helper_Treatment],"TAX_EXEMPT")</f>
        <v/>
      </c>
      <c r="K7" s="55" t="n"/>
      <c r="L7" s="4" t="n"/>
      <c r="M7">
        <f>SUMIFS(tblY2027_Strategies[Amount],tblY2027_Strategies[TargetLine],"2a",tblY2027_Strategies[Status],"Committed")</f>
        <v/>
      </c>
      <c r="N7" s="12">
        <f>IF(UPPER(K7)="Y",SUMIFS(tblMaster_Inputs[Helper_Amount],tblMaster_Inputs[Year],2026,tblMaster_Inputs[Helper_Treatment],"TAX_EXEMPT"),IF(ISBLANK(L7),J7,L7))</f>
        <v/>
      </c>
      <c r="O7" s="12">
        <f>N7</f>
        <v/>
      </c>
      <c r="P7" s="8">
        <f>HYPERLINK("#Y2027!I49","↗ drill")</f>
        <v/>
      </c>
    </row>
    <row r="8" ht="14.5" customHeight="1" s="19">
      <c r="A8" s="66" t="inlineStr">
        <is>
          <t>STR-003</t>
        </is>
      </c>
      <c r="B8" s="66" t="inlineStr">
        <is>
          <t>Charitable Bunching (DAF)</t>
        </is>
      </c>
      <c r="C8" s="66" t="n">
        <v>12</v>
      </c>
      <c r="D8" s="94" t="n"/>
      <c r="E8" s="66" t="n"/>
      <c r="F8" s="66" t="n"/>
      <c r="G8" s="66" t="n"/>
      <c r="H8" t="inlineStr">
        <is>
          <t>2b</t>
        </is>
      </c>
      <c r="I8" t="inlineStr">
        <is>
          <t>Taxable interest</t>
        </is>
      </c>
      <c r="J8" s="12">
        <f>SUMIFS(tblMaster_Inputs[Baseline_Amount],tblMaster_Inputs[Year],2027,tblMaster_Inputs[Primary_Line],$H8, tblMaster_Inputs[Activity_Type], "Baseline")</f>
        <v/>
      </c>
      <c r="K8" s="55" t="n"/>
      <c r="L8" s="4" t="n"/>
      <c r="M8" s="12">
        <f>SUMIFS(tblY2027_Strategies[Amount],tblY2027_Strategies[TargetLine],$H8)-SUMIFS(tblY2027_Strategies[Amount],tblY2027_Strategies[CounterLine],$H8)</f>
        <v/>
      </c>
      <c r="N8" s="12">
        <f>IF(UPPER(K8)="Y",SUMIFS(tblMaster_Inputs[Baseline_Amount],tblMaster_Inputs[Year],2026,tblMaster_Inputs[Primary_Line],"2b"),IF(ISBLANK(L8),J8,L8))</f>
        <v/>
      </c>
      <c r="O8" s="12">
        <f>N8+M8</f>
        <v/>
      </c>
      <c r="P8" s="8">
        <f>HYPERLINK("#Y2027!I49","↗ drill")</f>
        <v/>
      </c>
    </row>
    <row r="9" ht="14.5" customHeight="1" s="19">
      <c r="A9" s="66" t="inlineStr">
        <is>
          <t>STR-004</t>
        </is>
      </c>
      <c r="B9" s="66" t="inlineStr">
        <is>
          <t>SEP-IRA / Solo 401(k)</t>
        </is>
      </c>
      <c r="C9" s="66" t="n">
        <v>10</v>
      </c>
      <c r="D9" s="94" t="n"/>
      <c r="E9" s="66" t="n"/>
      <c r="F9" s="66" t="n"/>
      <c r="G9" s="66" t="n"/>
      <c r="H9" t="inlineStr">
        <is>
          <t>3a</t>
        </is>
      </c>
      <c r="I9" t="inlineStr">
        <is>
          <t>Qualified dividends</t>
        </is>
      </c>
      <c r="J9" s="12">
        <f>SUMIFS(tblMaster_Inputs[Helper_Amount],tblMaster_Inputs[Year],2027,tblMaster_Inputs[Helper_Treatment],"QUAL_DIV")</f>
        <v/>
      </c>
      <c r="K9" s="55" t="n"/>
      <c r="L9" s="4" t="n"/>
      <c r="M9">
        <f>SUMIFS(tblY2027_Strategies[Amount],tblY2027_Strategies[TargetLine],"3a",tblY2027_Strategies[Status],"Committed")</f>
        <v/>
      </c>
      <c r="N9" s="12">
        <f>IF(UPPER(K9)="Y",SUMIFS(tblMaster_Inputs[Helper_Amount],tblMaster_Inputs[Year],2026,tblMaster_Inputs[Helper_Treatment],"QUAL_DIV"),IF(ISBLANK(L9),J9,L9))</f>
        <v/>
      </c>
      <c r="O9" s="12">
        <f>N9</f>
        <v/>
      </c>
      <c r="P9" s="8">
        <f>HYPERLINK("#Y2027!I49","↗ drill")</f>
        <v/>
      </c>
    </row>
    <row r="10" ht="14.5" customHeight="1" s="19">
      <c r="A10" s="66" t="inlineStr">
        <is>
          <t>STR-005</t>
        </is>
      </c>
      <c r="B10" s="66" t="inlineStr">
        <is>
          <t>Cost Seg Study</t>
        </is>
      </c>
      <c r="C10" s="66" t="n">
        <v>8</v>
      </c>
      <c r="D10" s="94" t="n"/>
      <c r="E10" s="66" t="n"/>
      <c r="F10" s="66" t="n"/>
      <c r="G10" s="66" t="n"/>
      <c r="H10" t="inlineStr">
        <is>
          <t>3b</t>
        </is>
      </c>
      <c r="I10" t="inlineStr">
        <is>
          <t>Ordinary dividends</t>
        </is>
      </c>
      <c r="J10" s="12">
        <f>SUMIFS(tblMaster_Inputs[Baseline_Amount],tblMaster_Inputs[Year],2027,tblMaster_Inputs[Primary_Line],$H10, tblMaster_Inputs[Activity_Type], "Baseline")</f>
        <v/>
      </c>
      <c r="K10" s="55" t="n"/>
      <c r="L10" s="4" t="n"/>
      <c r="M10" s="12">
        <f>SUMIFS(tblY2027_Strategies[Amount],tblY2027_Strategies[TargetLine],$H10)-SUMIFS(tblY2027_Strategies[Amount],tblY2027_Strategies[CounterLine],$H10)</f>
        <v/>
      </c>
      <c r="N10" s="12">
        <f>IF(UPPER(K10)="Y",SUMIFS(tblMaster_Inputs[Baseline_Amount],tblMaster_Inputs[Year],2026,tblMaster_Inputs[Primary_Line],"3b"),IF(ISBLANK(L10),J10,L10))</f>
        <v/>
      </c>
      <c r="O10" s="12">
        <f>N10+M10</f>
        <v/>
      </c>
      <c r="P10" s="8">
        <f>HYPERLINK("#Y2027!I49","↗ drill")</f>
        <v/>
      </c>
    </row>
    <row r="11" ht="14.5" customHeight="1" s="19">
      <c r="A11" s="66" t="inlineStr">
        <is>
          <t>STR-006</t>
        </is>
      </c>
      <c r="B11" s="66" t="inlineStr">
        <is>
          <t>Roth Conversion</t>
        </is>
      </c>
      <c r="C11" s="66" t="inlineStr">
        <is>
          <t>1z</t>
        </is>
      </c>
      <c r="D11" s="94" t="n"/>
      <c r="E11" s="66" t="n"/>
      <c r="F11" s="66" t="n"/>
      <c r="G11" s="66" t="n"/>
      <c r="H11" t="n">
        <v>7</v>
      </c>
      <c r="I11" t="inlineStr">
        <is>
          <t>Capital gain/(loss)</t>
        </is>
      </c>
      <c r="J11" s="12">
        <f>SUMIFS(tblMaster_Inputs[Baseline_Amount],tblMaster_Inputs[Year],2027,tblMaster_Inputs[Primary_Line],$H11, tblMaster_Inputs[Activity_Type], "Baseline")</f>
        <v/>
      </c>
      <c r="K11" s="55" t="n"/>
      <c r="L11" s="4" t="n"/>
      <c r="M11" s="12">
        <f>SUMIFS(tblY2027_Strategies[Amount],tblY2027_Strategies[TargetLine],$H11)-SUMIFS(tblY2027_Strategies[Amount],tblY2027_Strategies[CounterLine],$H11)</f>
        <v/>
      </c>
      <c r="N11" s="12">
        <f>IF(UPPER(K11)="Y",SUMIFS(tblMaster_Inputs[Baseline_Amount],tblMaster_Inputs[Year],2026,tblMaster_Inputs[Primary_Line],"7"),IF(ISBLANK(L11),J11,L11))</f>
        <v/>
      </c>
      <c r="O11" s="12">
        <f>N11+M11</f>
        <v/>
      </c>
      <c r="P11" s="8">
        <f>HYPERLINK("#Y2027!I49","↗ drill")</f>
        <v/>
      </c>
    </row>
    <row r="12" ht="14.5" customHeight="1" s="19">
      <c r="A12" s="66" t="inlineStr">
        <is>
          <t>STR-007</t>
        </is>
      </c>
      <c r="B12" s="66" t="inlineStr">
        <is>
          <t>Augusta Rule (§280A)</t>
        </is>
      </c>
      <c r="C12" s="66" t="n">
        <v>8</v>
      </c>
      <c r="D12" s="94" t="n"/>
      <c r="E12" s="66" t="n"/>
      <c r="F12" s="66" t="n"/>
      <c r="G12" s="66" t="n"/>
      <c r="H12" t="n">
        <v>8</v>
      </c>
      <c r="I12" t="inlineStr">
        <is>
          <t>Other income (business)</t>
        </is>
      </c>
      <c r="J12" s="12">
        <f>SUMIFS(tblMaster_Inputs[Baseline_Amount],tblMaster_Inputs[Year],2027,tblMaster_Inputs[Primary_Line],$H12, tblMaster_Inputs[Activity_Type], "Baseline")</f>
        <v/>
      </c>
      <c r="K12" s="55" t="n"/>
      <c r="L12" s="4" t="n"/>
      <c r="M12" s="12">
        <f>SUMIFS(tblY2027_Strategies[Amount],tblY2027_Strategies[TargetLine],$H12)-SUMIFS(tblY2027_Strategies[Amount],tblY2027_Strategies[CounterLine],$H12)</f>
        <v/>
      </c>
      <c r="N12" s="12">
        <f>IF(UPPER(K12)="Y",SUMIFS(tblMaster_Inputs[Baseline_Amount],tblMaster_Inputs[Year],2026,tblMaster_Inputs[Primary_Line],"8"),IF(ISBLANK(L12),J12,L12))</f>
        <v/>
      </c>
      <c r="O12" s="12">
        <f>N12+M12</f>
        <v/>
      </c>
      <c r="P12" s="8">
        <f>HYPERLINK("#Y2027!I49","↗ drill")</f>
        <v/>
      </c>
    </row>
    <row r="13" ht="14.5" customHeight="1" s="19">
      <c r="A13" s="66" t="inlineStr">
        <is>
          <t>STR-008</t>
        </is>
      </c>
      <c r="B13" s="66" t="inlineStr">
        <is>
          <t>Accountable Plan</t>
        </is>
      </c>
      <c r="C13" s="66" t="n">
        <v>8</v>
      </c>
      <c r="D13" s="94" t="n"/>
      <c r="E13" s="66" t="n"/>
      <c r="F13" s="66" t="n"/>
      <c r="G13" s="66" t="n"/>
      <c r="H13" t="n">
        <v>9</v>
      </c>
      <c r="I13" t="inlineStr">
        <is>
          <t>TOTAL INCOME</t>
        </is>
      </c>
      <c r="J13" s="12">
        <f>J6+J8+J10+J11+J12</f>
        <v/>
      </c>
      <c r="K13" s="55" t="n"/>
      <c r="L13" s="4" t="n"/>
      <c r="M13" s="12">
        <f>M6+M8+M10+M11+M12</f>
        <v/>
      </c>
      <c r="N13" s="12">
        <f>N6+N8+N10+N11+N12</f>
        <v/>
      </c>
      <c r="O13" s="12">
        <f>O6+O8+O10+O11+O12</f>
        <v/>
      </c>
      <c r="P13" s="8">
        <f>HYPERLINK("#Y2027!I49","↗ drill")</f>
        <v/>
      </c>
    </row>
    <row r="14" ht="14.5" customHeight="1" s="19">
      <c r="A14" s="66" t="inlineStr">
        <is>
          <t>STR-009</t>
        </is>
      </c>
      <c r="B14" s="66" t="inlineStr">
        <is>
          <t>Hire Children</t>
        </is>
      </c>
      <c r="C14" s="66" t="n">
        <v>8</v>
      </c>
      <c r="D14" s="94" t="n"/>
      <c r="E14" s="66" t="n"/>
      <c r="F14" s="66" t="n"/>
      <c r="G14" s="66" t="n"/>
      <c r="H14" t="n">
        <v>10</v>
      </c>
      <c r="I14" t="inlineStr">
        <is>
          <t>Adjustments</t>
        </is>
      </c>
      <c r="J14" s="12">
        <f>SUMIFS(tblMaster_Inputs[Baseline_Amount],tblMaster_Inputs[Year],2027,tblMaster_Inputs[Primary_Line],$H14, tblMaster_Inputs[Activity_Type], "Baseline")</f>
        <v/>
      </c>
      <c r="K14" s="55" t="n"/>
      <c r="L14" s="4" t="n"/>
      <c r="M14" s="12">
        <f>SUMIFS(tblY2027_Strategies[Amount],tblY2027_Strategies[TargetLine],$H14)-SUMIFS(tblY2027_Strategies[Amount],tblY2027_Strategies[CounterLine],$H14)</f>
        <v/>
      </c>
      <c r="N14" s="12">
        <f>IF(UPPER(K14)="Y",SUMIFS(tblMaster_Inputs[Baseline_Amount],tblMaster_Inputs[Year],2026,tblMaster_Inputs[Primary_Line],"10"),IF(ISBLANK(L14),J14,L14))</f>
        <v/>
      </c>
      <c r="O14" s="12">
        <f>N14+M14</f>
        <v/>
      </c>
      <c r="P14" s="8">
        <f>HYPERLINK("#Y2027!I49","↗ drill")</f>
        <v/>
      </c>
    </row>
    <row r="15" ht="14.5" customHeight="1" s="19">
      <c r="A15" s="66" t="inlineStr">
        <is>
          <t>STR-010</t>
        </is>
      </c>
      <c r="B15" s="66" t="inlineStr">
        <is>
          <t>Entity Restructuring</t>
        </is>
      </c>
      <c r="C15" s="66" t="n">
        <v>8</v>
      </c>
      <c r="D15" s="94" t="n"/>
      <c r="E15" s="66" t="n"/>
      <c r="F15" s="66" t="n"/>
      <c r="G15" s="66" t="n"/>
      <c r="H15" t="n">
        <v>11</v>
      </c>
      <c r="I15" t="inlineStr">
        <is>
          <t>AGI</t>
        </is>
      </c>
      <c r="J15" s="12">
        <f>J13+J14</f>
        <v/>
      </c>
      <c r="K15" s="55" t="n"/>
      <c r="L15" s="4" t="n"/>
      <c r="M15" s="12">
        <f>M13+M14</f>
        <v/>
      </c>
      <c r="N15" s="12">
        <f>N13+N14</f>
        <v/>
      </c>
      <c r="O15" s="12">
        <f>O13+O14</f>
        <v/>
      </c>
      <c r="P15" s="8">
        <f>HYPERLINK("#Y2027!I49","↗ drill")</f>
        <v/>
      </c>
    </row>
    <row r="16" ht="14.5" customHeight="1" s="19">
      <c r="A16" s="66" t="inlineStr">
        <is>
          <t>STR-011</t>
        </is>
      </c>
      <c r="B16" s="66" t="inlineStr">
        <is>
          <t>Installment Sale / 1031</t>
        </is>
      </c>
      <c r="C16" s="66" t="n">
        <v>7</v>
      </c>
      <c r="D16" s="94" t="n"/>
      <c r="E16" s="66" t="n"/>
      <c r="F16" s="66" t="n"/>
      <c r="G16" s="66" t="n"/>
      <c r="H16" t="n">
        <v>12</v>
      </c>
      <c r="I16" t="inlineStr">
        <is>
          <t>Std/Itemized ded</t>
        </is>
      </c>
      <c r="J16" s="12">
        <f>SUMIFS(tblMaster_Inputs[Baseline_Amount],tblMaster_Inputs[Year],2027,tblMaster_Inputs[Primary_Line],$H16, tblMaster_Inputs[Activity_Type], "Baseline")</f>
        <v/>
      </c>
      <c r="K16" s="55" t="n"/>
      <c r="L16" s="4" t="n"/>
      <c r="M16" s="12">
        <f>SUMIFS(tblY2027_Strategies[Amount],tblY2027_Strategies[TargetLine],$H16)-SUMIFS(tblY2027_Strategies[Amount],tblY2027_Strategies[CounterLine],$H16)</f>
        <v/>
      </c>
      <c r="N16" s="12">
        <f>IF(UPPER(K16)="Y",SUMIFS(tblMaster_Inputs[Baseline_Amount],tblMaster_Inputs[Year],2026,tblMaster_Inputs[Primary_Line],"12"),IF(ISBLANK(L16),J16,L16))</f>
        <v/>
      </c>
      <c r="O16" s="12">
        <f>N16+M16</f>
        <v/>
      </c>
      <c r="P16" s="8">
        <f>HYPERLINK("#Y2027!I49","↗ drill")</f>
        <v/>
      </c>
    </row>
    <row r="17" ht="14.5" customHeight="1" s="19">
      <c r="A17" s="66" t="inlineStr">
        <is>
          <t>STR-012</t>
        </is>
      </c>
      <c r="B17" s="66" t="inlineStr">
        <is>
          <t>Bonus Depreciation §168(k)</t>
        </is>
      </c>
      <c r="C17" s="66" t="n">
        <v>8</v>
      </c>
      <c r="D17" s="94" t="n"/>
      <c r="E17" s="66" t="n"/>
      <c r="F17" s="66" t="n"/>
      <c r="G17" s="66" t="n"/>
      <c r="H17" t="n">
        <v>13</v>
      </c>
      <c r="I17" t="inlineStr">
        <is>
          <t>QBI deduction</t>
        </is>
      </c>
      <c r="J17" s="12">
        <f>SUMIFS(tblMaster_Inputs[Baseline_Amount],tblMaster_Inputs[Year],2027,tblMaster_Inputs[Primary_Line],$H17, tblMaster_Inputs[Activity_Type], "Baseline")</f>
        <v/>
      </c>
      <c r="K17" s="55" t="n"/>
      <c r="L17" s="4" t="n"/>
      <c r="M17" s="12">
        <f>SUMIFS(tblY2027_Strategies[Amount],tblY2027_Strategies[TargetLine],$H17)-SUMIFS(tblY2027_Strategies[Amount],tblY2027_Strategies[CounterLine],$H17)</f>
        <v/>
      </c>
      <c r="N17" s="12">
        <f>IF(UPPER(K17)="Y",SUMIFS(tblMaster_Inputs[Baseline_Amount],tblMaster_Inputs[Year],2026,tblMaster_Inputs[Primary_Line],"13"),IF(ISBLANK(L17),J17,L17))</f>
        <v/>
      </c>
      <c r="O17" s="12">
        <f>N17+M17</f>
        <v/>
      </c>
      <c r="P17" s="8">
        <f>HYPERLINK("#Y2027!I49","↗ drill")</f>
        <v/>
      </c>
    </row>
    <row r="18" ht="14.5" customHeight="1" s="19">
      <c r="A18" s="66" t="inlineStr">
        <is>
          <t>STR-013</t>
        </is>
      </c>
      <c r="B18" s="66" t="inlineStr">
        <is>
          <t>R&amp;D Credit §41</t>
        </is>
      </c>
      <c r="C18" s="66" t="n">
        <v>13</v>
      </c>
      <c r="D18" s="94" t="n"/>
      <c r="E18" s="66" t="n"/>
      <c r="F18" s="66" t="n"/>
      <c r="G18" s="66" t="n"/>
      <c r="H18" t="n">
        <v>15</v>
      </c>
      <c r="I18" t="inlineStr">
        <is>
          <t>TAXABLE INCOME</t>
        </is>
      </c>
      <c r="J18" s="12">
        <f>J15+J16+J17</f>
        <v/>
      </c>
      <c r="K18" s="55" t="n"/>
      <c r="L18" s="4" t="n"/>
      <c r="M18" s="12">
        <f>M15+M16+M17</f>
        <v/>
      </c>
      <c r="N18" s="12">
        <f>N15+N16+N17</f>
        <v/>
      </c>
      <c r="O18" s="12">
        <f>O15+O16+O17</f>
        <v/>
      </c>
      <c r="P18" s="8">
        <f>HYPERLINK("#Y2027!I49","↗ drill")</f>
        <v/>
      </c>
    </row>
    <row r="19" ht="14.5" customHeight="1" s="19">
      <c r="A19" s="66" t="inlineStr">
        <is>
          <t>STR-014</t>
        </is>
      </c>
      <c r="B19" s="66" t="inlineStr">
        <is>
          <t>SALT PTE Election</t>
        </is>
      </c>
      <c r="C19" s="66" t="n">
        <v>12</v>
      </c>
      <c r="D19" s="94" t="n"/>
      <c r="E19" s="66" t="n"/>
      <c r="F19" s="66" t="n"/>
      <c r="G19" s="66" t="n"/>
    </row>
    <row r="20" ht="14.5" customHeight="1" s="19">
      <c r="A20" s="66" t="inlineStr">
        <is>
          <t>STR-015</t>
        </is>
      </c>
      <c r="B20" s="66" t="inlineStr">
        <is>
          <t>Timing / Deferral</t>
        </is>
      </c>
      <c r="C20" s="66" t="n">
        <v>8</v>
      </c>
      <c r="D20" s="94" t="n"/>
      <c r="E20" s="66" t="n"/>
      <c r="F20" s="66" t="n"/>
      <c r="G20" s="66" t="n"/>
    </row>
    <row r="21" ht="14.5" customHeight="1" s="19"/>
    <row r="22" ht="29" customHeight="1" s="19">
      <c r="A22" s="101" t="inlineStr">
        <is>
          <t>▸ TAX IMPACT SUMMARY</t>
        </is>
      </c>
      <c r="H22" s="3" t="inlineStr">
        <is>
          <t>Description</t>
        </is>
      </c>
      <c r="I22" s="3" t="inlineStr">
        <is>
          <t>Amount</t>
        </is>
      </c>
      <c r="J22" s="3" t="inlineStr">
        <is>
          <t>Effective</t>
        </is>
      </c>
      <c r="K22" s="3" t="inlineStr">
        <is>
          <t>Used by</t>
        </is>
      </c>
    </row>
    <row r="23" ht="14.5" customHeight="1" s="19">
      <c r="A23" s="93" t="inlineStr">
        <is>
          <t>Metric</t>
        </is>
      </c>
      <c r="B23" s="93" t="inlineStr">
        <is>
          <t>Baseline</t>
        </is>
      </c>
      <c r="C23" s="93" t="inlineStr">
        <is>
          <t>Effective</t>
        </is>
      </c>
      <c r="D23" s="93" t="inlineStr">
        <is>
          <t>Eff w/ Strat</t>
        </is>
      </c>
      <c r="E23" s="93" t="inlineStr">
        <is>
          <t>Savings</t>
        </is>
      </c>
      <c r="H23" t="inlineStr">
        <is>
          <t>Owner W-2</t>
        </is>
      </c>
      <c r="I23" s="12">
        <f>SUMIFS(tblMaster_Inputs[Baseline_Amount],tblMaster_Inputs[Year],2027,tblMaster_Inputs[Treatment_Profile],"W2_SCorpOwner", tblMaster_Inputs[Activity_Type], "Baseline")</f>
        <v/>
      </c>
      <c r="J23" s="12">
        <f>I23+SUMIFS(tblY2027_Strategies[Amount],tblY2027_Strategies[TargetLine],"1z")-SUMIFS(tblY2027_Strategies[Amount],tblY2027_Strategies[CounterLine],"1z")</f>
        <v/>
      </c>
      <c r="K23" s="2" t="n"/>
    </row>
    <row r="24" ht="14.5" customHeight="1" s="19">
      <c r="A24" t="inlineStr">
        <is>
          <t>Total Income</t>
        </is>
      </c>
      <c r="B24" s="95">
        <f>J13</f>
        <v/>
      </c>
      <c r="C24" s="95">
        <f>N13</f>
        <v/>
      </c>
      <c r="D24" s="95">
        <f>O13</f>
        <v/>
      </c>
      <c r="E24" s="95">
        <f>B24-D24</f>
        <v/>
      </c>
      <c r="H24" t="inlineStr">
        <is>
          <t>Third-party W-2</t>
        </is>
      </c>
      <c r="I24" s="12">
        <f>SUMIFS(tblMaster_Inputs[Baseline_Amount],tblMaster_Inputs[Year],2027,tblMaster_Inputs[Treatment_Profile],"W2_Employee", tblMaster_Inputs[Activity_Type], "Baseline")</f>
        <v/>
      </c>
      <c r="J24" s="12">
        <f>I24</f>
        <v/>
      </c>
      <c r="K24" s="2" t="n"/>
    </row>
    <row r="25" ht="14.5" customHeight="1" s="19">
      <c r="A25" t="inlineStr">
        <is>
          <t>Taxable Income</t>
        </is>
      </c>
      <c r="B25" s="95">
        <f>J18</f>
        <v/>
      </c>
      <c r="C25" s="95">
        <f>N18</f>
        <v/>
      </c>
      <c r="D25" s="95">
        <f>O18</f>
        <v/>
      </c>
      <c r="E25" s="95">
        <f>B25-D25</f>
        <v/>
      </c>
      <c r="H25" t="inlineStr">
        <is>
          <t>Total W-2</t>
        </is>
      </c>
      <c r="I25" s="12">
        <f>I23+I24</f>
        <v/>
      </c>
      <c r="J25" s="12">
        <f>J23+J24</f>
        <v/>
      </c>
      <c r="K25" s="2" t="n"/>
    </row>
    <row r="26" ht="14.5" customHeight="1" s="19">
      <c r="A26" s="13" t="inlineStr">
        <is>
          <t>Total Tax</t>
        </is>
      </c>
      <c r="B26" s="96">
        <f>I133</f>
        <v/>
      </c>
      <c r="C26" s="96">
        <f>I133</f>
        <v/>
      </c>
      <c r="D26" s="96">
        <f>J133</f>
        <v/>
      </c>
      <c r="E26" s="95">
        <f>B26-D26</f>
        <v/>
      </c>
      <c r="H26" t="inlineStr">
        <is>
          <t>SE business</t>
        </is>
      </c>
      <c r="I26" s="12">
        <f>SUMIFS(tblMaster_Inputs[Baseline_Amount],tblMaster_Inputs[Year],2027,tblMaster_Inputs[Bucket],"Business Income",tblMaster_Inputs[SE_Subject],"Yes", tblMaster_Inputs[Activity_Type], "Baseline")</f>
        <v/>
      </c>
      <c r="J26" s="12">
        <f>I26</f>
        <v/>
      </c>
      <c r="K26" s="2" t="n"/>
    </row>
    <row r="27" ht="14.5" customHeight="1" s="19">
      <c r="A27" t="inlineStr">
        <is>
          <t>Effective Rate</t>
        </is>
      </c>
      <c r="B27" s="97">
        <f>I134</f>
        <v/>
      </c>
      <c r="C27" s="97">
        <f>I134</f>
        <v/>
      </c>
      <c r="D27" s="97">
        <f>J134</f>
        <v/>
      </c>
      <c r="E27" s="97">
        <f>B27-D27</f>
        <v/>
      </c>
      <c r="H27" t="inlineStr">
        <is>
          <t>Active non-SE</t>
        </is>
      </c>
      <c r="I27" s="12">
        <f>SUMIFS(tblMaster_Inputs[Baseline_Amount],tblMaster_Inputs[Year],2027,tblMaster_Inputs[Bucket],"Business Income",tblMaster_Inputs[SE_Subject],"No",tblMaster_Inputs[NIIT_Class],"Active", tblMaster_Inputs[Activity_Type], "Baseline")</f>
        <v/>
      </c>
      <c r="J27" s="12">
        <f>I27+SUMIFS(tblY2027_Strategies[Amount],tblY2027_Strategies[TargetLine],"8")-SUMIFS(tblY2027_Strategies[Amount],tblY2027_Strategies[CounterLine],"8")</f>
        <v/>
      </c>
      <c r="K27" s="2" t="n"/>
    </row>
    <row r="28" ht="14.5" customHeight="1" s="19">
      <c r="A28" t="inlineStr">
        <is>
          <t>Committed Strategies</t>
        </is>
      </c>
      <c r="B28" s="98">
        <f>COUNTIF(tblY2027_Strategies[Status],"Committed")</f>
        <v/>
      </c>
      <c r="C28" s="98" t="inlineStr">
        <is>
          <t>Net Strategy Impact</t>
        </is>
      </c>
      <c r="D28" s="95">
        <f>SUMIF(tblY2027_Strategies[Status],"Committed",tblY2027_Strategies[Amount])</f>
        <v/>
      </c>
      <c r="E28" s="98" t="n"/>
      <c r="H28" t="inlineStr">
        <is>
          <t>Passive business</t>
        </is>
      </c>
      <c r="I28" s="12">
        <f>SUMIFS(tblMaster_Inputs[Baseline_Amount],tblMaster_Inputs[Year],2027,tblMaster_Inputs[Bucket],"Business Income",tblMaster_Inputs[NIIT_Class],"Passive", tblMaster_Inputs[Activity_Type], "Baseline")</f>
        <v/>
      </c>
      <c r="J28" s="12">
        <f>I28</f>
        <v/>
      </c>
      <c r="K28" s="2" t="n"/>
    </row>
    <row r="29" ht="14.5" customHeight="1" s="19">
      <c r="H29" t="inlineStr">
        <is>
          <t>Tax-exempt int</t>
        </is>
      </c>
      <c r="I29" s="12">
        <f>SUMIFS(tblMaster_Inputs[Helper_Amount],tblMaster_Inputs[Year],2027,tblMaster_Inputs[Helper_Treatment],"TAX_EXEMPT")</f>
        <v/>
      </c>
      <c r="J29" s="12">
        <f>I29+SUMIFS(tblY2027_Strategies[Amount],tblY2027_Strategies[TargetLine],"2a")-SUMIFS(tblY2027_Strategies[Amount],tblY2027_Strategies[CounterLine],"2a")</f>
        <v/>
      </c>
      <c r="K29" s="2" t="n"/>
    </row>
    <row r="30" ht="14.5" customHeight="1" s="19">
      <c r="H30" t="inlineStr">
        <is>
          <t>Qualified div</t>
        </is>
      </c>
      <c r="I30" s="12">
        <f>SUMIFS(tblMaster_Inputs[Helper_Amount],tblMaster_Inputs[Year],2027,tblMaster_Inputs[Helper_Treatment],"QUAL_DIV", tblMaster_Inputs[Activity_Type], "Baseline")</f>
        <v/>
      </c>
      <c r="J30" s="12">
        <f>I30</f>
        <v/>
      </c>
      <c r="K30" s="2" t="n"/>
    </row>
    <row r="31" ht="14.5" customHeight="1" s="19">
      <c r="H31" t="inlineStr">
        <is>
          <t>LT cap gains</t>
        </is>
      </c>
      <c r="I31" s="12">
        <f>SUMIFS(tblMaster_Inputs[Baseline_Amount],tblMaster_Inputs[Year],2027,tblMaster_Inputs[Treatment_Profile],"LTCG_Stock")+SUMIFS(tblMaster_Inputs[Baseline_Amount],tblMaster_Inputs[Year],2027,tblMaster_Inputs[Treatment_Profile],"LTCG_RE")+SUMIFS(tblMaster_Inputs[Baseline_Amount],tblMaster_Inputs[Year],2027,tblMaster_Inputs[Treatment_Profile],"LTCG_K1_Passthrough")+SUMIFS(tblMaster_Inputs[Baseline_Amount],tblMaster_Inputs[Year],2027,tblMaster_Inputs[Treatment_Profile],"Sec1250_Recap", tblMaster_Inputs[Activity_Type], "Baseline")</f>
        <v/>
      </c>
      <c r="J31" s="12">
        <f>I31+SUMIFS(tblY2027_Strategies[Amount],tblY2027_Strategies[TargetLine],"7")-SUMIFS(tblY2027_Strategies[Amount],tblY2027_Strategies[CounterLine],"7")</f>
        <v/>
      </c>
      <c r="K31" s="2" t="n"/>
    </row>
    <row r="32" ht="14.5" customHeight="1" s="19">
      <c r="H32" t="inlineStr">
        <is>
          <t>ST cap gains</t>
        </is>
      </c>
      <c r="I32" s="12">
        <f>SUMIFS(tblMaster_Inputs[Baseline_Amount],tblMaster_Inputs[Year],2027,tblMaster_Inputs[Treatment_Profile],"STCG_Stock", tblMaster_Inputs[Activity_Type], "Baseline")</f>
        <v/>
      </c>
      <c r="J32" s="12">
        <f>I32</f>
        <v/>
      </c>
      <c r="K32" s="2" t="n"/>
    </row>
    <row r="33" ht="14.5" customHeight="1" s="19">
      <c r="H33" t="inlineStr">
        <is>
          <t>§1250 gain</t>
        </is>
      </c>
      <c r="I33" s="12">
        <f>SUMIFS(tblMaster_Inputs[Helper_Amount],tblMaster_Inputs[Year],2027,tblMaster_Inputs[Helper_Treatment],"SEC1250", tblMaster_Inputs[Activity_Type], "Baseline")</f>
        <v/>
      </c>
      <c r="J33" s="12">
        <f>I33</f>
        <v/>
      </c>
      <c r="K33" s="2" t="n"/>
    </row>
    <row r="34" ht="14.5" customHeight="1" s="19"/>
    <row r="35" ht="14.5" customHeight="1" s="19"/>
    <row r="36" ht="29" customHeight="1" s="19">
      <c r="H36" s="3" t="inlineStr">
        <is>
          <t>Description</t>
        </is>
      </c>
      <c r="I36" s="3" t="inlineStr">
        <is>
          <t>Value</t>
        </is>
      </c>
      <c r="J36" s="3" t="inlineStr">
        <is>
          <t>Effective</t>
        </is>
      </c>
      <c r="K36" s="3" t="inlineStr">
        <is>
          <t>Used by</t>
        </is>
      </c>
    </row>
    <row r="37" ht="14.5" customHeight="1" s="19">
      <c r="H37" t="inlineStr">
        <is>
          <t>TI-LTCG-QD-1250</t>
        </is>
      </c>
      <c r="I37" s="12">
        <f>J18-I31-I30-I33</f>
        <v/>
      </c>
      <c r="J37" s="12">
        <f>O18-J31-J30-J33</f>
        <v/>
      </c>
      <c r="K37" s="2" t="n"/>
    </row>
    <row r="38" ht="14.5" customHeight="1" s="19">
      <c r="H38" t="inlineStr">
        <is>
          <t>AGI+tax-exempt</t>
        </is>
      </c>
      <c r="I38" s="12">
        <f>J15+I29</f>
        <v/>
      </c>
      <c r="J38" s="12">
        <f>O15+J29</f>
        <v/>
      </c>
      <c r="K38" s="2" t="n"/>
    </row>
    <row r="39" ht="14.5" customHeight="1" s="19">
      <c r="H39" t="inlineStr">
        <is>
          <t>Net inv income</t>
        </is>
      </c>
      <c r="I39" s="12">
        <f>J8+J10+J11+I28</f>
        <v/>
      </c>
      <c r="J39" s="12">
        <f>O8+O10+O11+J28</f>
        <v/>
      </c>
      <c r="K39" s="2" t="n"/>
    </row>
    <row r="40" ht="14.5" customHeight="1" s="19">
      <c r="H40" t="inlineStr">
        <is>
          <t>QBI-eligible</t>
        </is>
      </c>
      <c r="I40" s="12">
        <f>I26+I27</f>
        <v/>
      </c>
      <c r="J40" s="12">
        <f>J26+J27</f>
        <v/>
      </c>
      <c r="K40" s="2" t="n"/>
    </row>
    <row r="41" ht="14.5" customHeight="1" s="19">
      <c r="H41" t="inlineStr">
        <is>
          <t>TI before QBI</t>
        </is>
      </c>
      <c r="I41" s="12">
        <f>J15+J16</f>
        <v/>
      </c>
      <c r="J41" s="12">
        <f>O15+O16</f>
        <v/>
      </c>
      <c r="K41" s="2" t="n"/>
    </row>
    <row r="42" ht="14.5" customHeight="1" s="19">
      <c r="H42" t="inlineStr">
        <is>
          <t>Net biz loss</t>
        </is>
      </c>
      <c r="I42" s="12">
        <f>MIN(0,I26+I27+I28)</f>
        <v/>
      </c>
      <c r="J42" s="12">
        <f>MIN(0,J26+J27+J28)</f>
        <v/>
      </c>
      <c r="K42" s="2" t="n"/>
    </row>
    <row r="43" ht="14.5" customHeight="1" s="19">
      <c r="H43" t="inlineStr">
        <is>
          <t>Net SE</t>
        </is>
      </c>
      <c r="I43" s="12">
        <f>I26</f>
        <v/>
      </c>
      <c r="J43" s="12">
        <f>J26</f>
        <v/>
      </c>
      <c r="K43" s="2" t="n"/>
    </row>
    <row r="44" ht="14.5" customHeight="1" s="19">
      <c r="I44" s="56" t="n"/>
      <c r="J44" s="56">
        <f>I44</f>
        <v/>
      </c>
      <c r="K44" s="2" t="n"/>
    </row>
    <row r="45" ht="14.5" customHeight="1" s="19">
      <c r="I45" s="70">
        <f>IF(Control_Panel!C21="Yes",TRUE,FALSE)</f>
        <v/>
      </c>
      <c r="J45" s="4">
        <f>I45</f>
        <v/>
      </c>
      <c r="K45" s="2" t="n"/>
    </row>
    <row r="46" ht="14.5" customHeight="1" s="19">
      <c r="I46" s="70">
        <f>Carryovers!F52</f>
        <v/>
      </c>
      <c r="J46" s="56">
        <f>I46</f>
        <v/>
      </c>
      <c r="K46" s="2" t="n"/>
    </row>
    <row r="47" ht="14.5" customHeight="1" s="19"/>
    <row r="48" ht="14.5" customHeight="1" s="19"/>
    <row r="49" ht="14.5" customHeight="1" s="19">
      <c r="H49" s="9" t="inlineStr">
        <is>
          <t>1z</t>
        </is>
      </c>
      <c r="K49" s="8">
        <f>HYPERLINK("#Master_Inputs!A1","✏ open Master_Inputs")</f>
        <v/>
      </c>
    </row>
    <row r="50" ht="14.5" customHeight="1" s="19"/>
    <row r="51" ht="29" customHeight="1" s="19">
      <c r="H51" s="3" t="n"/>
      <c r="I51" s="3" t="n"/>
      <c r="J51" s="3" t="n"/>
      <c r="K51" s="3" t="n"/>
      <c r="L51" s="3" t="n"/>
      <c r="M51" s="3" t="n"/>
      <c r="N51" s="3" t="n"/>
      <c r="O51" s="3" t="n"/>
    </row>
    <row r="52" ht="14.5" customHeight="1" s="19"/>
    <row r="53" ht="14.5" customHeight="1" s="19"/>
    <row r="54" ht="14.5" customHeight="1" s="19"/>
    <row r="55" ht="14.5" customHeight="1" s="19"/>
    <row r="56" ht="14.5" customHeight="1" s="19"/>
    <row r="57" ht="14.5" customHeight="1" s="19"/>
    <row r="58" ht="14.5" customHeight="1" s="19"/>
    <row r="59" ht="14.5" customHeight="1" s="19"/>
    <row r="60" ht="14.5" customHeight="1" s="19"/>
    <row r="61" ht="14.5" customHeight="1" s="19"/>
    <row r="62" ht="14.5" customHeight="1" s="19"/>
    <row r="63" ht="14.5" customHeight="1" s="19"/>
    <row r="64" ht="14.5" customHeight="1" s="19"/>
    <row r="65" ht="16" customHeight="1" s="19" thickBot="1">
      <c r="H65" s="101" t="inlineStr">
        <is>
          <t>▸ 7-COMPONENT TAX CALCULATOR</t>
        </is>
      </c>
      <c r="I65" s="49" t="inlineStr">
        <is>
          <t>Baseline</t>
        </is>
      </c>
      <c r="J65" s="49" t="inlineStr">
        <is>
          <t>Effective</t>
        </is>
      </c>
      <c r="K65" s="49" t="inlineStr">
        <is>
          <t>Δ Savings</t>
        </is>
      </c>
    </row>
    <row r="66" ht="14.5" customHeight="1" s="19">
      <c r="H66" t="inlineStr">
        <is>
          <t>Dual columns: Baseline (H) vs With Planning (I)</t>
        </is>
      </c>
    </row>
    <row r="67" ht="14.5" customHeight="1" s="19"/>
    <row r="68" ht="14.5" customHeight="1" s="19">
      <c r="H68" s="101" t="inlineStr">
        <is>
          <t>1. SELF-EMPLOYMENT TAX</t>
        </is>
      </c>
      <c r="I68" s="36" t="n"/>
      <c r="J68" s="36" t="n"/>
      <c r="K68" s="36" t="n"/>
    </row>
    <row r="69" ht="14.5" customHeight="1" s="19">
      <c r="H69" t="inlineStr">
        <is>
          <t>SE Tax Label</t>
        </is>
      </c>
      <c r="I69" s="20" t="n"/>
      <c r="J69" s="20" t="n"/>
      <c r="K69" s="20" t="n"/>
    </row>
    <row r="70" ht="14.5" customHeight="1" s="19">
      <c r="H70" t="inlineStr">
        <is>
          <t>Net SE Earnings</t>
        </is>
      </c>
      <c r="I70" s="12">
        <f>I43</f>
        <v/>
      </c>
      <c r="J70" s="12">
        <f>J43</f>
        <v/>
      </c>
      <c r="K70" s="12" t="n"/>
    </row>
    <row r="71" ht="14.5" customHeight="1" s="19">
      <c r="H71" t="inlineStr">
        <is>
          <t>SE Base (× 0.9235)</t>
        </is>
      </c>
      <c r="I71" s="20">
        <f>I70*SUMIFS(tblThresholds[Value], tblThresholds[Year], 2027, tblThresholds[FilingStatus], Filing_Status, tblThresholds[Item], "SE_Earnings_Factor")</f>
        <v/>
      </c>
      <c r="J71" s="20">
        <f>J70*SUMIFS(tblThresholds[Value], tblThresholds[Year], 2027, tblThresholds[FilingStatus], Filing_Status, tblThresholds[Item], "SE_Earnings_Factor")</f>
        <v/>
      </c>
      <c r="K71" s="20" t="n"/>
    </row>
    <row r="72" ht="14.5" customHeight="1" s="19">
      <c r="H72" t="inlineStr">
        <is>
          <t>W-2 Wages</t>
        </is>
      </c>
      <c r="I72" s="12">
        <f>I25</f>
        <v/>
      </c>
      <c r="J72" s="12">
        <f>J25</f>
        <v/>
      </c>
      <c r="K72" s="12" t="n"/>
    </row>
    <row r="73" ht="14.5" customHeight="1" s="19">
      <c r="H73" t="inlineStr">
        <is>
          <t>Remaining SS Wage Base</t>
        </is>
      </c>
      <c r="I73" s="12">
        <f>MAX(0,SUMIFS(tblThresholds[Value], tblThresholds[Year], 2027, tblThresholds[FilingStatus], Filing_Status, tblThresholds[Item], "SS_Wage_Base")-I72)</f>
        <v/>
      </c>
      <c r="J73" s="12">
        <f>MAX(0,SUMIFS(tblThresholds[Value], tblThresholds[Year], 2027, tblThresholds[FilingStatus], Filing_Status, tblThresholds[Item], "SS_Wage_Base")-J72)</f>
        <v/>
      </c>
      <c r="K73" s="12" t="n"/>
    </row>
    <row r="74" ht="14.5" customHeight="1" s="19">
      <c r="I74" s="39">
        <f>MIN(I71,I73)</f>
        <v/>
      </c>
      <c r="J74" s="39">
        <f>MIN(J71,J73)</f>
        <v/>
      </c>
      <c r="K74" s="39" t="n"/>
    </row>
    <row r="75" ht="14.5" customHeight="1" s="19">
      <c r="H75" t="inlineStr">
        <is>
          <t>Social Security Tax (12.4%)</t>
        </is>
      </c>
      <c r="I75" s="12">
        <f>I74*SUMIFS(tblThresholds[Value], tblThresholds[Year], 2027, tblThresholds[FilingStatus], Filing_Status, tblThresholds[Item], "SS_Rate_Combined")</f>
        <v/>
      </c>
      <c r="J75" s="12">
        <f>J74*SUMIFS(tblThresholds[Value], tblThresholds[Year], 2027, tblThresholds[FilingStatus], Filing_Status, tblThresholds[Item], "SS_Rate_Combined")</f>
        <v/>
      </c>
      <c r="K75" s="12" t="n"/>
    </row>
    <row r="76" ht="15.5" customHeight="1" s="19">
      <c r="H76" t="inlineStr">
        <is>
          <t>Medicare Tax (2.9%)</t>
        </is>
      </c>
      <c r="I76" s="52">
        <f>I71*SUMIFS(tblThresholds[Value], tblThresholds[Year], 2027, tblThresholds[FilingStatus], Filing_Status, tblThresholds[Item], "Medicare_Rate_Combined")</f>
        <v/>
      </c>
      <c r="J76" s="52">
        <f>J71*SUMIFS(tblThresholds[Value], tblThresholds[Year], 2027, tblThresholds[FilingStatus], Filing_Status, tblThresholds[Item], "Medicare_Rate_Combined")</f>
        <v/>
      </c>
      <c r="K76" s="52" t="n"/>
    </row>
    <row r="77" ht="14.5" customHeight="1" s="19">
      <c r="H77" t="inlineStr">
        <is>
          <t>Addl Medicare (0.9% &gt; threshold)</t>
        </is>
      </c>
      <c r="I77" s="12">
        <f>MAX(0,(I72+I71-SUMIFS(tblThresholds[Value],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J77" s="12">
        <f>MAX(0,(J72+J71-SUMIFS(tblThresholds[Value],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77" s="12" t="n"/>
    </row>
    <row r="78" ht="14.5" customHeight="1" s="19">
      <c r="I78" s="12">
        <f>-(I75+I76)/2</f>
        <v/>
      </c>
      <c r="J78" s="12">
        <f>-(J75+J76)/2</f>
        <v/>
      </c>
      <c r="K78" s="12" t="n"/>
    </row>
    <row r="79" ht="18.5" customHeight="1" s="19">
      <c r="I79" s="53" t="n"/>
      <c r="J79" s="12" t="n"/>
      <c r="K79" s="12" t="n"/>
    </row>
    <row r="80" ht="14.5" customHeight="1" s="19">
      <c r="H80" s="13" t="inlineStr">
        <is>
          <t>TOTAL SE TAX</t>
        </is>
      </c>
      <c r="I80" s="20">
        <f>I75+I76+I77</f>
        <v/>
      </c>
      <c r="J80" s="20">
        <f>J75+J76+J77</f>
        <v/>
      </c>
      <c r="K80" s="20">
        <f>I80-J80</f>
        <v/>
      </c>
    </row>
    <row r="81" ht="14.5" customHeight="1" s="19">
      <c r="I81" s="12" t="n"/>
      <c r="J81" s="12" t="n"/>
      <c r="K81" s="12" t="n"/>
    </row>
    <row r="82" ht="14.5" customHeight="1" s="19">
      <c r="H82" s="101" t="inlineStr">
        <is>
          <t>2. PAYROLL TAX</t>
        </is>
      </c>
      <c r="I82" s="20" t="n"/>
      <c r="J82" s="20" t="n"/>
      <c r="K82" s="20" t="n"/>
    </row>
    <row r="83" ht="14.5" customHeight="1" s="19">
      <c r="H83" t="inlineStr">
        <is>
          <t>W-2 Wages</t>
        </is>
      </c>
      <c r="I83" s="12">
        <f>I25</f>
        <v/>
      </c>
      <c r="J83" s="12">
        <f>J25</f>
        <v/>
      </c>
      <c r="K83" s="12" t="n"/>
    </row>
    <row r="84" ht="14.5" customHeight="1" s="19">
      <c r="H84" t="inlineStr">
        <is>
          <t>Social Security (6.2%)</t>
        </is>
      </c>
      <c r="I84" s="12">
        <f>MIN(I83,SUMIFS(tblThresholds[Value], tblThresholds[Year], 2027, tblThresholds[FilingStatus], Filing_Status, tblThresholds[Item], "SS_Wage_Base"))*0.062</f>
        <v/>
      </c>
      <c r="J84" s="12">
        <f>MIN(J83,SUMIFS(tblThresholds[Value], tblThresholds[Year], 2027, tblThresholds[FilingStatus], Filing_Status, tblThresholds[Item], "SS_Wage_Base"))*0.062</f>
        <v/>
      </c>
      <c r="K84" s="12" t="n"/>
    </row>
    <row r="85" ht="14.5" customHeight="1" s="19">
      <c r="H85" t="inlineStr">
        <is>
          <t>Medicare (1.45%)</t>
        </is>
      </c>
      <c r="I85" s="12">
        <f>I83*0.0145</f>
        <v/>
      </c>
      <c r="J85" s="12">
        <f>J83*0.0145</f>
        <v/>
      </c>
      <c r="K85" s="12" t="n"/>
    </row>
    <row r="86" ht="14.5" customHeight="1" s="19">
      <c r="H86" t="inlineStr">
        <is>
          <t>Addl Medicare (0.9% &gt; threshold)</t>
        </is>
      </c>
      <c r="I86" s="12">
        <f>MAX(0,(I83-SUMIFS(tblThresholds[Value],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J86" s="12">
        <f>MAX(0,(J83-SUMIFS(tblThresholds[Value],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86" s="12" t="n"/>
    </row>
    <row r="87" ht="14.5" customHeight="1" s="19">
      <c r="H87" s="13" t="inlineStr">
        <is>
          <t>TOTAL PAYROLL TAX</t>
        </is>
      </c>
      <c r="I87" s="20">
        <f>I84+I85+I86</f>
        <v/>
      </c>
      <c r="J87" s="20">
        <f>J84+J85+J86</f>
        <v/>
      </c>
      <c r="K87" s="20">
        <f>I87-J87</f>
        <v/>
      </c>
    </row>
    <row r="88" ht="14.5" customHeight="1" s="19">
      <c r="H88" s="13" t="inlineStr">
        <is>
          <t>Employer Social Security (6.2%)</t>
        </is>
      </c>
      <c r="I88" s="20">
        <f>I84</f>
        <v/>
      </c>
      <c r="J88" s="20">
        <f>J84</f>
        <v/>
      </c>
      <c r="K88" s="20">
        <f>I88-J88</f>
        <v/>
      </c>
    </row>
    <row r="89" ht="14.5" customHeight="1" s="19">
      <c r="H89" s="13" t="inlineStr">
        <is>
          <t>Employer Medicare (1.45%)</t>
        </is>
      </c>
      <c r="I89" s="20">
        <f>I85</f>
        <v/>
      </c>
      <c r="J89" s="20">
        <f>J85</f>
        <v/>
      </c>
      <c r="K89" s="20">
        <f>I89-J89</f>
        <v/>
      </c>
    </row>
    <row r="90" ht="14.5" customHeight="1" s="19">
      <c r="H90" s="13" t="n"/>
      <c r="I90" s="20" t="n"/>
      <c r="J90" s="20" t="n"/>
      <c r="K90" s="20" t="n"/>
    </row>
    <row r="91" ht="14.5" customHeight="1" s="19">
      <c r="H91" s="13" t="inlineStr">
        <is>
          <t>TOTAL PAYROLL TAX (Employee + Employer)</t>
        </is>
      </c>
      <c r="I91" s="20">
        <f>I87+I88+I89</f>
        <v/>
      </c>
      <c r="J91" s="20">
        <f>J87+J88+J89</f>
        <v/>
      </c>
      <c r="K91" s="20">
        <f>I91-J91</f>
        <v/>
      </c>
    </row>
    <row r="92" ht="14.5" customHeight="1" s="19">
      <c r="I92" s="12" t="n"/>
      <c r="J92" s="12" t="n"/>
      <c r="K92" s="12" t="n"/>
    </row>
    <row r="93" ht="14.5" customHeight="1" s="19">
      <c r="H93" s="101" t="inlineStr">
        <is>
          <t>3. ORDINARY INCOME TAX</t>
        </is>
      </c>
      <c r="I93" s="20" t="n"/>
      <c r="J93" s="20" t="n"/>
      <c r="K93" s="20" t="n"/>
    </row>
    <row r="94" ht="14.5" customHeight="1" s="19">
      <c r="H94" t="inlineStr">
        <is>
          <t>Taxable Income</t>
        </is>
      </c>
      <c r="I94" s="12">
        <f>I37</f>
        <v/>
      </c>
      <c r="J94" s="12">
        <f>J37</f>
        <v/>
      </c>
      <c r="K94" s="12" t="n"/>
    </row>
    <row r="95" ht="14.5" customHeight="1" s="19">
      <c r="H95" t="inlineStr">
        <is>
          <t>Ordinary Taxable (TI - LTCG - QD)</t>
        </is>
      </c>
      <c r="I95" s="12">
        <f>MAX(0,I94)</f>
        <v/>
      </c>
      <c r="J95" s="12">
        <f>MAX(0,J94)</f>
        <v/>
      </c>
      <c r="K95" s="12" t="n"/>
    </row>
    <row r="96" ht="14.5" customHeight="1" s="19">
      <c r="H96" t="inlineStr">
        <is>
          <t>Tax (SUMPRODUCT bracket lookup)</t>
        </is>
      </c>
      <c r="I96" s="12">
        <f t="array" ref="I96">SUMPRODUCT((tblBrackets_FIT[Year]=2027)*(tblBrackets_FIT[FilingStatus]=Filing_Status)*((I95&gt;tblBrackets_FIT[Upper])*(tblBrackets_FIT[Upper]-tblBrackets_FIT[Lower])+(I95&gt;tblBrackets_FIT[Lower])*(I95&lt;=tblBrackets_FIT[Upper])*(I95-tblBrackets_FIT[Lower]))*tblBrackets_FIT[Rate])</f>
        <v/>
      </c>
      <c r="J96" s="12">
        <f t="array" ref="J96">SUMPRODUCT((tblBrackets_FIT[Year]=2027)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2" t="n"/>
    </row>
    <row r="97" ht="14.5" customHeight="1" s="19">
      <c r="H97" s="13" t="inlineStr">
        <is>
          <t>TOTAL ORDINARY TAX</t>
        </is>
      </c>
      <c r="I97" s="20">
        <f>I96</f>
        <v/>
      </c>
      <c r="J97" s="20">
        <f>J96</f>
        <v/>
      </c>
      <c r="K97" s="20">
        <f>I97-J97</f>
        <v/>
      </c>
    </row>
    <row r="98" ht="14.5" customHeight="1" s="19">
      <c r="I98" s="12" t="n"/>
      <c r="J98" s="12" t="n"/>
      <c r="K98" s="12" t="n"/>
    </row>
    <row r="99" ht="14.5" customHeight="1" s="19">
      <c r="H99" s="101" t="inlineStr">
        <is>
          <t>4. CAPITAL GAINS / QUALIFIED DIVIDENDS TAX</t>
        </is>
      </c>
      <c r="I99" s="20" t="n"/>
      <c r="J99" s="20" t="n"/>
      <c r="K99" s="20" t="n"/>
    </row>
    <row r="100" ht="14.5" customHeight="1" s="19">
      <c r="H100" t="inlineStr">
        <is>
          <t>LTCG + Qualified Dividends</t>
        </is>
      </c>
      <c r="I100" s="12">
        <f>I31+I30</f>
        <v/>
      </c>
      <c r="J100" s="12">
        <f>J31+J30</f>
        <v/>
      </c>
      <c r="K100" s="12" t="n"/>
    </row>
    <row r="101" ht="14.5" customHeight="1" s="19">
      <c r="H101" t="inlineStr">
        <is>
          <t>Sec 1250 Recapture Gain</t>
        </is>
      </c>
      <c r="I101" s="12">
        <f>I33</f>
        <v/>
      </c>
      <c r="J101" s="12">
        <f>J33</f>
        <v/>
      </c>
      <c r="K101" s="12" t="n"/>
    </row>
    <row r="102" ht="14.5" customHeight="1" s="19">
      <c r="H102" t="inlineStr">
        <is>
          <t>Stacking Base (Ordinary TI for bracket floor)</t>
        </is>
      </c>
      <c r="I102" s="12">
        <f>I95</f>
        <v/>
      </c>
      <c r="J102" s="12">
        <f>J95</f>
        <v/>
      </c>
      <c r="K102" s="12" t="n"/>
    </row>
    <row r="103" ht="14.5" customHeight="1" s="19">
      <c r="H103" t="inlineStr">
        <is>
          <t>Full CG Rate Tax (SUMPRODUCT stack)</t>
        </is>
      </c>
      <c r="I103" s="12">
        <f t="array" ref="I103">SUMPRODUCT((Tax_Ref!$B$210:$B$281=2027)*(Tax_Ref!$C$210:$C$281=Filing_Status)*((I102+I100&gt;Tax_Ref!$E$210:$E$281)*(Tax_Ref!$E$210:$E$281-Tax_Ref!$D$210:$D$281)+(I102+I100&gt;Tax_Ref!$D$210:$D$281)*(I102+I100&lt;=Tax_Ref!$E$210:$E$281)*(I102+I100-Tax_Ref!$D$210:$D$281))*Tax_Ref!$F$210:$F$281)</f>
        <v/>
      </c>
      <c r="J103" s="12">
        <f t="array" ref="J103">SUMPRODUCT((Tax_Ref!$B$210:$B$281=2027)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2" t="n"/>
    </row>
    <row r="104" ht="14.5" customHeight="1" s="19">
      <c r="H104" t="inlineStr">
        <is>
          <t>CG Rate Tax on Ordinary only</t>
        </is>
      </c>
      <c r="I104" s="12">
        <f t="array" ref="I104">SUMPRODUCT((Tax_Ref!$B$210:$B$281=2027)*(Tax_Ref!$C$210:$C$281=Filing_Status)*((I102&gt;Tax_Ref!$E$210:$E$281)*(Tax_Ref!$E$210:$E$281-Tax_Ref!$D$210:$D$281)+(I102&gt;Tax_Ref!$D$210:$D$281)*(I102&lt;=Tax_Ref!$E$210:$E$281)*(I102-Tax_Ref!$D$210:$D$281))*Tax_Ref!$F$210:$F$281)</f>
        <v/>
      </c>
      <c r="J104" s="12">
        <f t="array" ref="J104">SUMPRODUCT((Tax_Ref!$B$210:$B$281=2027)*(Tax_Ref!$C$210:$C$281=Filing_Status)*((J102&gt;Tax_Ref!$E$210:$E$281)*(Tax_Ref!$E$210:$E$281-Tax_Ref!$D$210:$D$281)+(J102&gt;Tax_Ref!$D$210:$D$281)*(J102&lt;=Tax_Ref!$E$210:$E$281)*(J102-Tax_Ref!$D$210:$D$281))*Tax_Ref!$F$210:$F$281)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2" t="n"/>
    </row>
    <row r="105" ht="14.5" customHeight="1" s="19">
      <c r="H105" t="inlineStr">
        <is>
          <t>Net LTCG/QD Tax</t>
        </is>
      </c>
      <c r="I105" s="12">
        <f>I103-I104</f>
        <v/>
      </c>
      <c r="J105" s="12">
        <f>J103-J104</f>
        <v/>
      </c>
      <c r="K105" s="12" t="n"/>
    </row>
    <row r="106" ht="14.5" customHeight="1" s="19">
      <c r="I106" s="12">
        <f>I33*0.25</f>
        <v/>
      </c>
      <c r="J106" s="12">
        <f>J33*0.25</f>
        <v/>
      </c>
      <c r="K106" s="12" t="n"/>
    </row>
    <row r="107" ht="14.5" customHeight="1" s="19">
      <c r="H107" s="13" t="inlineStr">
        <is>
          <t>TOTAL CAP GAINS TAX</t>
        </is>
      </c>
      <c r="I107" s="20">
        <f>I105+I106</f>
        <v/>
      </c>
      <c r="J107" s="20">
        <f>J105+J106</f>
        <v/>
      </c>
      <c r="K107" s="20">
        <f>I107-J107</f>
        <v/>
      </c>
    </row>
    <row r="108" ht="14.5" customHeight="1" s="19">
      <c r="I108" s="12" t="n"/>
      <c r="J108" s="12" t="n"/>
      <c r="K108" s="12" t="n"/>
    </row>
    <row r="109" ht="14.5" customHeight="1" s="19">
      <c r="H109" s="101" t="inlineStr">
        <is>
          <t>5. NET INVESTMENT INCOME TAX (NIIT)</t>
        </is>
      </c>
      <c r="I109" s="20" t="n"/>
      <c r="J109" s="20" t="n"/>
      <c r="K109" s="20" t="n"/>
    </row>
    <row r="110" ht="14.5" customHeight="1" s="19">
      <c r="H110" t="inlineStr">
        <is>
          <t>MAGI</t>
        </is>
      </c>
      <c r="I110" s="12">
        <f>I38</f>
        <v/>
      </c>
      <c r="J110" s="12">
        <f>J38</f>
        <v/>
      </c>
      <c r="K110" s="12" t="n"/>
    </row>
    <row r="111" ht="14.5" customHeight="1" s="19">
      <c r="H111" t="inlineStr">
        <is>
          <t>NIIT Threshold</t>
        </is>
      </c>
      <c r="I111" s="12">
        <f>SUMIFS(tblThresholds[Value], tblThresholds[Year], 2027, tblThresholds[FilingStatus], Filing_Status, tblThresholds[Item], "NIIT_Threshold")</f>
        <v/>
      </c>
      <c r="J111" s="12">
        <f>SUMIFS(tblThresholds[Value], tblThresholds[Year], 2027, tblThresholds[FilingStatus], Filing_Status, tblThresholds[Item], "NIIT_Threshold")</f>
        <v/>
      </c>
      <c r="K111" s="12" t="n"/>
    </row>
    <row r="112" ht="14.5" customHeight="1" s="19">
      <c r="H112" t="inlineStr">
        <is>
          <t>Net Investment Income (NII)</t>
        </is>
      </c>
      <c r="I112" s="12">
        <f>MAX(0,I39)</f>
        <v/>
      </c>
      <c r="J112" s="12">
        <f>MAX(0,J39)</f>
        <v/>
      </c>
      <c r="K112" s="12" t="n"/>
    </row>
    <row r="113" ht="14.5" customHeight="1" s="19">
      <c r="H113" t="inlineStr">
        <is>
          <t>NIIT Base (lesser of NII or MAGI excess)</t>
        </is>
      </c>
      <c r="I113" s="12">
        <f>MAX(0,I110-I111)</f>
        <v/>
      </c>
      <c r="J113" s="12">
        <f>MAX(0,J110-J111)</f>
        <v/>
      </c>
      <c r="K113" s="12" t="n"/>
    </row>
    <row r="114" ht="14.5" customHeight="1" s="19">
      <c r="H114" s="13" t="inlineStr">
        <is>
          <t>NIIT (3.8%)</t>
        </is>
      </c>
      <c r="I114" s="20">
        <f>MIN(I112,I113)*SUMIFS(tblThresholds[Value], tblThresholds[Year], 2027, tblThresholds[FilingStatus], Filing_Status, tblThresholds[Item], "NIIT_Rate")</f>
        <v/>
      </c>
      <c r="J114" s="20">
        <f>MIN(J112,J113)*SUMIFS(tblThresholds[Value], tblThresholds[Year], 2027, tblThresholds[FilingStatus], Filing_Status, tblThresholds[Item], "NIIT_Rate")</f>
        <v/>
      </c>
      <c r="K114" s="20">
        <f>I114-J114</f>
        <v/>
      </c>
    </row>
    <row r="115" ht="14.5" customHeight="1" s="19">
      <c r="I115" s="12" t="n"/>
      <c r="J115" s="12" t="n"/>
      <c r="K115" s="12" t="n"/>
    </row>
    <row r="116" ht="14.5" customHeight="1" s="19">
      <c r="H116" s="101" t="inlineStr">
        <is>
          <t>6. QBI DEDUCTION (§199A)</t>
        </is>
      </c>
      <c r="I116" s="20" t="n"/>
      <c r="J116" s="20" t="n"/>
      <c r="K116" s="20" t="n"/>
    </row>
    <row r="117" ht="14.5" customHeight="1" s="19">
      <c r="H117" t="inlineStr">
        <is>
          <t>QBI-Eligible Income</t>
        </is>
      </c>
      <c r="I117" s="12">
        <f>I40</f>
        <v/>
      </c>
      <c r="J117" s="12">
        <f>J40</f>
        <v/>
      </c>
      <c r="K117" s="12" t="n"/>
    </row>
    <row r="118" ht="14.5" customHeight="1" s="19">
      <c r="H118" t="inlineStr">
        <is>
          <t>20% of QBI</t>
        </is>
      </c>
      <c r="I118" s="12">
        <f>MAX(0,I117)*0.2</f>
        <v/>
      </c>
      <c r="J118" s="12">
        <f>MAX(0,J117)*0.2</f>
        <v/>
      </c>
      <c r="K118" s="12" t="n"/>
    </row>
    <row r="119" ht="14.5" customHeight="1" s="19">
      <c r="H119" t="inlineStr">
        <is>
          <t>50% of W-2 Wages</t>
        </is>
      </c>
      <c r="I119" s="12">
        <f>MAX(0,I41)*0.2</f>
        <v/>
      </c>
      <c r="J119" s="12">
        <f>MAX(0,J41)*0.2</f>
        <v/>
      </c>
      <c r="K119" s="12" t="n"/>
    </row>
    <row r="120" ht="14.5" customHeight="1" s="19">
      <c r="H120" t="inlineStr">
        <is>
          <t>25% W-2 + 2.5% UBIA</t>
        </is>
      </c>
      <c r="I120" s="12">
        <f>MAX(I23*0.5, I23*0.25+I44*0.025)</f>
        <v/>
      </c>
      <c r="J120" s="12">
        <f>MAX(J23*0.5, J23*0.25+J44*0.025)</f>
        <v/>
      </c>
      <c r="K120" s="12" t="n"/>
    </row>
    <row r="121" ht="14.5" customHeight="1" s="19">
      <c r="H121" t="inlineStr">
        <is>
          <t>Phase-in applies?</t>
        </is>
      </c>
      <c r="I121" s="12">
        <f>IF(I41&gt;SUMIFS(tblThresholds[Value], tblThresholds[Year], 2027, tblThresholds[FilingStatus], Filing_Status, tblThresholds[Item], "QBI_Threshold_Start"),"YES","NO")</f>
        <v/>
      </c>
      <c r="J121" s="12">
        <f>IF(J41&gt;SUMIFS(tblThresholds[Value], tblThresholds[Year], 2027, tblThresholds[FilingStatus], Filing_Status, tblThresholds[Item], "QBI_Threshold_Start"),"YES","NO")</f>
        <v/>
      </c>
      <c r="K121" s="12" t="n"/>
    </row>
    <row r="122" ht="14.5" customHeight="1" s="19">
      <c r="H122" s="13" t="inlineStr">
        <is>
          <t>QBI DEDUCTION</t>
        </is>
      </c>
      <c r="I122" s="20">
        <f>IF(AND(I45=TRUE,I41&gt;SUMIFS(tblThresholds[Value], tblThresholds[Year], 2027, tblThresholds[FilingStatus], Filing_Status, tblThresholds[Item], "QBI_Threshold_End")),0,IF(I41&lt;=SUMIFS(tblThresholds[Value], tblThresholds[Year], 2027, tblThresholds[FilingStatus], Filing_Status, tblThresholds[Item], "QBI_Threshold_Start"),MIN(I118,I119),MIN(I118,I119,I120)))</f>
        <v/>
      </c>
      <c r="J122" s="20">
        <f>IF(AND(J45=TRUE,J41&gt;SUMIFS(tblThresholds[Value], tblThresholds[Year], 2027, tblThresholds[FilingStatus], Filing_Status, tblThresholds[Item], "QBI_Threshold_End")),0,IF(J41&lt;=SUMIFS(tblThresholds[Value], tblThresholds[Year], 2027, tblThresholds[FilingStatus], Filing_Status, tblThresholds[Item], "QBI_Threshold_Start"),MIN(J118,J119),MIN(J118,J119,J120)))</f>
        <v/>
      </c>
      <c r="K122" s="20">
        <f>J122-I122</f>
        <v/>
      </c>
    </row>
    <row r="123" ht="14.5" customHeight="1" s="19">
      <c r="I123" s="12" t="n"/>
      <c r="J123" s="12" t="n"/>
      <c r="K123" s="12" t="n"/>
    </row>
    <row r="124" ht="14.5" customHeight="1" s="19">
      <c r="H124" s="101" t="inlineStr">
        <is>
          <t>7. COMBINED TAX SUMMARY</t>
        </is>
      </c>
      <c r="I124" s="20" t="n"/>
      <c r="J124" s="20" t="n"/>
      <c r="K124" s="20" t="n"/>
    </row>
    <row r="125" ht="14.5" customHeight="1" s="19">
      <c r="H125" t="inlineStr">
        <is>
          <t>Total Income</t>
        </is>
      </c>
      <c r="I125" s="12">
        <f>J6+J8+J10+J11+J12</f>
        <v/>
      </c>
      <c r="J125" s="12">
        <f>O13</f>
        <v/>
      </c>
      <c r="K125" s="12" t="inlineStr">
        <is>
          <t>Δ Savings</t>
        </is>
      </c>
    </row>
    <row r="126" ht="14.5" customHeight="1" s="19">
      <c r="H126" t="inlineStr">
        <is>
          <t>Ordinary Tax</t>
        </is>
      </c>
      <c r="I126" s="12">
        <f>I97</f>
        <v/>
      </c>
      <c r="J126" s="12">
        <f>J97</f>
        <v/>
      </c>
      <c r="K126" s="12">
        <f>I126-J126</f>
        <v/>
      </c>
    </row>
    <row r="127" ht="14.5" customHeight="1" s="19">
      <c r="H127" t="inlineStr">
        <is>
          <t>Capital Gains Tax</t>
        </is>
      </c>
      <c r="I127" s="12">
        <f>I107</f>
        <v/>
      </c>
      <c r="J127" s="12">
        <f>J107</f>
        <v/>
      </c>
      <c r="K127" s="12">
        <f>I127-J127</f>
        <v/>
      </c>
    </row>
    <row r="128" ht="14.5" customHeight="1" s="19">
      <c r="H128" t="inlineStr">
        <is>
          <t>Self-Employment Tax</t>
        </is>
      </c>
      <c r="I128" s="12">
        <f>I80</f>
        <v/>
      </c>
      <c r="J128" s="12">
        <f>J80</f>
        <v/>
      </c>
      <c r="K128" s="12">
        <f>I128-J128</f>
        <v/>
      </c>
    </row>
    <row r="129" ht="14.5" customHeight="1" s="19">
      <c r="H129" t="inlineStr">
        <is>
          <t>Payroll Tax (Employee + Employer)</t>
        </is>
      </c>
      <c r="I129" s="12">
        <f>I91</f>
        <v/>
      </c>
      <c r="J129" s="12">
        <f>J91</f>
        <v/>
      </c>
      <c r="K129" s="12">
        <f>I129-J129</f>
        <v/>
      </c>
    </row>
    <row r="130" ht="14.5" customHeight="1" s="19">
      <c r="H130" t="inlineStr">
        <is>
          <t>NIIT</t>
        </is>
      </c>
      <c r="I130" s="12">
        <f>I114</f>
        <v/>
      </c>
      <c r="J130" s="12">
        <f>J114</f>
        <v/>
      </c>
      <c r="K130" s="12">
        <f>I130-J130</f>
        <v/>
      </c>
    </row>
    <row r="131" ht="14.5" customHeight="1" s="19">
      <c r="H131" t="inlineStr">
        <is>
          <t>Less: QBI Tax Benefit</t>
        </is>
      </c>
      <c r="I131" s="12">
        <f>-I122*0.24</f>
        <v/>
      </c>
      <c r="J131" s="12">
        <f>-J122*0.24</f>
        <v/>
      </c>
      <c r="K131" s="12">
        <f>I131-J131</f>
        <v/>
      </c>
    </row>
    <row r="132" ht="14.5" customHeight="1" s="19">
      <c r="I132" s="12" t="n"/>
      <c r="J132" s="12" t="n"/>
      <c r="K132" s="12" t="n"/>
    </row>
    <row r="133" ht="14.5" customHeight="1" s="19">
      <c r="H133" s="13" t="inlineStr">
        <is>
          <t>TOTAL COMBINED TAX</t>
        </is>
      </c>
      <c r="I133" s="20">
        <f>SUM(I126:I131)</f>
        <v/>
      </c>
      <c r="J133" s="20">
        <f>SUM(J126:J131)</f>
        <v/>
      </c>
      <c r="K133" s="20">
        <f>I133-J133</f>
        <v/>
      </c>
    </row>
    <row r="134" ht="14.5" customHeight="1" s="19">
      <c r="H134" t="inlineStr">
        <is>
          <t>Effective Rate (vs Total Income)</t>
        </is>
      </c>
      <c r="I134" s="57">
        <f>IFERROR(I133/I125,0)</f>
        <v/>
      </c>
      <c r="J134" s="57">
        <f>IFERROR(J133/J125,0)</f>
        <v/>
      </c>
      <c r="K134" s="57">
        <f>I134-J134</f>
        <v/>
      </c>
    </row>
    <row r="135" ht="14.5" customHeight="1" s="19">
      <c r="I135" s="12" t="n"/>
      <c r="J135" s="12" t="n"/>
      <c r="K135" s="12" t="n"/>
    </row>
    <row r="136" ht="14.5" customHeight="1" s="19">
      <c r="H136" s="13" t="inlineStr">
        <is>
          <t>TOTAL TAX SAVINGS FROM PLANNING:</t>
        </is>
      </c>
      <c r="I136" s="20">
        <f>K133</f>
        <v/>
      </c>
      <c r="J136" s="20" t="n"/>
      <c r="K136" s="20" t="n"/>
    </row>
  </sheetData>
  <dataValidations count="1">
    <dataValidation sqref="K6:K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P136"/>
  <sheetViews>
    <sheetView workbookViewId="0">
      <selection activeCell="L53" sqref="L53"/>
    </sheetView>
  </sheetViews>
  <sheetFormatPr baseColWidth="8" defaultRowHeight="14.5"/>
  <cols>
    <col width="12" customWidth="1" style="19" min="1" max="1"/>
    <col width="36" customWidth="1" style="19" min="2" max="2"/>
    <col width="12" customWidth="1" style="19" min="3" max="3"/>
    <col width="14" customWidth="1" style="19" min="4" max="5"/>
    <col width="32" customWidth="1" style="19" min="6" max="6"/>
    <col width="3" customWidth="1" style="19" min="7" max="7"/>
    <col width="36" customWidth="1" style="19" min="8" max="8"/>
    <col width="16" customWidth="1" style="19" min="9" max="9"/>
    <col width="6.36328125" customWidth="1" style="19" min="10" max="10"/>
    <col width="16" customWidth="1" style="19" min="11" max="11"/>
    <col width="14" customWidth="1" style="19" min="12" max="12"/>
    <col width="16" customWidth="1" style="19" min="13" max="13"/>
    <col width="9" customWidth="1" style="19" min="14" max="15"/>
  </cols>
  <sheetData>
    <row r="1" ht="18.5" customHeight="1" s="19">
      <c r="A1" s="17" t="inlineStr">
        <is>
          <t>Y2028 — standalone tax planning sandbox</t>
        </is>
      </c>
    </row>
    <row r="2" ht="14.5" customHeight="1" s="19">
      <c r="A2" s="90" t="inlineStr">
        <is>
          <t>Strategies: enter Amount + Status below. Committed strategies flow to rollup M column. Push to Master_Inputs when final.</t>
        </is>
      </c>
    </row>
    <row r="3" ht="14.5" customHeight="1" s="19"/>
    <row r="4" ht="14.5" customHeight="1" s="19">
      <c r="A4" s="101" t="inlineStr">
        <is>
          <t>▸ STRATEGIES</t>
        </is>
      </c>
    </row>
    <row r="5" ht="14.5" customHeight="1" s="1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s="3" t="inlineStr">
        <is>
          <t>Line</t>
        </is>
      </c>
      <c r="I5" s="3" t="inlineStr">
        <is>
          <t>Description</t>
        </is>
      </c>
      <c r="J5" s="3" t="inlineStr">
        <is>
          <t>Baseline (Master)</t>
        </is>
      </c>
      <c r="K5" s="54" t="inlineStr">
        <is>
          <t>PY?</t>
        </is>
      </c>
      <c r="L5" s="3" t="inlineStr">
        <is>
          <t>S1 Override</t>
        </is>
      </c>
      <c r="M5" s="3" t="inlineStr">
        <is>
          <t>Strategies</t>
        </is>
      </c>
      <c r="N5" s="3" t="inlineStr">
        <is>
          <t>Effective</t>
        </is>
      </c>
      <c r="O5" s="100" t="inlineStr">
        <is>
          <t>Eff w/ Strategies</t>
        </is>
      </c>
      <c r="P5" s="3" t="inlineStr">
        <is>
          <t>Drill</t>
        </is>
      </c>
    </row>
    <row r="6" ht="14.5" customHeight="1" s="19">
      <c r="A6" s="66" t="inlineStr">
        <is>
          <t>STR-001</t>
        </is>
      </c>
      <c r="B6" s="66" t="inlineStr">
        <is>
          <t>S-Corp Wage Optimization</t>
        </is>
      </c>
      <c r="C6" s="66" t="inlineStr">
        <is>
          <t>1z</t>
        </is>
      </c>
      <c r="D6" s="94" t="n"/>
      <c r="E6" s="66" t="n"/>
      <c r="F6" s="66" t="n"/>
      <c r="G6" s="66" t="n"/>
      <c r="H6" t="inlineStr">
        <is>
          <t>1z</t>
        </is>
      </c>
      <c r="I6" t="inlineStr">
        <is>
          <t>Wages</t>
        </is>
      </c>
      <c r="J6" s="12">
        <f>SUMIFS(tblMaster_Inputs[Baseline_Amount],tblMaster_Inputs[Year],2028,tblMaster_Inputs[Primary_Line],$H6, tblMaster_Inputs[Activity_Type], "Baseline")</f>
        <v/>
      </c>
      <c r="K6" s="55" t="n"/>
      <c r="L6" s="4" t="n"/>
      <c r="M6" s="12">
        <f>SUMIFS(tblY2028_Strategies[Amount],tblY2028_Strategies[TargetLine],$H6)-SUMIFS(tblY2028_Strategies[Amount],tblY2028_Strategies[CounterLine],$H6)</f>
        <v/>
      </c>
      <c r="N6" s="12">
        <f>IF(UPPER(K6)="Y",SUMIFS(tblMaster_Inputs[Baseline_Amount],tblMaster_Inputs[Year],2027,tblMaster_Inputs[Primary_Line],"1z"),IF(ISBLANK(L6),J6,L6))</f>
        <v/>
      </c>
      <c r="O6" s="12">
        <f>N6+M6</f>
        <v/>
      </c>
      <c r="P6" s="8">
        <f>HYPERLINK("#Y2028!I49","↗ drill")</f>
        <v/>
      </c>
    </row>
    <row r="7" ht="14.5" customHeight="1" s="19">
      <c r="A7" s="66" t="inlineStr">
        <is>
          <t>STR-002</t>
        </is>
      </c>
      <c r="B7" s="66" t="inlineStr">
        <is>
          <t>HSA Family Max</t>
        </is>
      </c>
      <c r="C7" s="66" t="n">
        <v>10</v>
      </c>
      <c r="D7" s="94" t="n"/>
      <c r="E7" s="66" t="n"/>
      <c r="F7" s="66" t="n"/>
      <c r="G7" s="66" t="n"/>
      <c r="H7" t="inlineStr">
        <is>
          <t>2a</t>
        </is>
      </c>
      <c r="I7" t="inlineStr">
        <is>
          <t>Tax-exempt interest</t>
        </is>
      </c>
      <c r="J7" s="12">
        <f>SUMIFS(tblMaster_Inputs[Helper_Amount],tblMaster_Inputs[Year],2028,tblMaster_Inputs[Helper_Treatment],"TAX_EXEMPT")</f>
        <v/>
      </c>
      <c r="K7" s="55" t="n"/>
      <c r="L7" s="4" t="n"/>
      <c r="M7">
        <f>SUMIFS(tblY2028_Strategies[Amount],tblY2028_Strategies[TargetLine],"2a",tblY2028_Strategies[Status],"Committed")</f>
        <v/>
      </c>
      <c r="N7" s="12">
        <f>IF(UPPER(K7)="Y",SUMIFS(tblMaster_Inputs[Helper_Amount],tblMaster_Inputs[Year],2027,tblMaster_Inputs[Helper_Treatment],"TAX_EXEMPT"),IF(ISBLANK(L7),J7,L7))</f>
        <v/>
      </c>
      <c r="O7" s="12">
        <f>N7</f>
        <v/>
      </c>
      <c r="P7" s="8">
        <f>HYPERLINK("#Y2028!I49","↗ drill")</f>
        <v/>
      </c>
    </row>
    <row r="8" ht="14.5" customHeight="1" s="19">
      <c r="A8" s="66" t="inlineStr">
        <is>
          <t>STR-003</t>
        </is>
      </c>
      <c r="B8" s="66" t="inlineStr">
        <is>
          <t>Charitable Bunching (DAF)</t>
        </is>
      </c>
      <c r="C8" s="66" t="n">
        <v>12</v>
      </c>
      <c r="D8" s="94" t="n"/>
      <c r="E8" s="66" t="n"/>
      <c r="F8" s="66" t="n"/>
      <c r="G8" s="66" t="n"/>
      <c r="H8" t="inlineStr">
        <is>
          <t>2b</t>
        </is>
      </c>
      <c r="I8" t="inlineStr">
        <is>
          <t>Taxable interest</t>
        </is>
      </c>
      <c r="J8" s="12">
        <f>SUMIFS(tblMaster_Inputs[Baseline_Amount],tblMaster_Inputs[Year],2028,tblMaster_Inputs[Primary_Line],$H8, tblMaster_Inputs[Activity_Type], "Baseline")</f>
        <v/>
      </c>
      <c r="K8" s="55" t="n"/>
      <c r="L8" s="4" t="n"/>
      <c r="M8" s="12">
        <f>SUMIFS(tblY2028_Strategies[Amount],tblY2028_Strategies[TargetLine],$H8)-SUMIFS(tblY2028_Strategies[Amount],tblY2028_Strategies[CounterLine],$H8)</f>
        <v/>
      </c>
      <c r="N8" s="12">
        <f>IF(UPPER(K8)="Y",SUMIFS(tblMaster_Inputs[Baseline_Amount],tblMaster_Inputs[Year],2027,tblMaster_Inputs[Primary_Line],"2b"),IF(ISBLANK(L8),J8,L8))</f>
        <v/>
      </c>
      <c r="O8" s="12">
        <f>N8+M8</f>
        <v/>
      </c>
      <c r="P8" s="8">
        <f>HYPERLINK("#Y2028!I49","↗ drill")</f>
        <v/>
      </c>
    </row>
    <row r="9" ht="14.5" customHeight="1" s="19">
      <c r="A9" s="66" t="inlineStr">
        <is>
          <t>STR-004</t>
        </is>
      </c>
      <c r="B9" s="66" t="inlineStr">
        <is>
          <t>SEP-IRA / Solo 401(k)</t>
        </is>
      </c>
      <c r="C9" s="66" t="n">
        <v>10</v>
      </c>
      <c r="D9" s="94" t="n"/>
      <c r="E9" s="66" t="n"/>
      <c r="F9" s="66" t="n"/>
      <c r="G9" s="66" t="n"/>
      <c r="H9" t="inlineStr">
        <is>
          <t>3a</t>
        </is>
      </c>
      <c r="I9" t="inlineStr">
        <is>
          <t>Qualified dividends</t>
        </is>
      </c>
      <c r="J9" s="12">
        <f>SUMIFS(tblMaster_Inputs[Helper_Amount],tblMaster_Inputs[Year],2028,tblMaster_Inputs[Helper_Treatment],"QUAL_DIV")</f>
        <v/>
      </c>
      <c r="K9" s="55" t="n"/>
      <c r="L9" s="4" t="n"/>
      <c r="M9">
        <f>SUMIFS(tblY2028_Strategies[Amount],tblY2028_Strategies[TargetLine],"3a",tblY2028_Strategies[Status],"Committed")</f>
        <v/>
      </c>
      <c r="N9" s="12">
        <f>IF(UPPER(K9)="Y",SUMIFS(tblMaster_Inputs[Helper_Amount],tblMaster_Inputs[Year],2027,tblMaster_Inputs[Helper_Treatment],"QUAL_DIV"),IF(ISBLANK(L9),J9,L9))</f>
        <v/>
      </c>
      <c r="O9" s="12">
        <f>N9</f>
        <v/>
      </c>
      <c r="P9" s="8">
        <f>HYPERLINK("#Y2028!I49","↗ drill")</f>
        <v/>
      </c>
    </row>
    <row r="10" ht="14.5" customHeight="1" s="19">
      <c r="A10" s="66" t="inlineStr">
        <is>
          <t>STR-005</t>
        </is>
      </c>
      <c r="B10" s="66" t="inlineStr">
        <is>
          <t>Cost Seg Study</t>
        </is>
      </c>
      <c r="C10" s="66" t="n">
        <v>8</v>
      </c>
      <c r="D10" s="94" t="n"/>
      <c r="E10" s="66" t="n"/>
      <c r="F10" s="66" t="n"/>
      <c r="G10" s="66" t="n"/>
      <c r="H10" t="inlineStr">
        <is>
          <t>3b</t>
        </is>
      </c>
      <c r="I10" t="inlineStr">
        <is>
          <t>Ordinary dividends</t>
        </is>
      </c>
      <c r="J10" s="12">
        <f>SUMIFS(tblMaster_Inputs[Baseline_Amount],tblMaster_Inputs[Year],2028,tblMaster_Inputs[Primary_Line],$H10, tblMaster_Inputs[Activity_Type], "Baseline")</f>
        <v/>
      </c>
      <c r="K10" s="55" t="n"/>
      <c r="L10" s="4" t="n"/>
      <c r="M10" s="12">
        <f>SUMIFS(tblY2028_Strategies[Amount],tblY2028_Strategies[TargetLine],$H10)-SUMIFS(tblY2028_Strategies[Amount],tblY2028_Strategies[CounterLine],$H10)</f>
        <v/>
      </c>
      <c r="N10" s="12">
        <f>IF(UPPER(K10)="Y",SUMIFS(tblMaster_Inputs[Baseline_Amount],tblMaster_Inputs[Year],2027,tblMaster_Inputs[Primary_Line],"3b"),IF(ISBLANK(L10),J10,L10))</f>
        <v/>
      </c>
      <c r="O10" s="12">
        <f>N10+M10</f>
        <v/>
      </c>
      <c r="P10" s="8">
        <f>HYPERLINK("#Y2028!I49","↗ drill")</f>
        <v/>
      </c>
    </row>
    <row r="11" ht="14.5" customHeight="1" s="19">
      <c r="A11" s="66" t="inlineStr">
        <is>
          <t>STR-006</t>
        </is>
      </c>
      <c r="B11" s="66" t="inlineStr">
        <is>
          <t>Roth Conversion</t>
        </is>
      </c>
      <c r="C11" s="66" t="inlineStr">
        <is>
          <t>1z</t>
        </is>
      </c>
      <c r="D11" s="94" t="n"/>
      <c r="E11" s="66" t="n"/>
      <c r="F11" s="66" t="n"/>
      <c r="G11" s="66" t="n"/>
      <c r="H11" t="n">
        <v>7</v>
      </c>
      <c r="I11" t="inlineStr">
        <is>
          <t>Capital gain/(loss)</t>
        </is>
      </c>
      <c r="J11" s="12">
        <f>SUMIFS(tblMaster_Inputs[Baseline_Amount],tblMaster_Inputs[Year],2028,tblMaster_Inputs[Primary_Line],$H11, tblMaster_Inputs[Activity_Type], "Baseline")</f>
        <v/>
      </c>
      <c r="K11" s="55" t="n"/>
      <c r="L11" s="4" t="n"/>
      <c r="M11" s="12">
        <f>SUMIFS(tblY2028_Strategies[Amount],tblY2028_Strategies[TargetLine],$H11)-SUMIFS(tblY2028_Strategies[Amount],tblY2028_Strategies[CounterLine],$H11)</f>
        <v/>
      </c>
      <c r="N11" s="12">
        <f>IF(UPPER(K11)="Y",SUMIFS(tblMaster_Inputs[Baseline_Amount],tblMaster_Inputs[Year],2027,tblMaster_Inputs[Primary_Line],"7"),IF(ISBLANK(L11),J11,L11))</f>
        <v/>
      </c>
      <c r="O11" s="12">
        <f>N11+M11</f>
        <v/>
      </c>
      <c r="P11" s="8">
        <f>HYPERLINK("#Y2028!I49","↗ drill")</f>
        <v/>
      </c>
    </row>
    <row r="12" ht="14.5" customHeight="1" s="19">
      <c r="A12" s="66" t="inlineStr">
        <is>
          <t>STR-007</t>
        </is>
      </c>
      <c r="B12" s="66" t="inlineStr">
        <is>
          <t>Augusta Rule (§280A)</t>
        </is>
      </c>
      <c r="C12" s="66" t="n">
        <v>8</v>
      </c>
      <c r="D12" s="94" t="n"/>
      <c r="E12" s="66" t="n"/>
      <c r="F12" s="66" t="n"/>
      <c r="G12" s="66" t="n"/>
      <c r="H12" t="n">
        <v>8</v>
      </c>
      <c r="I12" t="inlineStr">
        <is>
          <t>Other income (business)</t>
        </is>
      </c>
      <c r="J12" s="12">
        <f>SUMIFS(tblMaster_Inputs[Baseline_Amount],tblMaster_Inputs[Year],2028,tblMaster_Inputs[Primary_Line],$H12, tblMaster_Inputs[Activity_Type], "Baseline")</f>
        <v/>
      </c>
      <c r="K12" s="55" t="n"/>
      <c r="L12" s="4" t="n"/>
      <c r="M12" s="12">
        <f>SUMIFS(tblY2028_Strategies[Amount],tblY2028_Strategies[TargetLine],$H12)-SUMIFS(tblY2028_Strategies[Amount],tblY2028_Strategies[CounterLine],$H12)</f>
        <v/>
      </c>
      <c r="N12" s="12">
        <f>IF(UPPER(K12)="Y",SUMIFS(tblMaster_Inputs[Baseline_Amount],tblMaster_Inputs[Year],2027,tblMaster_Inputs[Primary_Line],"8"),IF(ISBLANK(L12),J12,L12))</f>
        <v/>
      </c>
      <c r="O12" s="12">
        <f>N12+M12</f>
        <v/>
      </c>
      <c r="P12" s="8">
        <f>HYPERLINK("#Y2028!I49","↗ drill")</f>
        <v/>
      </c>
    </row>
    <row r="13" ht="14.5" customHeight="1" s="19">
      <c r="A13" s="66" t="inlineStr">
        <is>
          <t>STR-008</t>
        </is>
      </c>
      <c r="B13" s="66" t="inlineStr">
        <is>
          <t>Accountable Plan</t>
        </is>
      </c>
      <c r="C13" s="66" t="n">
        <v>8</v>
      </c>
      <c r="D13" s="94" t="n"/>
      <c r="E13" s="66" t="n"/>
      <c r="F13" s="66" t="n"/>
      <c r="G13" s="66" t="n"/>
      <c r="H13" t="n">
        <v>9</v>
      </c>
      <c r="I13" t="inlineStr">
        <is>
          <t>TOTAL INCOME</t>
        </is>
      </c>
      <c r="J13" s="12">
        <f>J6+J8+J10+J11+J12</f>
        <v/>
      </c>
      <c r="K13" s="55" t="n"/>
      <c r="L13" s="4" t="n"/>
      <c r="M13" s="12">
        <f>M6+M8+M10+M11+M12</f>
        <v/>
      </c>
      <c r="N13" s="12">
        <f>N6+N8+N10+N11+N12</f>
        <v/>
      </c>
      <c r="O13" s="12">
        <f>O6+O8+O10+O11+O12</f>
        <v/>
      </c>
      <c r="P13" s="8">
        <f>HYPERLINK("#Y2028!I49","↗ drill")</f>
        <v/>
      </c>
    </row>
    <row r="14" ht="14.5" customHeight="1" s="19">
      <c r="A14" s="66" t="inlineStr">
        <is>
          <t>STR-009</t>
        </is>
      </c>
      <c r="B14" s="66" t="inlineStr">
        <is>
          <t>Hire Children</t>
        </is>
      </c>
      <c r="C14" s="66" t="n">
        <v>8</v>
      </c>
      <c r="D14" s="94" t="n"/>
      <c r="E14" s="66" t="n"/>
      <c r="F14" s="66" t="n"/>
      <c r="G14" s="66" t="n"/>
      <c r="H14" t="n">
        <v>10</v>
      </c>
      <c r="I14" t="inlineStr">
        <is>
          <t>Adjustments</t>
        </is>
      </c>
      <c r="J14" s="12">
        <f>SUMIFS(tblMaster_Inputs[Baseline_Amount],tblMaster_Inputs[Year],2028,tblMaster_Inputs[Primary_Line],$H14, tblMaster_Inputs[Activity_Type], "Baseline")</f>
        <v/>
      </c>
      <c r="K14" s="55" t="n"/>
      <c r="L14" s="4" t="n"/>
      <c r="M14" s="12">
        <f>SUMIFS(tblY2028_Strategies[Amount],tblY2028_Strategies[TargetLine],$H14)-SUMIFS(tblY2028_Strategies[Amount],tblY2028_Strategies[CounterLine],$H14)</f>
        <v/>
      </c>
      <c r="N14" s="12">
        <f>IF(UPPER(K14)="Y",SUMIFS(tblMaster_Inputs[Baseline_Amount],tblMaster_Inputs[Year],2027,tblMaster_Inputs[Primary_Line],"10"),IF(ISBLANK(L14),J14,L14))</f>
        <v/>
      </c>
      <c r="O14" s="12">
        <f>N14+M14</f>
        <v/>
      </c>
      <c r="P14" s="8">
        <f>HYPERLINK("#Y2028!I49","↗ drill")</f>
        <v/>
      </c>
    </row>
    <row r="15" ht="14.5" customHeight="1" s="19">
      <c r="A15" s="66" t="inlineStr">
        <is>
          <t>STR-010</t>
        </is>
      </c>
      <c r="B15" s="66" t="inlineStr">
        <is>
          <t>Entity Restructuring</t>
        </is>
      </c>
      <c r="C15" s="66" t="n">
        <v>8</v>
      </c>
      <c r="D15" s="94" t="n"/>
      <c r="E15" s="66" t="n"/>
      <c r="F15" s="66" t="n"/>
      <c r="G15" s="66" t="n"/>
      <c r="H15" t="n">
        <v>11</v>
      </c>
      <c r="I15" t="inlineStr">
        <is>
          <t>AGI</t>
        </is>
      </c>
      <c r="J15" s="12">
        <f>J13+J14</f>
        <v/>
      </c>
      <c r="K15" s="55" t="n"/>
      <c r="L15" s="4" t="n"/>
      <c r="M15" s="12">
        <f>M13+M14</f>
        <v/>
      </c>
      <c r="N15" s="12">
        <f>N13+N14</f>
        <v/>
      </c>
      <c r="O15" s="12">
        <f>O13+O14</f>
        <v/>
      </c>
      <c r="P15" s="8">
        <f>HYPERLINK("#Y2028!I49","↗ drill")</f>
        <v/>
      </c>
    </row>
    <row r="16" ht="14.5" customHeight="1" s="19">
      <c r="A16" s="66" t="inlineStr">
        <is>
          <t>STR-011</t>
        </is>
      </c>
      <c r="B16" s="66" t="inlineStr">
        <is>
          <t>Installment Sale / 1031</t>
        </is>
      </c>
      <c r="C16" s="66" t="n">
        <v>7</v>
      </c>
      <c r="D16" s="94" t="n"/>
      <c r="E16" s="66" t="n"/>
      <c r="F16" s="66" t="n"/>
      <c r="G16" s="66" t="n"/>
      <c r="H16" t="n">
        <v>12</v>
      </c>
      <c r="I16" t="inlineStr">
        <is>
          <t>Std/Itemized ded</t>
        </is>
      </c>
      <c r="J16" s="12">
        <f>SUMIFS(tblMaster_Inputs[Baseline_Amount],tblMaster_Inputs[Year],2028,tblMaster_Inputs[Primary_Line],$H16, tblMaster_Inputs[Activity_Type], "Baseline")</f>
        <v/>
      </c>
      <c r="K16" s="55" t="n"/>
      <c r="L16" s="4" t="n"/>
      <c r="M16" s="12">
        <f>SUMIFS(tblY2028_Strategies[Amount],tblY2028_Strategies[TargetLine],$H16)-SUMIFS(tblY2028_Strategies[Amount],tblY2028_Strategies[CounterLine],$H16)</f>
        <v/>
      </c>
      <c r="N16" s="12">
        <f>IF(UPPER(K16)="Y",SUMIFS(tblMaster_Inputs[Baseline_Amount],tblMaster_Inputs[Year],2027,tblMaster_Inputs[Primary_Line],"12"),IF(ISBLANK(L16),J16,L16))</f>
        <v/>
      </c>
      <c r="O16" s="12">
        <f>N16+M16</f>
        <v/>
      </c>
      <c r="P16" s="8">
        <f>HYPERLINK("#Y2028!I49","↗ drill")</f>
        <v/>
      </c>
    </row>
    <row r="17" ht="14.5" customHeight="1" s="19">
      <c r="A17" s="66" t="inlineStr">
        <is>
          <t>STR-012</t>
        </is>
      </c>
      <c r="B17" s="66" t="inlineStr">
        <is>
          <t>Bonus Depreciation §168(k)</t>
        </is>
      </c>
      <c r="C17" s="66" t="n">
        <v>8</v>
      </c>
      <c r="D17" s="94" t="n"/>
      <c r="E17" s="66" t="n"/>
      <c r="F17" s="66" t="n"/>
      <c r="G17" s="66" t="n"/>
      <c r="H17" t="n">
        <v>13</v>
      </c>
      <c r="I17" t="inlineStr">
        <is>
          <t>QBI deduction</t>
        </is>
      </c>
      <c r="J17" s="12">
        <f>SUMIFS(tblMaster_Inputs[Baseline_Amount],tblMaster_Inputs[Year],2028,tblMaster_Inputs[Primary_Line],$H17, tblMaster_Inputs[Activity_Type], "Baseline")</f>
        <v/>
      </c>
      <c r="K17" s="55" t="n"/>
      <c r="L17" s="4" t="n"/>
      <c r="M17" s="12">
        <f>SUMIFS(tblY2028_Strategies[Amount],tblY2028_Strategies[TargetLine],$H17)-SUMIFS(tblY2028_Strategies[Amount],tblY2028_Strategies[CounterLine],$H17)</f>
        <v/>
      </c>
      <c r="N17" s="12">
        <f>IF(UPPER(K17)="Y",SUMIFS(tblMaster_Inputs[Baseline_Amount],tblMaster_Inputs[Year],2027,tblMaster_Inputs[Primary_Line],"13"),IF(ISBLANK(L17),J17,L17))</f>
        <v/>
      </c>
      <c r="O17" s="12">
        <f>N17+M17</f>
        <v/>
      </c>
      <c r="P17" s="8">
        <f>HYPERLINK("#Y2028!I49","↗ drill")</f>
        <v/>
      </c>
    </row>
    <row r="18" ht="14.5" customHeight="1" s="19">
      <c r="A18" s="66" t="inlineStr">
        <is>
          <t>STR-013</t>
        </is>
      </c>
      <c r="B18" s="66" t="inlineStr">
        <is>
          <t>R&amp;D Credit §41</t>
        </is>
      </c>
      <c r="C18" s="66" t="n">
        <v>13</v>
      </c>
      <c r="D18" s="94" t="n"/>
      <c r="E18" s="66" t="n"/>
      <c r="F18" s="66" t="n"/>
      <c r="G18" s="66" t="n"/>
      <c r="H18" t="n">
        <v>15</v>
      </c>
      <c r="I18" t="inlineStr">
        <is>
          <t>TAXABLE INCOME</t>
        </is>
      </c>
      <c r="J18" s="12">
        <f>J15+J16+J17</f>
        <v/>
      </c>
      <c r="K18" s="55" t="n"/>
      <c r="L18" s="4" t="n"/>
      <c r="M18" s="12">
        <f>M15+M16+M17</f>
        <v/>
      </c>
      <c r="N18" s="12">
        <f>N15+N16+N17</f>
        <v/>
      </c>
      <c r="O18" s="12">
        <f>O15+O16+O17</f>
        <v/>
      </c>
      <c r="P18" s="8">
        <f>HYPERLINK("#Y2028!I49","↗ drill")</f>
        <v/>
      </c>
    </row>
    <row r="19" ht="14.5" customHeight="1" s="19">
      <c r="A19" s="66" t="inlineStr">
        <is>
          <t>STR-014</t>
        </is>
      </c>
      <c r="B19" s="66" t="inlineStr">
        <is>
          <t>SALT PTE Election</t>
        </is>
      </c>
      <c r="C19" s="66" t="n">
        <v>12</v>
      </c>
      <c r="D19" s="94" t="n"/>
      <c r="E19" s="66" t="n"/>
      <c r="F19" s="66" t="n"/>
      <c r="G19" s="66" t="n"/>
    </row>
    <row r="20" ht="14.5" customHeight="1" s="19">
      <c r="A20" s="66" t="inlineStr">
        <is>
          <t>STR-015</t>
        </is>
      </c>
      <c r="B20" s="66" t="inlineStr">
        <is>
          <t>Timing / Deferral</t>
        </is>
      </c>
      <c r="C20" s="66" t="n">
        <v>8</v>
      </c>
      <c r="D20" s="94" t="n"/>
      <c r="E20" s="66" t="n"/>
      <c r="F20" s="66" t="n"/>
      <c r="G20" s="66" t="n"/>
    </row>
    <row r="21" ht="14.5" customHeight="1" s="19"/>
    <row r="22" ht="29" customHeight="1" s="19">
      <c r="A22" s="101" t="inlineStr">
        <is>
          <t>▸ TAX IMPACT SUMMARY</t>
        </is>
      </c>
      <c r="H22" s="3" t="inlineStr">
        <is>
          <t>Description</t>
        </is>
      </c>
      <c r="I22" s="3" t="inlineStr">
        <is>
          <t>Amount</t>
        </is>
      </c>
      <c r="J22" s="3" t="inlineStr">
        <is>
          <t>Effective</t>
        </is>
      </c>
      <c r="K22" s="3" t="inlineStr">
        <is>
          <t>Used by</t>
        </is>
      </c>
    </row>
    <row r="23" ht="14.5" customHeight="1" s="19">
      <c r="A23" s="93" t="inlineStr">
        <is>
          <t>Metric</t>
        </is>
      </c>
      <c r="B23" s="93" t="inlineStr">
        <is>
          <t>Baseline</t>
        </is>
      </c>
      <c r="C23" s="93" t="inlineStr">
        <is>
          <t>Effective</t>
        </is>
      </c>
      <c r="D23" s="93" t="inlineStr">
        <is>
          <t>Eff w/ Strat</t>
        </is>
      </c>
      <c r="E23" s="93" t="inlineStr">
        <is>
          <t>Savings</t>
        </is>
      </c>
      <c r="H23" t="inlineStr">
        <is>
          <t>Owner W-2</t>
        </is>
      </c>
      <c r="I23" s="12">
        <f>SUMIFS(tblMaster_Inputs[Baseline_Amount],tblMaster_Inputs[Year],2028,tblMaster_Inputs[Treatment_Profile],"W2_SCorpOwner", tblMaster_Inputs[Activity_Type], "Baseline")</f>
        <v/>
      </c>
      <c r="J23" s="12">
        <f>I23+SUMIFS(tblY2028_Strategies[Amount],tblY2028_Strategies[TargetLine],"1z")-SUMIFS(tblY2028_Strategies[Amount],tblY2028_Strategies[CounterLine],"1z")</f>
        <v/>
      </c>
      <c r="K23" s="2" t="n"/>
    </row>
    <row r="24" ht="14.5" customHeight="1" s="19">
      <c r="A24" t="inlineStr">
        <is>
          <t>Total Income</t>
        </is>
      </c>
      <c r="B24" s="95">
        <f>J13</f>
        <v/>
      </c>
      <c r="C24" s="95">
        <f>N13</f>
        <v/>
      </c>
      <c r="D24" s="95">
        <f>O13</f>
        <v/>
      </c>
      <c r="E24" s="95">
        <f>B24-D24</f>
        <v/>
      </c>
      <c r="H24" t="inlineStr">
        <is>
          <t>Third-party W-2</t>
        </is>
      </c>
      <c r="I24" s="12">
        <f>SUMIFS(tblMaster_Inputs[Baseline_Amount],tblMaster_Inputs[Year],2028,tblMaster_Inputs[Treatment_Profile],"W2_Employee", tblMaster_Inputs[Activity_Type], "Baseline")</f>
        <v/>
      </c>
      <c r="J24" s="12">
        <f>I24</f>
        <v/>
      </c>
      <c r="K24" s="2" t="n"/>
    </row>
    <row r="25" ht="14.5" customHeight="1" s="19">
      <c r="A25" t="inlineStr">
        <is>
          <t>Taxable Income</t>
        </is>
      </c>
      <c r="B25" s="95">
        <f>J18</f>
        <v/>
      </c>
      <c r="C25" s="95">
        <f>N18</f>
        <v/>
      </c>
      <c r="D25" s="95">
        <f>O18</f>
        <v/>
      </c>
      <c r="E25" s="95">
        <f>B25-D25</f>
        <v/>
      </c>
      <c r="H25" t="inlineStr">
        <is>
          <t>Total W-2</t>
        </is>
      </c>
      <c r="I25" s="12">
        <f>I23+I24</f>
        <v/>
      </c>
      <c r="J25" s="12">
        <f>J23+J24</f>
        <v/>
      </c>
      <c r="K25" s="2" t="n"/>
    </row>
    <row r="26" ht="14.5" customHeight="1" s="19">
      <c r="A26" s="13" t="inlineStr">
        <is>
          <t>Total Tax</t>
        </is>
      </c>
      <c r="B26" s="96">
        <f>I133</f>
        <v/>
      </c>
      <c r="C26" s="96">
        <f>I133</f>
        <v/>
      </c>
      <c r="D26" s="96">
        <f>J133</f>
        <v/>
      </c>
      <c r="E26" s="95">
        <f>B26-D26</f>
        <v/>
      </c>
      <c r="H26" t="inlineStr">
        <is>
          <t>SE business</t>
        </is>
      </c>
      <c r="I26" s="12">
        <f>SUMIFS(tblMaster_Inputs[Baseline_Amount],tblMaster_Inputs[Year],2028,tblMaster_Inputs[Bucket],"Business Income",tblMaster_Inputs[SE_Subject],"Yes", tblMaster_Inputs[Activity_Type], "Baseline")</f>
        <v/>
      </c>
      <c r="J26" s="12">
        <f>I26</f>
        <v/>
      </c>
      <c r="K26" s="2" t="n"/>
    </row>
    <row r="27" ht="14.5" customHeight="1" s="19">
      <c r="A27" t="inlineStr">
        <is>
          <t>Effective Rate</t>
        </is>
      </c>
      <c r="B27" s="97">
        <f>I134</f>
        <v/>
      </c>
      <c r="C27" s="97">
        <f>I134</f>
        <v/>
      </c>
      <c r="D27" s="97">
        <f>J134</f>
        <v/>
      </c>
      <c r="E27" s="97">
        <f>B27-D27</f>
        <v/>
      </c>
      <c r="H27" t="inlineStr">
        <is>
          <t>Active non-SE</t>
        </is>
      </c>
      <c r="I27" s="12">
        <f>SUMIFS(tblMaster_Inputs[Baseline_Amount],tblMaster_Inputs[Year],2028,tblMaster_Inputs[Bucket],"Business Income",tblMaster_Inputs[SE_Subject],"No",tblMaster_Inputs[NIIT_Class],"Active", tblMaster_Inputs[Activity_Type], "Baseline")</f>
        <v/>
      </c>
      <c r="J27" s="12">
        <f>I27+SUMIFS(tblY2028_Strategies[Amount],tblY2028_Strategies[TargetLine],"8")-SUMIFS(tblY2028_Strategies[Amount],tblY2028_Strategies[CounterLine],"8")</f>
        <v/>
      </c>
      <c r="K27" s="2" t="n"/>
    </row>
    <row r="28" ht="14.5" customHeight="1" s="19">
      <c r="A28" t="inlineStr">
        <is>
          <t>Committed Strategies</t>
        </is>
      </c>
      <c r="B28" s="98">
        <f>COUNTIF(tblY2028_Strategies[Status],"Committed")</f>
        <v/>
      </c>
      <c r="C28" s="98" t="inlineStr">
        <is>
          <t>Net Strategy Impact</t>
        </is>
      </c>
      <c r="D28" s="95">
        <f>SUMIF(tblY2028_Strategies[Status],"Committed",tblY2028_Strategies[Amount])</f>
        <v/>
      </c>
      <c r="E28" s="98" t="n"/>
      <c r="H28" t="inlineStr">
        <is>
          <t>Passive business</t>
        </is>
      </c>
      <c r="I28" s="12">
        <f>SUMIFS(tblMaster_Inputs[Baseline_Amount],tblMaster_Inputs[Year],2028,tblMaster_Inputs[Bucket],"Business Income",tblMaster_Inputs[NIIT_Class],"Passive", tblMaster_Inputs[Activity_Type], "Baseline")</f>
        <v/>
      </c>
      <c r="J28" s="12">
        <f>I28</f>
        <v/>
      </c>
      <c r="K28" s="2" t="n"/>
    </row>
    <row r="29" ht="14.5" customHeight="1" s="19">
      <c r="H29" t="inlineStr">
        <is>
          <t>Tax-exempt int</t>
        </is>
      </c>
      <c r="I29" s="12">
        <f>SUMIFS(tblMaster_Inputs[Helper_Amount],tblMaster_Inputs[Year],2028,tblMaster_Inputs[Helper_Treatment],"TAX_EXEMPT")</f>
        <v/>
      </c>
      <c r="J29" s="12">
        <f>I29+SUMIFS(tblY2028_Strategies[Amount],tblY2028_Strategies[TargetLine],"2a")-SUMIFS(tblY2028_Strategies[Amount],tblY2028_Strategies[CounterLine],"2a")</f>
        <v/>
      </c>
      <c r="K29" s="2" t="n"/>
    </row>
    <row r="30" ht="14.5" customHeight="1" s="19">
      <c r="H30" t="inlineStr">
        <is>
          <t>Qualified div</t>
        </is>
      </c>
      <c r="I30" s="12">
        <f>SUMIFS(tblMaster_Inputs[Helper_Amount],tblMaster_Inputs[Year],2028,tblMaster_Inputs[Helper_Treatment],"QUAL_DIV", tblMaster_Inputs[Activity_Type], "Baseline")</f>
        <v/>
      </c>
      <c r="J30" s="12">
        <f>I30</f>
        <v/>
      </c>
      <c r="K30" s="2" t="n"/>
    </row>
    <row r="31" ht="14.5" customHeight="1" s="19">
      <c r="H31" t="inlineStr">
        <is>
          <t>LT cap gains</t>
        </is>
      </c>
      <c r="I31" s="12">
        <f>SUMIFS(tblMaster_Inputs[Baseline_Amount],tblMaster_Inputs[Year],2028,tblMaster_Inputs[Treatment_Profile],"LTCG_Stock")+SUMIFS(tblMaster_Inputs[Baseline_Amount],tblMaster_Inputs[Year],2028,tblMaster_Inputs[Treatment_Profile],"LTCG_RE")+SUMIFS(tblMaster_Inputs[Baseline_Amount],tblMaster_Inputs[Year],2028,tblMaster_Inputs[Treatment_Profile],"LTCG_K1_Passthrough")+SUMIFS(tblMaster_Inputs[Baseline_Amount],tblMaster_Inputs[Year],2028,tblMaster_Inputs[Treatment_Profile],"Sec1250_Recap", tblMaster_Inputs[Activity_Type], "Baseline")</f>
        <v/>
      </c>
      <c r="J31" s="12">
        <f>I31+SUMIFS(tblY2028_Strategies[Amount],tblY2028_Strategies[TargetLine],"7")-SUMIFS(tblY2028_Strategies[Amount],tblY2028_Strategies[CounterLine],"7")</f>
        <v/>
      </c>
      <c r="K31" s="2" t="n"/>
    </row>
    <row r="32" ht="14.5" customHeight="1" s="19">
      <c r="H32" t="inlineStr">
        <is>
          <t>ST cap gains</t>
        </is>
      </c>
      <c r="I32" s="12">
        <f>SUMIFS(tblMaster_Inputs[Baseline_Amount],tblMaster_Inputs[Year],2028,tblMaster_Inputs[Treatment_Profile],"STCG_Stock", tblMaster_Inputs[Activity_Type], "Baseline")</f>
        <v/>
      </c>
      <c r="J32" s="12">
        <f>I32</f>
        <v/>
      </c>
      <c r="K32" s="2" t="n"/>
    </row>
    <row r="33" ht="14.5" customHeight="1" s="19">
      <c r="H33" t="inlineStr">
        <is>
          <t>§1250 gain</t>
        </is>
      </c>
      <c r="I33" s="12">
        <f>SUMIFS(tblMaster_Inputs[Helper_Amount],tblMaster_Inputs[Year],2028,tblMaster_Inputs[Helper_Treatment],"SEC1250", tblMaster_Inputs[Activity_Type], "Baseline")</f>
        <v/>
      </c>
      <c r="J33" s="12">
        <f>I33</f>
        <v/>
      </c>
      <c r="K33" s="2" t="n"/>
    </row>
    <row r="34" ht="14.5" customHeight="1" s="19"/>
    <row r="35" ht="14.5" customHeight="1" s="19"/>
    <row r="36" ht="29" customHeight="1" s="19">
      <c r="H36" s="3" t="inlineStr">
        <is>
          <t>Description</t>
        </is>
      </c>
      <c r="I36" s="3" t="inlineStr">
        <is>
          <t>Value</t>
        </is>
      </c>
      <c r="J36" s="3" t="inlineStr">
        <is>
          <t>Effective</t>
        </is>
      </c>
      <c r="K36" s="3" t="inlineStr">
        <is>
          <t>Used by</t>
        </is>
      </c>
    </row>
    <row r="37" ht="14.5" customHeight="1" s="19">
      <c r="H37" t="inlineStr">
        <is>
          <t>TI-LTCG-QD-1250</t>
        </is>
      </c>
      <c r="I37" s="12">
        <f>J18-I31-I30-I33</f>
        <v/>
      </c>
      <c r="J37" s="12">
        <f>O18-J31-J30-J33</f>
        <v/>
      </c>
      <c r="K37" s="2" t="n"/>
    </row>
    <row r="38" ht="14.5" customHeight="1" s="19">
      <c r="H38" t="inlineStr">
        <is>
          <t>AGI+tax-exempt</t>
        </is>
      </c>
      <c r="I38" s="12">
        <f>J15+I29</f>
        <v/>
      </c>
      <c r="J38" s="12">
        <f>O15+J29</f>
        <v/>
      </c>
      <c r="K38" s="2" t="n"/>
    </row>
    <row r="39" ht="14.5" customHeight="1" s="19">
      <c r="H39" t="inlineStr">
        <is>
          <t>Net inv income</t>
        </is>
      </c>
      <c r="I39" s="12">
        <f>J8+J10+J11+I28</f>
        <v/>
      </c>
      <c r="J39" s="12">
        <f>O8+O10+O11+J28</f>
        <v/>
      </c>
      <c r="K39" s="2" t="n"/>
    </row>
    <row r="40" ht="14.5" customHeight="1" s="19">
      <c r="H40" t="inlineStr">
        <is>
          <t>QBI-eligible</t>
        </is>
      </c>
      <c r="I40" s="12">
        <f>I26+I27</f>
        <v/>
      </c>
      <c r="J40" s="12">
        <f>J26+J27</f>
        <v/>
      </c>
      <c r="K40" s="2" t="n"/>
    </row>
    <row r="41" ht="14.5" customHeight="1" s="19">
      <c r="H41" t="inlineStr">
        <is>
          <t>TI before QBI</t>
        </is>
      </c>
      <c r="I41" s="12">
        <f>J15+J16</f>
        <v/>
      </c>
      <c r="J41" s="12">
        <f>O15+O16</f>
        <v/>
      </c>
      <c r="K41" s="2" t="n"/>
    </row>
    <row r="42" ht="14.5" customHeight="1" s="19">
      <c r="H42" t="inlineStr">
        <is>
          <t>Net biz loss</t>
        </is>
      </c>
      <c r="I42" s="12">
        <f>MIN(0,I26+I27+I28)</f>
        <v/>
      </c>
      <c r="J42" s="12">
        <f>MIN(0,J26+J27+J28)</f>
        <v/>
      </c>
      <c r="K42" s="2" t="n"/>
    </row>
    <row r="43" ht="14.5" customHeight="1" s="19">
      <c r="H43" t="inlineStr">
        <is>
          <t>Net SE</t>
        </is>
      </c>
      <c r="I43" s="12">
        <f>I26</f>
        <v/>
      </c>
      <c r="J43" s="12">
        <f>J26</f>
        <v/>
      </c>
      <c r="K43" s="2" t="n"/>
    </row>
    <row r="44" ht="14.5" customHeight="1" s="19">
      <c r="I44" s="56" t="n"/>
      <c r="J44" s="56">
        <f>I44</f>
        <v/>
      </c>
      <c r="K44" s="2" t="n"/>
    </row>
    <row r="45" ht="14.5" customHeight="1" s="19">
      <c r="I45" s="70">
        <f>IF(Control_Panel!C21="Yes",TRUE,FALSE)</f>
        <v/>
      </c>
      <c r="J45" s="4">
        <f>I45</f>
        <v/>
      </c>
      <c r="K45" s="2" t="n"/>
    </row>
    <row r="46" ht="14.5" customHeight="1" s="19">
      <c r="I46" s="70">
        <f>Carryovers!F52</f>
        <v/>
      </c>
      <c r="J46" s="56">
        <f>I46</f>
        <v/>
      </c>
      <c r="K46" s="2" t="n"/>
    </row>
    <row r="47" ht="14.5" customHeight="1" s="19"/>
    <row r="48" ht="14.5" customHeight="1" s="19"/>
    <row r="49" ht="14.5" customHeight="1" s="19">
      <c r="H49" s="9" t="inlineStr">
        <is>
          <t>1z</t>
        </is>
      </c>
      <c r="K49" s="8">
        <f>HYPERLINK("#Master_Inputs!A1","✏ open Master_Inputs")</f>
        <v/>
      </c>
    </row>
    <row r="50" ht="14.5" customHeight="1" s="19"/>
    <row r="51" ht="29" customHeight="1" s="19">
      <c r="H51" s="3" t="n"/>
      <c r="I51" s="3" t="n"/>
      <c r="J51" s="3" t="n"/>
      <c r="K51" s="3" t="n"/>
      <c r="L51" s="3" t="n"/>
      <c r="M51" s="3" t="n"/>
      <c r="N51" s="3" t="n"/>
      <c r="O51" s="3" t="n"/>
    </row>
    <row r="52" ht="14.5" customHeight="1" s="19"/>
    <row r="53" ht="14.5" customHeight="1" s="19"/>
    <row r="54" ht="14.5" customHeight="1" s="19"/>
    <row r="55" ht="14.5" customHeight="1" s="19"/>
    <row r="56" ht="14.5" customHeight="1" s="19"/>
    <row r="57" ht="14.5" customHeight="1" s="19"/>
    <row r="58" ht="14.5" customHeight="1" s="19"/>
    <row r="59" ht="14.5" customHeight="1" s="19"/>
    <row r="60" ht="14.5" customHeight="1" s="19"/>
    <row r="61" ht="14.5" customHeight="1" s="19"/>
    <row r="62" ht="14.5" customHeight="1" s="19"/>
    <row r="63" ht="14.5" customHeight="1" s="19"/>
    <row r="64" ht="14.5" customHeight="1" s="19"/>
    <row r="65" ht="16" customHeight="1" s="19" thickBot="1">
      <c r="H65" s="101" t="inlineStr">
        <is>
          <t>▸ 7-COMPONENT TAX CALCULATOR</t>
        </is>
      </c>
      <c r="I65" s="49" t="inlineStr">
        <is>
          <t>Baseline</t>
        </is>
      </c>
      <c r="J65" s="49" t="inlineStr">
        <is>
          <t>Effective</t>
        </is>
      </c>
      <c r="K65" s="49" t="inlineStr">
        <is>
          <t>Δ Savings</t>
        </is>
      </c>
    </row>
    <row r="66" ht="14.5" customHeight="1" s="19">
      <c r="H66" t="inlineStr">
        <is>
          <t>Dual columns: Baseline (H) vs With Planning (I)</t>
        </is>
      </c>
    </row>
    <row r="67" ht="14.5" customHeight="1" s="19"/>
    <row r="68" ht="14.5" customHeight="1" s="19">
      <c r="H68" s="101" t="inlineStr">
        <is>
          <t>1. SELF-EMPLOYMENT TAX</t>
        </is>
      </c>
      <c r="I68" s="36" t="n"/>
      <c r="J68" s="36" t="n"/>
      <c r="K68" s="36" t="n"/>
    </row>
    <row r="69" ht="14.5" customHeight="1" s="19">
      <c r="H69" t="inlineStr">
        <is>
          <t>SE Tax Label</t>
        </is>
      </c>
      <c r="I69" s="20" t="n"/>
      <c r="J69" s="20" t="n"/>
      <c r="K69" s="20" t="n"/>
    </row>
    <row r="70" ht="14.5" customHeight="1" s="19">
      <c r="H70" t="inlineStr">
        <is>
          <t>Net SE Earnings</t>
        </is>
      </c>
      <c r="I70" s="12">
        <f>I43</f>
        <v/>
      </c>
      <c r="J70" s="12">
        <f>J43</f>
        <v/>
      </c>
      <c r="K70" s="12" t="n"/>
    </row>
    <row r="71" ht="14.5" customHeight="1" s="19">
      <c r="H71" t="inlineStr">
        <is>
          <t>SE Base (× 0.9235)</t>
        </is>
      </c>
      <c r="I71" s="20">
        <f>I70*SUMIFS(tblThresholds[Value], tblThresholds[Year], 2028, tblThresholds[FilingStatus], Filing_Status, tblThresholds[Item], "SE_Earnings_Factor")</f>
        <v/>
      </c>
      <c r="J71" s="20">
        <f>J70*SUMIFS(tblThresholds[Value], tblThresholds[Year], 2028, tblThresholds[FilingStatus], Filing_Status, tblThresholds[Item], "SE_Earnings_Factor")</f>
        <v/>
      </c>
      <c r="K71" s="20" t="n"/>
    </row>
    <row r="72" ht="14.5" customHeight="1" s="19">
      <c r="H72" t="inlineStr">
        <is>
          <t>W-2 Wages</t>
        </is>
      </c>
      <c r="I72" s="12">
        <f>I25</f>
        <v/>
      </c>
      <c r="J72" s="12">
        <f>J25</f>
        <v/>
      </c>
      <c r="K72" s="12" t="n"/>
    </row>
    <row r="73" ht="14.5" customHeight="1" s="19">
      <c r="H73" t="inlineStr">
        <is>
          <t>Remaining SS Wage Base</t>
        </is>
      </c>
      <c r="I73" s="12">
        <f>MAX(0,SUMIFS(tblThresholds[Value], tblThresholds[Year], 2028, tblThresholds[FilingStatus], Filing_Status, tblThresholds[Item], "SS_Wage_Base")-I72)</f>
        <v/>
      </c>
      <c r="J73" s="12">
        <f>MAX(0,SUMIFS(tblThresholds[Value], tblThresholds[Year], 2028, tblThresholds[FilingStatus], Filing_Status, tblThresholds[Item], "SS_Wage_Base")-J72)</f>
        <v/>
      </c>
      <c r="K73" s="12" t="n"/>
    </row>
    <row r="74" ht="14.5" customHeight="1" s="19">
      <c r="I74" s="39">
        <f>MIN(I71,I73)</f>
        <v/>
      </c>
      <c r="J74" s="39">
        <f>MIN(J71,J73)</f>
        <v/>
      </c>
      <c r="K74" s="39" t="n"/>
    </row>
    <row r="75" ht="14.5" customHeight="1" s="19">
      <c r="H75" t="inlineStr">
        <is>
          <t>Social Security Tax (12.4%)</t>
        </is>
      </c>
      <c r="I75" s="12">
        <f>I74*SUMIFS(tblThresholds[Value], tblThresholds[Year], 2028, tblThresholds[FilingStatus], Filing_Status, tblThresholds[Item], "SS_Rate_Combined")</f>
        <v/>
      </c>
      <c r="J75" s="12">
        <f>J74*SUMIFS(tblThresholds[Value], tblThresholds[Year], 2028, tblThresholds[FilingStatus], Filing_Status, tblThresholds[Item], "SS_Rate_Combined")</f>
        <v/>
      </c>
      <c r="K75" s="12" t="n"/>
    </row>
    <row r="76" ht="15.5" customHeight="1" s="19">
      <c r="H76" t="inlineStr">
        <is>
          <t>Medicare Tax (2.9%)</t>
        </is>
      </c>
      <c r="I76" s="52">
        <f>I71*SUMIFS(tblThresholds[Value], tblThresholds[Year], 2028, tblThresholds[FilingStatus], Filing_Status, tblThresholds[Item], "Medicare_Rate_Combined")</f>
        <v/>
      </c>
      <c r="J76" s="52">
        <f>J71*SUMIFS(tblThresholds[Value], tblThresholds[Year], 2028, tblThresholds[FilingStatus], Filing_Status, tblThresholds[Item], "Medicare_Rate_Combined")</f>
        <v/>
      </c>
      <c r="K76" s="52" t="n"/>
    </row>
    <row r="77" ht="14.5" customHeight="1" s="19">
      <c r="H77" t="inlineStr">
        <is>
          <t>Addl Medicare (0.9% &gt; threshold)</t>
        </is>
      </c>
      <c r="I77" s="12">
        <f>MAX(0,(I72+I71-SUMIFS(tblThresholds[Value],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J77" s="12">
        <f>MAX(0,(J72+J71-SUMIFS(tblThresholds[Value],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77" s="12" t="n"/>
    </row>
    <row r="78" ht="14.5" customHeight="1" s="19">
      <c r="I78" s="12">
        <f>-(I75+I76)/2</f>
        <v/>
      </c>
      <c r="J78" s="12">
        <f>-(J75+J76)/2</f>
        <v/>
      </c>
      <c r="K78" s="12" t="n"/>
    </row>
    <row r="79" ht="18.5" customHeight="1" s="19">
      <c r="I79" s="53" t="n"/>
      <c r="J79" s="12" t="n"/>
      <c r="K79" s="12" t="n"/>
    </row>
    <row r="80" ht="14.5" customHeight="1" s="19">
      <c r="H80" s="13" t="inlineStr">
        <is>
          <t>TOTAL SE TAX</t>
        </is>
      </c>
      <c r="I80" s="20">
        <f>I75+I76+I77</f>
        <v/>
      </c>
      <c r="J80" s="20">
        <f>J75+J76+J77</f>
        <v/>
      </c>
      <c r="K80" s="20">
        <f>I80-J80</f>
        <v/>
      </c>
    </row>
    <row r="81" ht="14.5" customHeight="1" s="19">
      <c r="I81" s="12" t="n"/>
      <c r="J81" s="12" t="n"/>
      <c r="K81" s="12" t="n"/>
    </row>
    <row r="82" ht="14.5" customHeight="1" s="19">
      <c r="H82" s="101" t="inlineStr">
        <is>
          <t>2. PAYROLL TAX</t>
        </is>
      </c>
      <c r="I82" s="20" t="n"/>
      <c r="J82" s="20" t="n"/>
      <c r="K82" s="20" t="n"/>
    </row>
    <row r="83" ht="14.5" customHeight="1" s="19">
      <c r="H83" t="inlineStr">
        <is>
          <t>W-2 Wages</t>
        </is>
      </c>
      <c r="I83" s="12">
        <f>I25</f>
        <v/>
      </c>
      <c r="J83" s="12">
        <f>J25</f>
        <v/>
      </c>
      <c r="K83" s="12" t="n"/>
    </row>
    <row r="84" ht="14.5" customHeight="1" s="19">
      <c r="H84" t="inlineStr">
        <is>
          <t>Social Security (6.2%)</t>
        </is>
      </c>
      <c r="I84" s="12">
        <f>MIN(I83,SUMIFS(tblThresholds[Value], tblThresholds[Year], 2028, tblThresholds[FilingStatus], Filing_Status, tblThresholds[Item], "SS_Wage_Base"))*0.062</f>
        <v/>
      </c>
      <c r="J84" s="12">
        <f>MIN(J83,SUMIFS(tblThresholds[Value], tblThresholds[Year], 2028, tblThresholds[FilingStatus], Filing_Status, tblThresholds[Item], "SS_Wage_Base"))*0.062</f>
        <v/>
      </c>
      <c r="K84" s="12" t="n"/>
    </row>
    <row r="85" ht="14.5" customHeight="1" s="19">
      <c r="H85" t="inlineStr">
        <is>
          <t>Medicare (1.45%)</t>
        </is>
      </c>
      <c r="I85" s="12">
        <f>I83*0.0145</f>
        <v/>
      </c>
      <c r="J85" s="12">
        <f>J83*0.0145</f>
        <v/>
      </c>
      <c r="K85" s="12" t="n"/>
    </row>
    <row r="86" ht="14.5" customHeight="1" s="19">
      <c r="H86" t="inlineStr">
        <is>
          <t>Addl Medicare (0.9% &gt; threshold)</t>
        </is>
      </c>
      <c r="I86" s="12">
        <f>MAX(0,(I83-SUMIFS(tblThresholds[Value],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J86" s="12">
        <f>MAX(0,(J83-SUMIFS(tblThresholds[Value],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86" s="12" t="n"/>
    </row>
    <row r="87" ht="14.5" customHeight="1" s="19">
      <c r="H87" s="13" t="inlineStr">
        <is>
          <t>TOTAL PAYROLL TAX</t>
        </is>
      </c>
      <c r="I87" s="20">
        <f>I84+I85+I86</f>
        <v/>
      </c>
      <c r="J87" s="20">
        <f>J84+J85+J86</f>
        <v/>
      </c>
      <c r="K87" s="20">
        <f>I87-J87</f>
        <v/>
      </c>
    </row>
    <row r="88" ht="14.5" customHeight="1" s="19">
      <c r="H88" s="13" t="inlineStr">
        <is>
          <t>Employer Social Security (6.2%)</t>
        </is>
      </c>
      <c r="I88" s="20">
        <f>I84</f>
        <v/>
      </c>
      <c r="J88" s="20">
        <f>J84</f>
        <v/>
      </c>
      <c r="K88" s="20">
        <f>I88-J88</f>
        <v/>
      </c>
    </row>
    <row r="89" ht="14.5" customHeight="1" s="19">
      <c r="H89" s="13" t="inlineStr">
        <is>
          <t>Employer Medicare (1.45%)</t>
        </is>
      </c>
      <c r="I89" s="20">
        <f>I85</f>
        <v/>
      </c>
      <c r="J89" s="20">
        <f>J85</f>
        <v/>
      </c>
      <c r="K89" s="20">
        <f>I89-J89</f>
        <v/>
      </c>
    </row>
    <row r="90" ht="14.5" customHeight="1" s="19">
      <c r="H90" s="13" t="n"/>
      <c r="I90" s="20" t="n"/>
      <c r="J90" s="20" t="n"/>
      <c r="K90" s="20" t="n"/>
    </row>
    <row r="91" ht="14.5" customHeight="1" s="19">
      <c r="H91" s="13" t="inlineStr">
        <is>
          <t>TOTAL PAYROLL TAX (Employee + Employer)</t>
        </is>
      </c>
      <c r="I91" s="20">
        <f>I87+I88+I89</f>
        <v/>
      </c>
      <c r="J91" s="20">
        <f>J87+J88+J89</f>
        <v/>
      </c>
      <c r="K91" s="20">
        <f>I91-J91</f>
        <v/>
      </c>
    </row>
    <row r="92" ht="14.5" customHeight="1" s="19">
      <c r="I92" s="12" t="n"/>
      <c r="J92" s="12" t="n"/>
      <c r="K92" s="12" t="n"/>
    </row>
    <row r="93" ht="14.5" customHeight="1" s="19">
      <c r="H93" s="101" t="inlineStr">
        <is>
          <t>3. ORDINARY INCOME TAX</t>
        </is>
      </c>
      <c r="I93" s="20" t="n"/>
      <c r="J93" s="20" t="n"/>
      <c r="K93" s="20" t="n"/>
    </row>
    <row r="94" ht="14.5" customHeight="1" s="19">
      <c r="H94" t="inlineStr">
        <is>
          <t>Taxable Income</t>
        </is>
      </c>
      <c r="I94" s="12">
        <f>I37</f>
        <v/>
      </c>
      <c r="J94" s="12">
        <f>J37</f>
        <v/>
      </c>
      <c r="K94" s="12" t="n"/>
    </row>
    <row r="95" ht="14.5" customHeight="1" s="19">
      <c r="H95" t="inlineStr">
        <is>
          <t>Ordinary Taxable (TI - LTCG - QD)</t>
        </is>
      </c>
      <c r="I95" s="12">
        <f>MAX(0,I94)</f>
        <v/>
      </c>
      <c r="J95" s="12">
        <f>MAX(0,J94)</f>
        <v/>
      </c>
      <c r="K95" s="12" t="n"/>
    </row>
    <row r="96" ht="14.5" customHeight="1" s="19">
      <c r="H96" t="inlineStr">
        <is>
          <t>Tax (SUMPRODUCT bracket lookup)</t>
        </is>
      </c>
      <c r="I96" s="12">
        <f t="array" ref="I96">SUMPRODUCT((tblBrackets_FIT[Year]=2028)*(tblBrackets_FIT[FilingStatus]=Filing_Status)*((I95&gt;tblBrackets_FIT[Upper])*(tblBrackets_FIT[Upper]-tblBrackets_FIT[Lower])+(I95&gt;tblBrackets_FIT[Lower])*(I95&lt;=tblBrackets_FIT[Upper])*(I95-tblBrackets_FIT[Lower]))*tblBrackets_FIT[Rate])</f>
        <v/>
      </c>
      <c r="J96" s="12">
        <f t="array" ref="J96">SUMPRODUCT((tblBrackets_FIT[Year]=2028)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2" t="n"/>
    </row>
    <row r="97" ht="14.5" customHeight="1" s="19">
      <c r="H97" s="13" t="inlineStr">
        <is>
          <t>TOTAL ORDINARY TAX</t>
        </is>
      </c>
      <c r="I97" s="20">
        <f>I96</f>
        <v/>
      </c>
      <c r="J97" s="20">
        <f>J96</f>
        <v/>
      </c>
      <c r="K97" s="20">
        <f>I97-J97</f>
        <v/>
      </c>
    </row>
    <row r="98" ht="14.5" customHeight="1" s="19">
      <c r="I98" s="12" t="n"/>
      <c r="J98" s="12" t="n"/>
      <c r="K98" s="12" t="n"/>
    </row>
    <row r="99" ht="14.5" customHeight="1" s="19">
      <c r="H99" s="101" t="inlineStr">
        <is>
          <t>4. CAPITAL GAINS / QUALIFIED DIVIDENDS TAX</t>
        </is>
      </c>
      <c r="I99" s="20" t="n"/>
      <c r="J99" s="20" t="n"/>
      <c r="K99" s="20" t="n"/>
    </row>
    <row r="100" ht="14.5" customHeight="1" s="19">
      <c r="H100" t="inlineStr">
        <is>
          <t>LTCG + Qualified Dividends</t>
        </is>
      </c>
      <c r="I100" s="12">
        <f>I31+I30</f>
        <v/>
      </c>
      <c r="J100" s="12">
        <f>J31+J30</f>
        <v/>
      </c>
      <c r="K100" s="12" t="n"/>
    </row>
    <row r="101" ht="14.5" customHeight="1" s="19">
      <c r="H101" t="inlineStr">
        <is>
          <t>Sec 1250 Recapture Gain</t>
        </is>
      </c>
      <c r="I101" s="12">
        <f>I33</f>
        <v/>
      </c>
      <c r="J101" s="12">
        <f>J33</f>
        <v/>
      </c>
      <c r="K101" s="12" t="n"/>
    </row>
    <row r="102" ht="14.5" customHeight="1" s="19">
      <c r="H102" t="inlineStr">
        <is>
          <t>Stacking Base (Ordinary TI for bracket floor)</t>
        </is>
      </c>
      <c r="I102" s="12">
        <f>I95</f>
        <v/>
      </c>
      <c r="J102" s="12">
        <f>J95</f>
        <v/>
      </c>
      <c r="K102" s="12" t="n"/>
    </row>
    <row r="103" ht="14.5" customHeight="1" s="19">
      <c r="H103" t="inlineStr">
        <is>
          <t>Full CG Rate Tax (SUMPRODUCT stack)</t>
        </is>
      </c>
      <c r="I103" s="12">
        <f t="array" ref="I103">SUMPRODUCT((Tax_Ref!$B$210:$B$281=2028)*(Tax_Ref!$C$210:$C$281=Filing_Status)*((I102+I100&gt;Tax_Ref!$E$210:$E$281)*(Tax_Ref!$E$210:$E$281-Tax_Ref!$D$210:$D$281)+(I102+I100&gt;Tax_Ref!$D$210:$D$281)*(I102+I100&lt;=Tax_Ref!$E$210:$E$281)*(I102+I100-Tax_Ref!$D$210:$D$281))*Tax_Ref!$F$210:$F$281)</f>
        <v/>
      </c>
      <c r="J103" s="12">
        <f t="array" ref="J103">SUMPRODUCT((Tax_Ref!$B$210:$B$281=2028)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2" t="n"/>
    </row>
    <row r="104" ht="14.5" customHeight="1" s="19">
      <c r="H104" t="inlineStr">
        <is>
          <t>CG Rate Tax on Ordinary only</t>
        </is>
      </c>
      <c r="I104" s="12">
        <f t="array" ref="I104">SUMPRODUCT((Tax_Ref!$B$210:$B$281=2028)*(Tax_Ref!$C$210:$C$281=Filing_Status)*((I102&gt;Tax_Ref!$E$210:$E$281)*(Tax_Ref!$E$210:$E$281-Tax_Ref!$D$210:$D$281)+(I102&gt;Tax_Ref!$D$210:$D$281)*(I102&lt;=Tax_Ref!$E$210:$E$281)*(I102-Tax_Ref!$D$210:$D$281))*Tax_Ref!$F$210:$F$281)</f>
        <v/>
      </c>
      <c r="J104" s="12">
        <f t="array" ref="J104">SUMPRODUCT((Tax_Ref!$B$210:$B$281=2028)*(Tax_Ref!$C$210:$C$281=Filing_Status)*((J102&gt;Tax_Ref!$E$210:$E$281)*(Tax_Ref!$E$210:$E$281-Tax_Ref!$D$210:$D$281)+(J102&gt;Tax_Ref!$D$210:$D$281)*(J102&lt;=Tax_Ref!$E$210:$E$281)*(J102-Tax_Ref!$D$210:$D$281))*Tax_Ref!$F$210:$F$281)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2" t="n"/>
    </row>
    <row r="105" ht="14.5" customHeight="1" s="19">
      <c r="H105" t="inlineStr">
        <is>
          <t>Net LTCG/QD Tax</t>
        </is>
      </c>
      <c r="I105" s="12">
        <f>I103-I104</f>
        <v/>
      </c>
      <c r="J105" s="12">
        <f>J103-J104</f>
        <v/>
      </c>
      <c r="K105" s="12" t="n"/>
    </row>
    <row r="106" ht="14.5" customHeight="1" s="19">
      <c r="I106" s="12">
        <f>I33*0.25</f>
        <v/>
      </c>
      <c r="J106" s="12">
        <f>J33*0.25</f>
        <v/>
      </c>
      <c r="K106" s="12" t="n"/>
    </row>
    <row r="107" ht="14.5" customHeight="1" s="19">
      <c r="H107" s="13" t="inlineStr">
        <is>
          <t>TOTAL CAP GAINS TAX</t>
        </is>
      </c>
      <c r="I107" s="20">
        <f>I105+I106</f>
        <v/>
      </c>
      <c r="J107" s="20">
        <f>J105+J106</f>
        <v/>
      </c>
      <c r="K107" s="20">
        <f>I107-J107</f>
        <v/>
      </c>
    </row>
    <row r="108" ht="14.5" customHeight="1" s="19">
      <c r="I108" s="12" t="n"/>
      <c r="J108" s="12" t="n"/>
      <c r="K108" s="12" t="n"/>
    </row>
    <row r="109" ht="14.5" customHeight="1" s="19">
      <c r="H109" s="101" t="inlineStr">
        <is>
          <t>5. NET INVESTMENT INCOME TAX (NIIT)</t>
        </is>
      </c>
      <c r="I109" s="20" t="n"/>
      <c r="J109" s="20" t="n"/>
      <c r="K109" s="20" t="n"/>
    </row>
    <row r="110" ht="14.5" customHeight="1" s="19">
      <c r="H110" t="inlineStr">
        <is>
          <t>MAGI</t>
        </is>
      </c>
      <c r="I110" s="12">
        <f>I38</f>
        <v/>
      </c>
      <c r="J110" s="12">
        <f>J38</f>
        <v/>
      </c>
      <c r="K110" s="12" t="n"/>
    </row>
    <row r="111" ht="14.5" customHeight="1" s="19">
      <c r="H111" t="inlineStr">
        <is>
          <t>NIIT Threshold</t>
        </is>
      </c>
      <c r="I111" s="12">
        <f>SUMIFS(tblThresholds[Value], tblThresholds[Year], 2028, tblThresholds[FilingStatus], Filing_Status, tblThresholds[Item], "NIIT_Threshold")</f>
        <v/>
      </c>
      <c r="J111" s="12">
        <f>SUMIFS(tblThresholds[Value], tblThresholds[Year], 2028, tblThresholds[FilingStatus], Filing_Status, tblThresholds[Item], "NIIT_Threshold")</f>
        <v/>
      </c>
      <c r="K111" s="12" t="n"/>
    </row>
    <row r="112" ht="14.5" customHeight="1" s="19">
      <c r="H112" t="inlineStr">
        <is>
          <t>Net Investment Income (NII)</t>
        </is>
      </c>
      <c r="I112" s="12">
        <f>MAX(0,I39)</f>
        <v/>
      </c>
      <c r="J112" s="12">
        <f>MAX(0,J39)</f>
        <v/>
      </c>
      <c r="K112" s="12" t="n"/>
    </row>
    <row r="113" ht="14.5" customHeight="1" s="19">
      <c r="H113" t="inlineStr">
        <is>
          <t>NIIT Base (lesser of NII or MAGI excess)</t>
        </is>
      </c>
      <c r="I113" s="12">
        <f>MAX(0,I110-I111)</f>
        <v/>
      </c>
      <c r="J113" s="12">
        <f>MAX(0,J110-J111)</f>
        <v/>
      </c>
      <c r="K113" s="12" t="n"/>
    </row>
    <row r="114" ht="14.5" customHeight="1" s="19">
      <c r="H114" s="13" t="inlineStr">
        <is>
          <t>NIIT (3.8%)</t>
        </is>
      </c>
      <c r="I114" s="20">
        <f>MIN(I112,I113)*SUMIFS(tblThresholds[Value], tblThresholds[Year], 2028, tblThresholds[FilingStatus], Filing_Status, tblThresholds[Item], "NIIT_Rate")</f>
        <v/>
      </c>
      <c r="J114" s="20">
        <f>MIN(J112,J113)*SUMIFS(tblThresholds[Value], tblThresholds[Year], 2028, tblThresholds[FilingStatus], Filing_Status, tblThresholds[Item], "NIIT_Rate")</f>
        <v/>
      </c>
      <c r="K114" s="20">
        <f>I114-J114</f>
        <v/>
      </c>
    </row>
    <row r="115" ht="14.5" customHeight="1" s="19">
      <c r="I115" s="12" t="n"/>
      <c r="J115" s="12" t="n"/>
      <c r="K115" s="12" t="n"/>
    </row>
    <row r="116" ht="14.5" customHeight="1" s="19">
      <c r="H116" s="101" t="inlineStr">
        <is>
          <t>6. QBI DEDUCTION (§199A)</t>
        </is>
      </c>
      <c r="I116" s="20" t="n"/>
      <c r="J116" s="20" t="n"/>
      <c r="K116" s="20" t="n"/>
    </row>
    <row r="117" ht="14.5" customHeight="1" s="19">
      <c r="H117" t="inlineStr">
        <is>
          <t>QBI-Eligible Income</t>
        </is>
      </c>
      <c r="I117" s="12">
        <f>I40</f>
        <v/>
      </c>
      <c r="J117" s="12">
        <f>J40</f>
        <v/>
      </c>
      <c r="K117" s="12" t="n"/>
    </row>
    <row r="118" ht="14.5" customHeight="1" s="19">
      <c r="H118" t="inlineStr">
        <is>
          <t>20% of QBI</t>
        </is>
      </c>
      <c r="I118" s="12">
        <f>MAX(0,I117)*0.2</f>
        <v/>
      </c>
      <c r="J118" s="12">
        <f>MAX(0,J117)*0.2</f>
        <v/>
      </c>
      <c r="K118" s="12" t="n"/>
    </row>
    <row r="119" ht="14.5" customHeight="1" s="19">
      <c r="H119" t="inlineStr">
        <is>
          <t>50% of W-2 Wages</t>
        </is>
      </c>
      <c r="I119" s="12">
        <f>MAX(0,I41)*0.2</f>
        <v/>
      </c>
      <c r="J119" s="12">
        <f>MAX(0,J41)*0.2</f>
        <v/>
      </c>
      <c r="K119" s="12" t="n"/>
    </row>
    <row r="120" ht="14.5" customHeight="1" s="19">
      <c r="H120" t="inlineStr">
        <is>
          <t>25% W-2 + 2.5% UBIA</t>
        </is>
      </c>
      <c r="I120" s="12">
        <f>MAX(I23*0.5, I23*0.25+I44*0.025)</f>
        <v/>
      </c>
      <c r="J120" s="12">
        <f>MAX(J23*0.5, J23*0.25+J44*0.025)</f>
        <v/>
      </c>
      <c r="K120" s="12" t="n"/>
    </row>
    <row r="121" ht="14.5" customHeight="1" s="19">
      <c r="H121" t="inlineStr">
        <is>
          <t>Phase-in applies?</t>
        </is>
      </c>
      <c r="I121" s="12">
        <f>IF(I41&gt;SUMIFS(tblThresholds[Value], tblThresholds[Year], 2028, tblThresholds[FilingStatus], Filing_Status, tblThresholds[Item], "QBI_Threshold_Start"),"YES","NO")</f>
        <v/>
      </c>
      <c r="J121" s="12">
        <f>IF(J41&gt;SUMIFS(tblThresholds[Value], tblThresholds[Year], 2028, tblThresholds[FilingStatus], Filing_Status, tblThresholds[Item], "QBI_Threshold_Start"),"YES","NO")</f>
        <v/>
      </c>
      <c r="K121" s="12" t="n"/>
    </row>
    <row r="122" ht="14.5" customHeight="1" s="19">
      <c r="H122" s="13" t="inlineStr">
        <is>
          <t>QBI DEDUCTION</t>
        </is>
      </c>
      <c r="I122" s="20">
        <f>IF(AND(I45=TRUE,I41&gt;SUMIFS(tblThresholds[Value], tblThresholds[Year], 2028, tblThresholds[FilingStatus], Filing_Status, tblThresholds[Item], "QBI_Threshold_End")),0,IF(I41&lt;=SUMIFS(tblThresholds[Value], tblThresholds[Year], 2028, tblThresholds[FilingStatus], Filing_Status, tblThresholds[Item], "QBI_Threshold_Start"),MIN(I118,I119),MIN(I118,I119,I120)))</f>
        <v/>
      </c>
      <c r="J122" s="20">
        <f>IF(AND(J45=TRUE,J41&gt;SUMIFS(tblThresholds[Value], tblThresholds[Year], 2028, tblThresholds[FilingStatus], Filing_Status, tblThresholds[Item], "QBI_Threshold_End")),0,IF(J41&lt;=SUMIFS(tblThresholds[Value], tblThresholds[Year], 2028, tblThresholds[FilingStatus], Filing_Status, tblThresholds[Item], "QBI_Threshold_Start"),MIN(J118,J119),MIN(J118,J119,J120)))</f>
        <v/>
      </c>
      <c r="K122" s="20">
        <f>J122-I122</f>
        <v/>
      </c>
    </row>
    <row r="123" ht="14.5" customHeight="1" s="19">
      <c r="I123" s="12" t="n"/>
      <c r="J123" s="12" t="n"/>
      <c r="K123" s="12" t="n"/>
    </row>
    <row r="124" ht="14.5" customHeight="1" s="19">
      <c r="H124" s="101" t="inlineStr">
        <is>
          <t>7. COMBINED TAX SUMMARY</t>
        </is>
      </c>
      <c r="I124" s="20" t="n"/>
      <c r="J124" s="20" t="n"/>
      <c r="K124" s="20" t="n"/>
    </row>
    <row r="125" ht="14.5" customHeight="1" s="19">
      <c r="H125" t="inlineStr">
        <is>
          <t>Total Income</t>
        </is>
      </c>
      <c r="I125" s="12">
        <f>J6+J8+J10+J11+J12</f>
        <v/>
      </c>
      <c r="J125" s="12">
        <f>O13</f>
        <v/>
      </c>
      <c r="K125" s="12" t="inlineStr">
        <is>
          <t>Δ Savings</t>
        </is>
      </c>
    </row>
    <row r="126" ht="14.5" customHeight="1" s="19">
      <c r="H126" t="inlineStr">
        <is>
          <t>Ordinary Tax</t>
        </is>
      </c>
      <c r="I126" s="12">
        <f>I97</f>
        <v/>
      </c>
      <c r="J126" s="12">
        <f>J97</f>
        <v/>
      </c>
      <c r="K126" s="12">
        <f>I126-J126</f>
        <v/>
      </c>
    </row>
    <row r="127" ht="14.5" customHeight="1" s="19">
      <c r="H127" t="inlineStr">
        <is>
          <t>Capital Gains Tax</t>
        </is>
      </c>
      <c r="I127" s="12">
        <f>I107</f>
        <v/>
      </c>
      <c r="J127" s="12">
        <f>J107</f>
        <v/>
      </c>
      <c r="K127" s="12">
        <f>I127-J127</f>
        <v/>
      </c>
    </row>
    <row r="128" ht="14.5" customHeight="1" s="19">
      <c r="H128" t="inlineStr">
        <is>
          <t>Self-Employment Tax</t>
        </is>
      </c>
      <c r="I128" s="12">
        <f>I80</f>
        <v/>
      </c>
      <c r="J128" s="12">
        <f>J80</f>
        <v/>
      </c>
      <c r="K128" s="12">
        <f>I128-J128</f>
        <v/>
      </c>
    </row>
    <row r="129" ht="14.5" customHeight="1" s="19">
      <c r="H129" t="inlineStr">
        <is>
          <t>Payroll Tax (Employee + Employer)</t>
        </is>
      </c>
      <c r="I129" s="12">
        <f>I91</f>
        <v/>
      </c>
      <c r="J129" s="12">
        <f>J91</f>
        <v/>
      </c>
      <c r="K129" s="12">
        <f>I129-J129</f>
        <v/>
      </c>
    </row>
    <row r="130" ht="14.5" customHeight="1" s="19">
      <c r="H130" t="inlineStr">
        <is>
          <t>NIIT</t>
        </is>
      </c>
      <c r="I130" s="12">
        <f>I114</f>
        <v/>
      </c>
      <c r="J130" s="12">
        <f>J114</f>
        <v/>
      </c>
      <c r="K130" s="12">
        <f>I130-J130</f>
        <v/>
      </c>
    </row>
    <row r="131" ht="14.5" customHeight="1" s="19">
      <c r="H131" t="inlineStr">
        <is>
          <t>Less: QBI Tax Benefit</t>
        </is>
      </c>
      <c r="I131" s="12">
        <f>-I122*0.24</f>
        <v/>
      </c>
      <c r="J131" s="12">
        <f>-J122*0.24</f>
        <v/>
      </c>
      <c r="K131" s="12">
        <f>I131-J131</f>
        <v/>
      </c>
    </row>
    <row r="132" ht="14.5" customHeight="1" s="19">
      <c r="I132" s="12" t="n"/>
      <c r="J132" s="12" t="n"/>
      <c r="K132" s="12" t="n"/>
    </row>
    <row r="133" ht="14.5" customHeight="1" s="19">
      <c r="H133" s="13" t="inlineStr">
        <is>
          <t>TOTAL COMBINED TAX</t>
        </is>
      </c>
      <c r="I133" s="20">
        <f>SUM(I126:I131)</f>
        <v/>
      </c>
      <c r="J133" s="20">
        <f>SUM(J126:J131)</f>
        <v/>
      </c>
      <c r="K133" s="20">
        <f>I133-J133</f>
        <v/>
      </c>
    </row>
    <row r="134" ht="14.5" customHeight="1" s="19">
      <c r="H134" t="inlineStr">
        <is>
          <t>Effective Rate (vs Total Income)</t>
        </is>
      </c>
      <c r="I134" s="57">
        <f>IFERROR(I133/I125,0)</f>
        <v/>
      </c>
      <c r="J134" s="57">
        <f>IFERROR(J133/J125,0)</f>
        <v/>
      </c>
      <c r="K134" s="57">
        <f>I134-J134</f>
        <v/>
      </c>
    </row>
    <row r="135" ht="14.5" customHeight="1" s="19">
      <c r="I135" s="12" t="n"/>
      <c r="J135" s="12" t="n"/>
      <c r="K135" s="12" t="n"/>
    </row>
    <row r="136" ht="14.5" customHeight="1" s="19">
      <c r="H136" s="13" t="inlineStr">
        <is>
          <t>TOTAL TAX SAVINGS FROM PLANNING:</t>
        </is>
      </c>
      <c r="I136" s="20">
        <f>K133</f>
        <v/>
      </c>
      <c r="J136" s="20" t="n"/>
      <c r="K136" s="20" t="n"/>
    </row>
  </sheetData>
  <dataValidations count="1">
    <dataValidation sqref="K6:K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808080"/>
    <outlinePr summaryBelow="1" summaryRight="1"/>
    <pageSetUpPr/>
  </sheetPr>
  <dimension ref="A1:H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19" min="1" max="1"/>
    <col width="50" customWidth="1" style="19" min="2" max="2"/>
    <col width="14" customWidth="1" style="19" min="3" max="8"/>
  </cols>
  <sheetData>
    <row r="1" ht="18.5" customHeight="1" s="19">
      <c r="A1" s="1" t="inlineStr">
        <is>
          <t>PIVOT — SUMMARY (most condensed; multi-year baseline from Master_Inputs)</t>
        </is>
      </c>
    </row>
    <row r="2">
      <c r="A2" s="2" t="inlineStr">
        <is>
          <t>Pure baseline aggregation. No overrides, no strategies. Year sheets handle those locally.</t>
        </is>
      </c>
    </row>
    <row r="3"/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</row>
    <row r="6">
      <c r="A6" t="inlineStr">
        <is>
          <t>2</t>
        </is>
      </c>
      <c r="B6" t="inlineStr">
        <is>
          <t>Interest (taxable, tax-exempt info on Detailed)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</row>
    <row r="7">
      <c r="A7" t="inlineStr">
        <is>
          <t>3</t>
        </is>
      </c>
      <c r="B7" t="inlineStr">
        <is>
          <t>Dividends (qualified info on Detailed)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</row>
    <row r="9">
      <c r="A9" t="inlineStr">
        <is>
          <t>8</t>
        </is>
      </c>
      <c r="B9" t="inlineStr">
        <is>
          <t>Other income (biz total)</t>
        </is>
      </c>
      <c r="C9">
        <f>SUMIFS(tblMaster_Inputs[Baseline_Amount], tblMaster_Inputs[Year], 2023, tblMaster_Inputs[Primary_Line], "8", tblMaster_Inputs[Activity_Type], "Baseline")</f>
        <v/>
      </c>
      <c r="D9">
        <f>SUMIFS(tblMaster_Inputs[Baseline_Amount], tblMaster_Inputs[Year], 2024, tblMaster_Inputs[Primary_Line], "8", tblMaster_Inputs[Activity_Type], "Baseline")</f>
        <v/>
      </c>
      <c r="E9">
        <f>SUMIFS(tblMaster_Inputs[Baseline_Amount], tblMaster_Inputs[Year], 2025, tblMaster_Inputs[Primary_Line], "8", tblMaster_Inputs[Activity_Type], "Baseline")</f>
        <v/>
      </c>
      <c r="F9">
        <f>SUMIFS(tblMaster_Inputs[Baseline_Amount], tblMaster_Inputs[Year], 2026, tblMaster_Inputs[Primary_Line], "8", tblMaster_Inputs[Activity_Type], "Baseline")</f>
        <v/>
      </c>
      <c r="G9">
        <f>SUMIFS(tblMaster_Inputs[Baseline_Amount], tblMaster_Inputs[Year], 2027, tblMaster_Inputs[Primary_Line], "8", tblMaster_Inputs[Activity_Type], "Baseline")</f>
        <v/>
      </c>
      <c r="H9">
        <f>SUMIFS(tblMaster_Inputs[Baseline_Amount], tblMaster_Inputs[Year], 2028, tblMaster_Inputs[Primary_Line], "8", tblMaster_Inputs[Activity_Type], "Baseline")</f>
        <v/>
      </c>
    </row>
    <row r="10">
      <c r="A10" s="5" t="inlineStr">
        <is>
          <t>9</t>
        </is>
      </c>
      <c r="B10" s="5" t="inlineStr">
        <is>
          <t>TOTAL INCOME</t>
        </is>
      </c>
      <c r="C10" s="5">
        <f>C5+C6+C7+C8+C9</f>
        <v/>
      </c>
      <c r="D10" s="5">
        <f>D5+D6+D7+D8+D9</f>
        <v/>
      </c>
      <c r="E10" s="5">
        <f>E5+E6+E7+E8+E9</f>
        <v/>
      </c>
      <c r="F10" s="5">
        <f>F5+F6+F7+F8+F9</f>
        <v/>
      </c>
      <c r="G10" s="5">
        <f>G5+G6+G7+G8+G9</f>
        <v/>
      </c>
      <c r="H10" s="5">
        <f>H5+H6+H7+H8+H9</f>
        <v/>
      </c>
    </row>
    <row r="11">
      <c r="A11" t="inlineStr">
        <is>
          <t>10</t>
        </is>
      </c>
      <c r="B11" t="inlineStr">
        <is>
          <t>Adjustments to income</t>
        </is>
      </c>
      <c r="C11">
        <f>SUMIFS(tblMaster_Inputs[Baseline_Amount], tblMaster_Inputs[Year], 2023, tblMaster_Inputs[Primary_Line], "10", tblMaster_Inputs[Activity_Type], "Baseline")</f>
        <v/>
      </c>
      <c r="D11">
        <f>SUMIFS(tblMaster_Inputs[Baseline_Amount], tblMaster_Inputs[Year], 2024, tblMaster_Inputs[Primary_Line], "10", tblMaster_Inputs[Activity_Type], "Baseline")</f>
        <v/>
      </c>
      <c r="E11">
        <f>SUMIFS(tblMaster_Inputs[Baseline_Amount], tblMaster_Inputs[Year], 2025, tblMaster_Inputs[Primary_Line], "10", tblMaster_Inputs[Activity_Type], "Baseline")</f>
        <v/>
      </c>
      <c r="F11">
        <f>SUMIFS(tblMaster_Inputs[Baseline_Amount], tblMaster_Inputs[Year], 2026, tblMaster_Inputs[Primary_Line], "10", tblMaster_Inputs[Activity_Type], "Baseline")</f>
        <v/>
      </c>
      <c r="G11">
        <f>SUMIFS(tblMaster_Inputs[Baseline_Amount], tblMaster_Inputs[Year], 2027, tblMaster_Inputs[Primary_Line], "10", tblMaster_Inputs[Activity_Type], "Baseline")</f>
        <v/>
      </c>
      <c r="H11">
        <f>SUMIFS(tblMaster_Inputs[Baseline_Amount], tblMaster_Inputs[Year], 2028, tblMaster_Inputs[Primary_Line], "10", tblMaster_Inputs[Activity_Type], "Baseline")</f>
        <v/>
      </c>
    </row>
    <row r="12">
      <c r="A12" s="5" t="inlineStr">
        <is>
          <t>11</t>
        </is>
      </c>
      <c r="B12" s="5" t="inlineStr">
        <is>
          <t>AGI</t>
        </is>
      </c>
      <c r="C12" s="5">
        <f>C10+C11</f>
        <v/>
      </c>
      <c r="D12" s="5">
        <f>D10+D11</f>
        <v/>
      </c>
      <c r="E12" s="5">
        <f>E10+E11</f>
        <v/>
      </c>
      <c r="F12" s="5">
        <f>F10+F11</f>
        <v/>
      </c>
      <c r="G12" s="5">
        <f>G10+G11</f>
        <v/>
      </c>
      <c r="H12" s="5">
        <f>H10+H11</f>
        <v/>
      </c>
    </row>
    <row r="13">
      <c r="A13" t="inlineStr">
        <is>
          <t>12</t>
        </is>
      </c>
      <c r="B13" t="inlineStr">
        <is>
          <t>Std/Itemized deduction</t>
        </is>
      </c>
      <c r="C13">
        <f>SUMIFS(tblMaster_Inputs[Baseline_Amount], tblMaster_Inputs[Year], 2023, tblMaster_Inputs[Primary_Line], "12", tblMaster_Inputs[Activity_Type], "Baseline")</f>
        <v/>
      </c>
      <c r="D13">
        <f>SUMIFS(tblMaster_Inputs[Baseline_Amount], tblMaster_Inputs[Year], 2024, tblMaster_Inputs[Primary_Line], "12", tblMaster_Inputs[Activity_Type], "Baseline")</f>
        <v/>
      </c>
      <c r="E13">
        <f>SUMIFS(tblMaster_Inputs[Baseline_Amount], tblMaster_Inputs[Year], 2025, tblMaster_Inputs[Primary_Line], "12", tblMaster_Inputs[Activity_Type], "Baseline")</f>
        <v/>
      </c>
      <c r="F13">
        <f>SUMIFS(tblMaster_Inputs[Baseline_Amount], tblMaster_Inputs[Year], 2026, tblMaster_Inputs[Primary_Line], "12", tblMaster_Inputs[Activity_Type], "Baseline")</f>
        <v/>
      </c>
      <c r="G13">
        <f>SUMIFS(tblMaster_Inputs[Baseline_Amount], tblMaster_Inputs[Year], 2027, tblMaster_Inputs[Primary_Line], "12", tblMaster_Inputs[Activity_Type], "Baseline")</f>
        <v/>
      </c>
      <c r="H13">
        <f>SUMIFS(tblMaster_Inputs[Baseline_Amount], tblMaster_Inputs[Year], 2028, tblMaster_Inputs[Primary_Line], "12", tblMaster_Inputs[Activity_Type], "Baseline")</f>
        <v/>
      </c>
    </row>
    <row r="14">
      <c r="A14" t="inlineStr">
        <is>
          <t>13</t>
        </is>
      </c>
      <c r="B14" t="inlineStr">
        <is>
          <t>QBI deduction</t>
        </is>
      </c>
      <c r="C14">
        <f>SUMIFS(tblMaster_Inputs[Baseline_Amount], tblMaster_Inputs[Year], 2023, tblMaster_Inputs[Primary_Line], "13", tblMaster_Inputs[Activity_Type], "Baseline")</f>
        <v/>
      </c>
      <c r="D14">
        <f>SUMIFS(tblMaster_Inputs[Baseline_Amount], tblMaster_Inputs[Year], 2024, tblMaster_Inputs[Primary_Line], "13", tblMaster_Inputs[Activity_Type], "Baseline")</f>
        <v/>
      </c>
      <c r="E14">
        <f>SUMIFS(tblMaster_Inputs[Baseline_Amount], tblMaster_Inputs[Year], 2025, tblMaster_Inputs[Primary_Line], "13", tblMaster_Inputs[Activity_Type], "Baseline")</f>
        <v/>
      </c>
      <c r="F14">
        <f>SUMIFS(tblMaster_Inputs[Baseline_Amount], tblMaster_Inputs[Year], 2026, tblMaster_Inputs[Primary_Line], "13", tblMaster_Inputs[Activity_Type], "Baseline")</f>
        <v/>
      </c>
      <c r="G14">
        <f>SUMIFS(tblMaster_Inputs[Baseline_Amount], tblMaster_Inputs[Year], 2027, tblMaster_Inputs[Primary_Line], "13", tblMaster_Inputs[Activity_Type], "Baseline")</f>
        <v/>
      </c>
      <c r="H14">
        <f>SUMIFS(tblMaster_Inputs[Baseline_Amount], tblMaster_Inputs[Year], 2028, tblMaster_Inputs[Primary_Line], "13", tblMaster_Inputs[Activity_Type], "Baseline")</f>
        <v/>
      </c>
    </row>
    <row r="15">
      <c r="A15" s="5" t="inlineStr">
        <is>
          <t>15</t>
        </is>
      </c>
      <c r="B15" s="5" t="inlineStr">
        <is>
          <t>TAXABLE INCOME</t>
        </is>
      </c>
      <c r="C15" s="5">
        <f>C12+C13+C14</f>
        <v/>
      </c>
      <c r="D15" s="5">
        <f>D12+D13+D14</f>
        <v/>
      </c>
      <c r="E15" s="5">
        <f>E12+E13+E14</f>
        <v/>
      </c>
      <c r="F15" s="5">
        <f>F12+F13+F14</f>
        <v/>
      </c>
      <c r="G15" s="5">
        <f>G12+G13+G14</f>
        <v/>
      </c>
      <c r="H15" s="5">
        <f>H12+H13+H14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808080"/>
    <outlinePr summaryBelow="1" summaryRight="1"/>
    <pageSetUpPr/>
  </sheetPr>
  <dimension ref="A1:H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19" min="1" max="1"/>
    <col width="50" customWidth="1" style="19" min="2" max="2"/>
    <col width="14" customWidth="1" style="19" min="3" max="8"/>
  </cols>
  <sheetData>
    <row r="1" ht="18.5" customHeight="1" s="19">
      <c r="A1" s="1" t="inlineStr">
        <is>
          <t>PIVOT — MEDIUM (biz income broken out by entity type; multi-year baseline)</t>
        </is>
      </c>
    </row>
    <row r="2">
      <c r="A2" s="2" t="inlineStr">
        <is>
          <t>Same as summary but Line 8 broken into Schedule C / Schedule E rental / Partnership K-1 / S-Corp K-1 / Sch F / Trust K-1.</t>
        </is>
      </c>
    </row>
    <row r="3"/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</row>
    <row r="6">
      <c r="A6" t="inlineStr">
        <is>
          <t>2</t>
        </is>
      </c>
      <c r="B6" t="inlineStr">
        <is>
          <t>Interest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</row>
    <row r="7">
      <c r="A7" t="inlineStr">
        <is>
          <t>3</t>
        </is>
      </c>
      <c r="B7" t="inlineStr">
        <is>
          <t>Dividends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</row>
    <row r="9">
      <c r="A9" t="inlineStr">
        <is>
          <t>8.SchC</t>
        </is>
      </c>
      <c r="B9" t="inlineStr">
        <is>
          <t>Schedule C</t>
        </is>
      </c>
      <c r="C9">
        <f>SUMIFS(tblMaster_Inputs[Baseline_Amount], tblMaster_Inputs[Year], 2023, tblMaster_Inputs[Treatment_Profile], "SchC_Active", tblMaster_Inputs[Activity_Type], "Baseline")</f>
        <v/>
      </c>
      <c r="D9">
        <f>SUMIFS(tblMaster_Inputs[Baseline_Amount], tblMaster_Inputs[Year], 2024, tblMaster_Inputs[Treatment_Profile], "SchC_Active", tblMaster_Inputs[Activity_Type], "Baseline")</f>
        <v/>
      </c>
      <c r="E9">
        <f>SUMIFS(tblMaster_Inputs[Baseline_Amount], tblMaster_Inputs[Year], 2025, tblMaster_Inputs[Treatment_Profile], "SchC_Active", tblMaster_Inputs[Activity_Type], "Baseline")</f>
        <v/>
      </c>
      <c r="F9">
        <f>SUMIFS(tblMaster_Inputs[Baseline_Amount], tblMaster_Inputs[Year], 2026, tblMaster_Inputs[Treatment_Profile], "SchC_Active", tblMaster_Inputs[Activity_Type], "Baseline")</f>
        <v/>
      </c>
      <c r="G9">
        <f>SUMIFS(tblMaster_Inputs[Baseline_Amount], tblMaster_Inputs[Year], 2027, tblMaster_Inputs[Treatment_Profile], "SchC_Active", tblMaster_Inputs[Activity_Type], "Baseline")</f>
        <v/>
      </c>
      <c r="H9">
        <f>SUMIFS(tblMaster_Inputs[Baseline_Amount], tblMaster_Inputs[Year], 2028, tblMaster_Inputs[Treatment_Profile], "SchC_Active", tblMaster_Inputs[Activity_Type], "Baseline")</f>
        <v/>
      </c>
    </row>
    <row r="10">
      <c r="A10" t="inlineStr">
        <is>
          <t>8.SchE</t>
        </is>
      </c>
      <c r="B10" t="inlineStr">
        <is>
          <t>Schedule E rental</t>
        </is>
      </c>
      <c r="C10" s="12">
        <f>SUMIFS(tblMaster_Inputs[Baseline_Amount], tblMaster_Inputs[Year], 2023, tblMaster_Inputs[Treatment_Profile], "SchE_Rental", tblMaster_Inputs[Activity_Type], "Baseline") + SUMIFS(tblMaster_Inputs[Baseline_Amount], tblMaster_Inputs[Year], 2023, tblMaster_Inputs[Treatment_Profile], "SchE_REPro", tblMaster_Inputs[Activity_Type], "Baseline")</f>
        <v/>
      </c>
      <c r="D10" s="12">
        <f>SUMIFS(tblMaster_Inputs[Baseline_Amount], tblMaster_Inputs[Year], 2024, tblMaster_Inputs[Treatment_Profile], "SchE_Rental", tblMaster_Inputs[Activity_Type], "Baseline") + SUMIFS(tblMaster_Inputs[Baseline_Amount], tblMaster_Inputs[Year], 2024, tblMaster_Inputs[Treatment_Profile], "SchE_REPro", tblMaster_Inputs[Activity_Type], "Baseline")</f>
        <v/>
      </c>
      <c r="E10" s="12">
        <f>SUMIFS(tblMaster_Inputs[Baseline_Amount], tblMaster_Inputs[Year], 2025, tblMaster_Inputs[Treatment_Profile], "SchE_Rental", tblMaster_Inputs[Activity_Type], "Baseline") + SUMIFS(tblMaster_Inputs[Baseline_Amount], tblMaster_Inputs[Year], 2025, tblMaster_Inputs[Treatment_Profile], "SchE_REPro", tblMaster_Inputs[Activity_Type], "Baseline")</f>
        <v/>
      </c>
      <c r="F10" s="12">
        <f>SUMIFS(tblMaster_Inputs[Baseline_Amount], tblMaster_Inputs[Year], 2026, tblMaster_Inputs[Treatment_Profile], "SchE_Rental", tblMaster_Inputs[Activity_Type], "Baseline") + SUMIFS(tblMaster_Inputs[Baseline_Amount], tblMaster_Inputs[Year], 2026, tblMaster_Inputs[Treatment_Profile], "SchE_REPro", tblMaster_Inputs[Activity_Type], "Baseline")</f>
        <v/>
      </c>
      <c r="G10" s="12">
        <f>SUMIFS(tblMaster_Inputs[Baseline_Amount], tblMaster_Inputs[Year], 2027, tblMaster_Inputs[Treatment_Profile], "SchE_Rental", tblMaster_Inputs[Activity_Type], "Baseline") + SUMIFS(tblMaster_Inputs[Baseline_Amount], tblMaster_Inputs[Year], 2027, tblMaster_Inputs[Treatment_Profile], "SchE_REPro", tblMaster_Inputs[Activity_Type], "Baseline")</f>
        <v/>
      </c>
      <c r="H10" s="12">
        <f>SUMIFS(tblMaster_Inputs[Baseline_Amount], tblMaster_Inputs[Year], 2028, tblMaster_Inputs[Treatment_Profile], "SchE_Rental", tblMaster_Inputs[Activity_Type], "Baseline") + SUMIFS(tblMaster_Inputs[Baseline_Amount], tblMaster_Inputs[Year], 2028, tblMaster_Inputs[Treatment_Profile], "SchE_REPro", tblMaster_Inputs[Activity_Type], "Baseline")</f>
        <v/>
      </c>
    </row>
    <row r="11">
      <c r="A11" t="inlineStr">
        <is>
          <t>8.PTP</t>
        </is>
      </c>
      <c r="B11" t="inlineStr">
        <is>
          <t>Partnership K-1 (active+passive)</t>
        </is>
      </c>
      <c r="C11">
        <f>SUMIFS(tblMaster_Inputs[Baseline_Amount], tblMaster_Inputs[Year], 2023, tblMaster_Inputs[Treatment_Profile], "K1_PTP_Active", tblMaster_Inputs[Activity_Type], "Baseline") + SUMIFS(tblMaster_Inputs[Baseline_Amount], tblMaster_Inputs[Year], 2023, tblMaster_Inputs[Treatment_Profile], "K1_PTP_Passive", tblMaster_Inputs[Activity_Type], "Baseline")</f>
        <v/>
      </c>
      <c r="D11">
        <f>SUMIFS(tblMaster_Inputs[Baseline_Amount], tblMaster_Inputs[Year], 2024, tblMaster_Inputs[Treatment_Profile], "K1_PTP_Active", tblMaster_Inputs[Activity_Type], "Baseline") + SUMIFS(tblMaster_Inputs[Baseline_Amount], tblMaster_Inputs[Year], 2024, tblMaster_Inputs[Treatment_Profile], "K1_PTP_Passive", tblMaster_Inputs[Activity_Type], "Baseline")</f>
        <v/>
      </c>
      <c r="E11">
        <f>SUMIFS(tblMaster_Inputs[Baseline_Amount], tblMaster_Inputs[Year], 2025, tblMaster_Inputs[Treatment_Profile], "K1_PTP_Active", tblMaster_Inputs[Activity_Type], "Baseline") + SUMIFS(tblMaster_Inputs[Baseline_Amount], tblMaster_Inputs[Year], 2025, tblMaster_Inputs[Treatment_Profile], "K1_PTP_Passive", tblMaster_Inputs[Activity_Type], "Baseline")</f>
        <v/>
      </c>
      <c r="F11">
        <f>SUMIFS(tblMaster_Inputs[Baseline_Amount], tblMaster_Inputs[Year], 2026, tblMaster_Inputs[Treatment_Profile], "K1_PTP_Active", tblMaster_Inputs[Activity_Type], "Baseline") + SUMIFS(tblMaster_Inputs[Baseline_Amount], tblMaster_Inputs[Year], 2026, tblMaster_Inputs[Treatment_Profile], "K1_PTP_Passive", tblMaster_Inputs[Activity_Type], "Baseline")</f>
        <v/>
      </c>
      <c r="G11">
        <f>SUMIFS(tblMaster_Inputs[Baseline_Amount], tblMaster_Inputs[Year], 2027, tblMaster_Inputs[Treatment_Profile], "K1_PTP_Active", tblMaster_Inputs[Activity_Type], "Baseline") + SUMIFS(tblMaster_Inputs[Baseline_Amount], tblMaster_Inputs[Year], 2027, tblMaster_Inputs[Treatment_Profile], "K1_PTP_Passive", tblMaster_Inputs[Activity_Type], "Baseline")</f>
        <v/>
      </c>
      <c r="H11">
        <f>SUMIFS(tblMaster_Inputs[Baseline_Amount], tblMaster_Inputs[Year], 2028, tblMaster_Inputs[Treatment_Profile], "K1_PTP_Active", tblMaster_Inputs[Activity_Type], "Baseline") + SUMIFS(tblMaster_Inputs[Baseline_Amount], tblMaster_Inputs[Year], 2028, tblMaster_Inputs[Treatment_Profile], "K1_PTP_Passive", tblMaster_Inputs[Activity_Type], "Baseline")</f>
        <v/>
      </c>
    </row>
    <row r="12">
      <c r="A12" t="inlineStr">
        <is>
          <t>8.SCorp</t>
        </is>
      </c>
      <c r="B12" t="inlineStr">
        <is>
          <t>S-Corp K-1 (active+passive)</t>
        </is>
      </c>
      <c r="C12">
        <f>SUMIFS(tblMaster_Inputs[Baseline_Amount], tblMaster_Inputs[Year], 2023, tblMaster_Inputs[Treatment_Profile], "K1_SCorp_Active", tblMaster_Inputs[Activity_Type], "Baseline") + SUMIFS(tblMaster_Inputs[Baseline_Amount], tblMaster_Inputs[Year], 2023, tblMaster_Inputs[Treatment_Profile], "K1_SCorp_Passive", tblMaster_Inputs[Activity_Type], "Baseline")</f>
        <v/>
      </c>
      <c r="D12">
        <f>SUMIFS(tblMaster_Inputs[Baseline_Amount], tblMaster_Inputs[Year], 2024, tblMaster_Inputs[Treatment_Profile], "K1_SCorp_Active", tblMaster_Inputs[Activity_Type], "Baseline") + SUMIFS(tblMaster_Inputs[Baseline_Amount], tblMaster_Inputs[Year], 2024, tblMaster_Inputs[Treatment_Profile], "K1_SCorp_Passive", tblMaster_Inputs[Activity_Type], "Baseline")</f>
        <v/>
      </c>
      <c r="E12">
        <f>SUMIFS(tblMaster_Inputs[Baseline_Amount], tblMaster_Inputs[Year], 2025, tblMaster_Inputs[Treatment_Profile], "K1_SCorp_Active", tblMaster_Inputs[Activity_Type], "Baseline") + SUMIFS(tblMaster_Inputs[Baseline_Amount], tblMaster_Inputs[Year], 2025, tblMaster_Inputs[Treatment_Profile], "K1_SCorp_Passive", tblMaster_Inputs[Activity_Type], "Baseline")</f>
        <v/>
      </c>
      <c r="F12">
        <f>SUMIFS(tblMaster_Inputs[Baseline_Amount], tblMaster_Inputs[Year], 2026, tblMaster_Inputs[Treatment_Profile], "K1_SCorp_Active", tblMaster_Inputs[Activity_Type], "Baseline") + SUMIFS(tblMaster_Inputs[Baseline_Amount], tblMaster_Inputs[Year], 2026, tblMaster_Inputs[Treatment_Profile], "K1_SCorp_Passive", tblMaster_Inputs[Activity_Type], "Baseline")</f>
        <v/>
      </c>
      <c r="G12">
        <f>SUMIFS(tblMaster_Inputs[Baseline_Amount], tblMaster_Inputs[Year], 2027, tblMaster_Inputs[Treatment_Profile], "K1_SCorp_Active", tblMaster_Inputs[Activity_Type], "Baseline") + SUMIFS(tblMaster_Inputs[Baseline_Amount], tblMaster_Inputs[Year], 2027, tblMaster_Inputs[Treatment_Profile], "K1_SCorp_Passive", tblMaster_Inputs[Activity_Type], "Baseline")</f>
        <v/>
      </c>
      <c r="H12">
        <f>SUMIFS(tblMaster_Inputs[Baseline_Amount], tblMaster_Inputs[Year], 2028, tblMaster_Inputs[Treatment_Profile], "K1_SCorp_Active", tblMaster_Inputs[Activity_Type], "Baseline") + SUMIFS(tblMaster_Inputs[Baseline_Amount], tblMaster_Inputs[Year], 2028, tblMaster_Inputs[Treatment_Profile], "K1_SCorp_Passive", tblMaster_Inputs[Activity_Type], "Baseline")</f>
        <v/>
      </c>
    </row>
    <row r="13">
      <c r="A13" t="inlineStr">
        <is>
          <t>8.SchF</t>
        </is>
      </c>
      <c r="B13" t="inlineStr">
        <is>
          <t>Schedule F / farm</t>
        </is>
      </c>
      <c r="C13">
        <f>SUMIFS(tblMaster_Inputs[Baseline_Amount], tblMaster_Inputs[Year], 2023, tblMaster_Inputs[Treatment_Profile], "SchF_Active", tblMaster_Inputs[Activity_Type], "Baseline")</f>
        <v/>
      </c>
      <c r="D13">
        <f>SUMIFS(tblMaster_Inputs[Baseline_Amount], tblMaster_Inputs[Year], 2024, tblMaster_Inputs[Treatment_Profile], "SchF_Active", tblMaster_Inputs[Activity_Type], "Baseline")</f>
        <v/>
      </c>
      <c r="E13">
        <f>SUMIFS(tblMaster_Inputs[Baseline_Amount], tblMaster_Inputs[Year], 2025, tblMaster_Inputs[Treatment_Profile], "SchF_Active", tblMaster_Inputs[Activity_Type], "Baseline")</f>
        <v/>
      </c>
      <c r="F13">
        <f>SUMIFS(tblMaster_Inputs[Baseline_Amount], tblMaster_Inputs[Year], 2026, tblMaster_Inputs[Treatment_Profile], "SchF_Active", tblMaster_Inputs[Activity_Type], "Baseline")</f>
        <v/>
      </c>
      <c r="G13">
        <f>SUMIFS(tblMaster_Inputs[Baseline_Amount], tblMaster_Inputs[Year], 2027, tblMaster_Inputs[Treatment_Profile], "SchF_Active", tblMaster_Inputs[Activity_Type], "Baseline")</f>
        <v/>
      </c>
      <c r="H13">
        <f>SUMIFS(tblMaster_Inputs[Baseline_Amount], tblMaster_Inputs[Year], 2028, tblMaster_Inputs[Treatment_Profile], "SchF_Active", tblMaster_Inputs[Activity_Type], "Baseline")</f>
        <v/>
      </c>
    </row>
    <row r="14">
      <c r="A14" t="inlineStr">
        <is>
          <t>8.Trust</t>
        </is>
      </c>
      <c r="B14" t="inlineStr">
        <is>
          <t>Trust K-1</t>
        </is>
      </c>
      <c r="C14">
        <f>SUMIFS(tblMaster_Inputs[Baseline_Amount], tblMaster_Inputs[Year], 2023, tblMaster_Inputs[Treatment_Profile], "Trust_K1", tblMaster_Inputs[Activity_Type], "Baseline")</f>
        <v/>
      </c>
      <c r="D14">
        <f>SUMIFS(tblMaster_Inputs[Baseline_Amount], tblMaster_Inputs[Year], 2024, tblMaster_Inputs[Treatment_Profile], "Trust_K1", tblMaster_Inputs[Activity_Type], "Baseline")</f>
        <v/>
      </c>
      <c r="E14">
        <f>SUMIFS(tblMaster_Inputs[Baseline_Amount], tblMaster_Inputs[Year], 2025, tblMaster_Inputs[Treatment_Profile], "Trust_K1", tblMaster_Inputs[Activity_Type], "Baseline")</f>
        <v/>
      </c>
      <c r="F14">
        <f>SUMIFS(tblMaster_Inputs[Baseline_Amount], tblMaster_Inputs[Year], 2026, tblMaster_Inputs[Treatment_Profile], "Trust_K1", tblMaster_Inputs[Activity_Type], "Baseline")</f>
        <v/>
      </c>
      <c r="G14">
        <f>SUMIFS(tblMaster_Inputs[Baseline_Amount], tblMaster_Inputs[Year], 2027, tblMaster_Inputs[Treatment_Profile], "Trust_K1", tblMaster_Inputs[Activity_Type], "Baseline")</f>
        <v/>
      </c>
      <c r="H14">
        <f>SUMIFS(tblMaster_Inputs[Baseline_Amount], tblMaster_Inputs[Year], 2028, tblMaster_Inputs[Treatment_Profile], "Trust_K1", tblMaster_Inputs[Activity_Type], "Baseline")</f>
        <v/>
      </c>
    </row>
    <row r="15">
      <c r="A15" s="5" t="inlineStr">
        <is>
          <t>8</t>
        </is>
      </c>
      <c r="B15" s="5" t="inlineStr">
        <is>
          <t>Other income (Line 8 total)</t>
        </is>
      </c>
      <c r="C15" s="5">
        <f>C9+C10+C11+C12+C13+C14</f>
        <v/>
      </c>
      <c r="D15" s="5">
        <f>D9+D10+D11+D12+D13+D14</f>
        <v/>
      </c>
      <c r="E15" s="5">
        <f>E9+E10+E11+E12+E13+E14</f>
        <v/>
      </c>
      <c r="F15" s="5">
        <f>F9+F10+F11+F12+F13+F14</f>
        <v/>
      </c>
      <c r="G15" s="5">
        <f>G9+G10+G11+G12+G13+G14</f>
        <v/>
      </c>
      <c r="H15" s="5">
        <f>H9+H10+H11+H12+H13+H14</f>
        <v/>
      </c>
    </row>
    <row r="16">
      <c r="A16" s="5" t="inlineStr">
        <is>
          <t>9</t>
        </is>
      </c>
      <c r="B16" s="5" t="inlineStr">
        <is>
          <t>TOTAL INCOME</t>
        </is>
      </c>
      <c r="C16" s="5">
        <f>C5+C6+C7+C8+C15</f>
        <v/>
      </c>
      <c r="D16" s="5">
        <f>D5+D6+D7+D8+D15</f>
        <v/>
      </c>
      <c r="E16" s="5">
        <f>E5+E6+E7+E8+E15</f>
        <v/>
      </c>
      <c r="F16" s="5">
        <f>F5+F6+F7+F8+F15</f>
        <v/>
      </c>
      <c r="G16" s="5">
        <f>G5+G6+G7+G8+G15</f>
        <v/>
      </c>
      <c r="H16" s="5">
        <f>H5+H6+H7+H8+H15</f>
        <v/>
      </c>
    </row>
    <row r="17">
      <c r="A17" t="inlineStr">
        <is>
          <t>10</t>
        </is>
      </c>
      <c r="B17" t="inlineStr">
        <is>
          <t>Adjustments to income</t>
        </is>
      </c>
      <c r="C17">
        <f>SUMIFS(tblMaster_Inputs[Baseline_Amount], tblMaster_Inputs[Year], 2023, tblMaster_Inputs[Primary_Line], "10", tblMaster_Inputs[Activity_Type], "Baseline")</f>
        <v/>
      </c>
      <c r="D17">
        <f>SUMIFS(tblMaster_Inputs[Baseline_Amount], tblMaster_Inputs[Year], 2024, tblMaster_Inputs[Primary_Line], "10", tblMaster_Inputs[Activity_Type], "Baseline")</f>
        <v/>
      </c>
      <c r="E17">
        <f>SUMIFS(tblMaster_Inputs[Baseline_Amount], tblMaster_Inputs[Year], 2025, tblMaster_Inputs[Primary_Line], "10", tblMaster_Inputs[Activity_Type], "Baseline")</f>
        <v/>
      </c>
      <c r="F17">
        <f>SUMIFS(tblMaster_Inputs[Baseline_Amount], tblMaster_Inputs[Year], 2026, tblMaster_Inputs[Primary_Line], "10", tblMaster_Inputs[Activity_Type], "Baseline")</f>
        <v/>
      </c>
      <c r="G17">
        <f>SUMIFS(tblMaster_Inputs[Baseline_Amount], tblMaster_Inputs[Year], 2027, tblMaster_Inputs[Primary_Line], "10", tblMaster_Inputs[Activity_Type], "Baseline")</f>
        <v/>
      </c>
      <c r="H17">
        <f>SUMIFS(tblMaster_Inputs[Baseline_Amount], tblMaster_Inputs[Year], 2028, tblMaster_Inputs[Primary_Line], "10", tblMaster_Inputs[Activity_Type], "Baseline")</f>
        <v/>
      </c>
    </row>
    <row r="18">
      <c r="A18" s="5" t="inlineStr">
        <is>
          <t>11</t>
        </is>
      </c>
      <c r="B18" s="5" t="inlineStr">
        <is>
          <t>AGI</t>
        </is>
      </c>
      <c r="C18" s="5">
        <f>C16+C17</f>
        <v/>
      </c>
      <c r="D18" s="5">
        <f>D16+D17</f>
        <v/>
      </c>
      <c r="E18" s="5">
        <f>E16+E17</f>
        <v/>
      </c>
      <c r="F18" s="5">
        <f>F16+F17</f>
        <v/>
      </c>
      <c r="G18" s="5">
        <f>G16+G17</f>
        <v/>
      </c>
      <c r="H18" s="5">
        <f>H16+H17</f>
        <v/>
      </c>
    </row>
    <row r="19">
      <c r="A19" t="inlineStr">
        <is>
          <t>12</t>
        </is>
      </c>
      <c r="B19" t="inlineStr">
        <is>
          <t>Std/Itemized deduction</t>
        </is>
      </c>
      <c r="C19">
        <f>SUMIFS(tblMaster_Inputs[Baseline_Amount], tblMaster_Inputs[Year], 2023, tblMaster_Inputs[Primary_Line], "12", tblMaster_Inputs[Activity_Type], "Baseline")</f>
        <v/>
      </c>
      <c r="D19">
        <f>SUMIFS(tblMaster_Inputs[Baseline_Amount], tblMaster_Inputs[Year], 2024, tblMaster_Inputs[Primary_Line], "12", tblMaster_Inputs[Activity_Type], "Baseline")</f>
        <v/>
      </c>
      <c r="E19">
        <f>SUMIFS(tblMaster_Inputs[Baseline_Amount], tblMaster_Inputs[Year], 2025, tblMaster_Inputs[Primary_Line], "12", tblMaster_Inputs[Activity_Type], "Baseline")</f>
        <v/>
      </c>
      <c r="F19">
        <f>SUMIFS(tblMaster_Inputs[Baseline_Amount], tblMaster_Inputs[Year], 2026, tblMaster_Inputs[Primary_Line], "12", tblMaster_Inputs[Activity_Type], "Baseline")</f>
        <v/>
      </c>
      <c r="G19">
        <f>SUMIFS(tblMaster_Inputs[Baseline_Amount], tblMaster_Inputs[Year], 2027, tblMaster_Inputs[Primary_Line], "12", tblMaster_Inputs[Activity_Type], "Baseline")</f>
        <v/>
      </c>
      <c r="H19">
        <f>SUMIFS(tblMaster_Inputs[Baseline_Amount], tblMaster_Inputs[Year], 2028, tblMaster_Inputs[Primary_Line], "12", tblMaster_Inputs[Activity_Type], "Baseline")</f>
        <v/>
      </c>
    </row>
    <row r="20">
      <c r="A20" t="inlineStr">
        <is>
          <t>13</t>
        </is>
      </c>
      <c r="B20" t="inlineStr">
        <is>
          <t>QBI deduction</t>
        </is>
      </c>
      <c r="C20">
        <f>SUMIFS(tblMaster_Inputs[Baseline_Amount], tblMaster_Inputs[Year], 2023, tblMaster_Inputs[Primary_Line], "13", tblMaster_Inputs[Activity_Type], "Baseline")</f>
        <v/>
      </c>
      <c r="D20">
        <f>SUMIFS(tblMaster_Inputs[Baseline_Amount], tblMaster_Inputs[Year], 2024, tblMaster_Inputs[Primary_Line], "13", tblMaster_Inputs[Activity_Type], "Baseline")</f>
        <v/>
      </c>
      <c r="E20">
        <f>SUMIFS(tblMaster_Inputs[Baseline_Amount], tblMaster_Inputs[Year], 2025, tblMaster_Inputs[Primary_Line], "13", tblMaster_Inputs[Activity_Type], "Baseline")</f>
        <v/>
      </c>
      <c r="F20">
        <f>SUMIFS(tblMaster_Inputs[Baseline_Amount], tblMaster_Inputs[Year], 2026, tblMaster_Inputs[Primary_Line], "13", tblMaster_Inputs[Activity_Type], "Baseline")</f>
        <v/>
      </c>
      <c r="G20">
        <f>SUMIFS(tblMaster_Inputs[Baseline_Amount], tblMaster_Inputs[Year], 2027, tblMaster_Inputs[Primary_Line], "13", tblMaster_Inputs[Activity_Type], "Baseline")</f>
        <v/>
      </c>
      <c r="H20">
        <f>SUMIFS(tblMaster_Inputs[Baseline_Amount], tblMaster_Inputs[Year], 2028, tblMaster_Inputs[Primary_Line], "13", tblMaster_Inputs[Activity_Type], "Baseline")</f>
        <v/>
      </c>
    </row>
    <row r="21">
      <c r="A21" s="5" t="inlineStr">
        <is>
          <t>15</t>
        </is>
      </c>
      <c r="B21" s="5" t="inlineStr">
        <is>
          <t>TAXABLE INCOME</t>
        </is>
      </c>
      <c r="C21" s="5">
        <f>C18+C19+C20</f>
        <v/>
      </c>
      <c r="D21" s="5">
        <f>D18+D19+D20</f>
        <v/>
      </c>
      <c r="E21" s="5">
        <f>E18+E19+E20</f>
        <v/>
      </c>
      <c r="F21" s="5">
        <f>F18+F19+F20</f>
        <v/>
      </c>
      <c r="G21" s="5">
        <f>G18+G19+G20</f>
        <v/>
      </c>
      <c r="H21" s="5">
        <f>H18+H19+H20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808080"/>
    <outlinePr summaryBelow="1" summaryRight="1"/>
    <pageSetUpPr/>
  </sheetPr>
  <dimension ref="A1:H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19" min="1" max="1"/>
    <col width="50" customWidth="1" style="19" min="2" max="2"/>
    <col width="14" customWidth="1" style="19" min="3" max="8"/>
  </cols>
  <sheetData>
    <row r="1" ht="18.5" customHeight="1" s="19">
      <c r="A1" s="1" t="inlineStr">
        <is>
          <t>PIVOT — DETAILED (full 1040 page-1 lines incl. informational 2a/3a; multi-year baseline)</t>
        </is>
      </c>
    </row>
    <row r="2">
      <c r="A2" s="2" t="inlineStr">
        <is>
          <t>2a and 3a are informational (carve-outs of helpers); they don't add to Line 9 Total Income.</t>
        </is>
      </c>
    </row>
    <row r="3"/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</row>
    <row r="6">
      <c r="A6" t="inlineStr">
        <is>
          <t>2a</t>
        </is>
      </c>
      <c r="B6" s="6" t="inlineStr">
        <is>
          <t>Tax-exempt interest (informational)</t>
        </is>
      </c>
      <c r="C6">
        <f>SUMIFS(tblMaster_Inputs[Helper_Amount], tblMaster_Inputs[Year], 2023, tblMaster_Inputs[Helper_Treatment], "TAX_EXEMPT", tblMaster_Inputs[Activity_Type], "Baseline")</f>
        <v/>
      </c>
      <c r="D6">
        <f>SUMIFS(tblMaster_Inputs[Helper_Amount], tblMaster_Inputs[Year], 2024, tblMaster_Inputs[Helper_Treatment], "TAX_EXEMPT", tblMaster_Inputs[Activity_Type], "Baseline")</f>
        <v/>
      </c>
      <c r="E6">
        <f>SUMIFS(tblMaster_Inputs[Helper_Amount], tblMaster_Inputs[Year], 2025, tblMaster_Inputs[Helper_Treatment], "TAX_EXEMPT", tblMaster_Inputs[Activity_Type], "Baseline")</f>
        <v/>
      </c>
      <c r="F6">
        <f>SUMIFS(tblMaster_Inputs[Helper_Amount], tblMaster_Inputs[Year], 2026, tblMaster_Inputs[Helper_Treatment], "TAX_EXEMPT", tblMaster_Inputs[Activity_Type], "Baseline")</f>
        <v/>
      </c>
      <c r="G6">
        <f>SUMIFS(tblMaster_Inputs[Helper_Amount], tblMaster_Inputs[Year], 2027, tblMaster_Inputs[Helper_Treatment], "TAX_EXEMPT", tblMaster_Inputs[Activity_Type], "Baseline")</f>
        <v/>
      </c>
      <c r="H6">
        <f>SUMIFS(tblMaster_Inputs[Helper_Amount], tblMaster_Inputs[Year], 2028, tblMaster_Inputs[Helper_Treatment], "TAX_EXEMPT", tblMaster_Inputs[Activity_Type], "Baseline")</f>
        <v/>
      </c>
    </row>
    <row r="7">
      <c r="A7" t="inlineStr">
        <is>
          <t>2b</t>
        </is>
      </c>
      <c r="B7" t="inlineStr">
        <is>
          <t>Taxable interest</t>
        </is>
      </c>
      <c r="C7">
        <f>SUMIFS(tblMaster_Inputs[Baseline_Amount], tblMaster_Inputs[Year], 2023, tblMaster_Inputs[Primary_Line], "2b", tblMaster_Inputs[Activity_Type], "Baseline")</f>
        <v/>
      </c>
      <c r="D7">
        <f>SUMIFS(tblMaster_Inputs[Baseline_Amount], tblMaster_Inputs[Year], 2024, tblMaster_Inputs[Primary_Line], "2b", tblMaster_Inputs[Activity_Type], "Baseline")</f>
        <v/>
      </c>
      <c r="E7">
        <f>SUMIFS(tblMaster_Inputs[Baseline_Amount], tblMaster_Inputs[Year], 2025, tblMaster_Inputs[Primary_Line], "2b", tblMaster_Inputs[Activity_Type], "Baseline")</f>
        <v/>
      </c>
      <c r="F7">
        <f>SUMIFS(tblMaster_Inputs[Baseline_Amount], tblMaster_Inputs[Year], 2026, tblMaster_Inputs[Primary_Line], "2b", tblMaster_Inputs[Activity_Type], "Baseline")</f>
        <v/>
      </c>
      <c r="G7">
        <f>SUMIFS(tblMaster_Inputs[Baseline_Amount], tblMaster_Inputs[Year], 2027, tblMaster_Inputs[Primary_Line], "2b", tblMaster_Inputs[Activity_Type], "Baseline")</f>
        <v/>
      </c>
      <c r="H7">
        <f>SUMIFS(tblMaster_Inputs[Baseline_Amount], tblMaster_Inputs[Year], 2028, tblMaster_Inputs[Primary_Line], "2b", tblMaster_Inputs[Activity_Type], "Baseline")</f>
        <v/>
      </c>
    </row>
    <row r="8">
      <c r="A8" t="inlineStr">
        <is>
          <t>3a</t>
        </is>
      </c>
      <c r="B8" s="6" t="inlineStr">
        <is>
          <t>Qualified dividends (informational)</t>
        </is>
      </c>
      <c r="C8">
        <f>SUMIFS(tblMaster_Inputs[Helper_Amount], tblMaster_Inputs[Year], 2023, tblMaster_Inputs[Helper_Treatment], "QUAL_DIV", tblMaster_Inputs[Activity_Type], "Baseline")</f>
        <v/>
      </c>
      <c r="D8">
        <f>SUMIFS(tblMaster_Inputs[Helper_Amount], tblMaster_Inputs[Year], 2024, tblMaster_Inputs[Helper_Treatment], "QUAL_DIV", tblMaster_Inputs[Activity_Type], "Baseline")</f>
        <v/>
      </c>
      <c r="E8">
        <f>SUMIFS(tblMaster_Inputs[Helper_Amount], tblMaster_Inputs[Year], 2025, tblMaster_Inputs[Helper_Treatment], "QUAL_DIV", tblMaster_Inputs[Activity_Type], "Baseline")</f>
        <v/>
      </c>
      <c r="F8">
        <f>SUMIFS(tblMaster_Inputs[Helper_Amount], tblMaster_Inputs[Year], 2026, tblMaster_Inputs[Helper_Treatment], "QUAL_DIV", tblMaster_Inputs[Activity_Type], "Baseline")</f>
        <v/>
      </c>
      <c r="G8">
        <f>SUMIFS(tblMaster_Inputs[Helper_Amount], tblMaster_Inputs[Year], 2027, tblMaster_Inputs[Helper_Treatment], "QUAL_DIV", tblMaster_Inputs[Activity_Type], "Baseline")</f>
        <v/>
      </c>
      <c r="H8">
        <f>SUMIFS(tblMaster_Inputs[Helper_Amount], tblMaster_Inputs[Year], 2028, tblMaster_Inputs[Helper_Treatment], "QUAL_DIV", tblMaster_Inputs[Activity_Type], "Baseline")</f>
        <v/>
      </c>
    </row>
    <row r="9">
      <c r="A9" t="inlineStr">
        <is>
          <t>3b</t>
        </is>
      </c>
      <c r="B9" t="inlineStr">
        <is>
          <t>Ordinary dividends (total incl qualified)</t>
        </is>
      </c>
      <c r="C9">
        <f>SUMIFS(tblMaster_Inputs[Baseline_Amount], tblMaster_Inputs[Year], 2023, tblMaster_Inputs[Primary_Line], "3b", tblMaster_Inputs[Activity_Type], "Baseline")</f>
        <v/>
      </c>
      <c r="D9">
        <f>SUMIFS(tblMaster_Inputs[Baseline_Amount], tblMaster_Inputs[Year], 2024, tblMaster_Inputs[Primary_Line], "3b", tblMaster_Inputs[Activity_Type], "Baseline")</f>
        <v/>
      </c>
      <c r="E9">
        <f>SUMIFS(tblMaster_Inputs[Baseline_Amount], tblMaster_Inputs[Year], 2025, tblMaster_Inputs[Primary_Line], "3b", tblMaster_Inputs[Activity_Type], "Baseline")</f>
        <v/>
      </c>
      <c r="F9">
        <f>SUMIFS(tblMaster_Inputs[Baseline_Amount], tblMaster_Inputs[Year], 2026, tblMaster_Inputs[Primary_Line], "3b", tblMaster_Inputs[Activity_Type], "Baseline")</f>
        <v/>
      </c>
      <c r="G9">
        <f>SUMIFS(tblMaster_Inputs[Baseline_Amount], tblMaster_Inputs[Year], 2027, tblMaster_Inputs[Primary_Line], "3b", tblMaster_Inputs[Activity_Type], "Baseline")</f>
        <v/>
      </c>
      <c r="H9">
        <f>SUMIFS(tblMaster_Inputs[Baseline_Amount], tblMaster_Inputs[Year], 2028, tblMaster_Inputs[Primary_Line], "3b", tblMaster_Inputs[Activity_Type], "Baseline")</f>
        <v/>
      </c>
    </row>
    <row r="10">
      <c r="A10" t="inlineStr">
        <is>
          <t>7</t>
        </is>
      </c>
      <c r="B10" t="inlineStr">
        <is>
          <t>Capital gain or (loss)</t>
        </is>
      </c>
      <c r="C10">
        <f>SUMIFS(tblMaster_Inputs[Baseline_Amount], tblMaster_Inputs[Year], 2023, tblMaster_Inputs[Primary_Line], "7", tblMaster_Inputs[Activity_Type], "Baseline")</f>
        <v/>
      </c>
      <c r="D10">
        <f>SUMIFS(tblMaster_Inputs[Baseline_Amount], tblMaster_Inputs[Year], 2024, tblMaster_Inputs[Primary_Line], "7", tblMaster_Inputs[Activity_Type], "Baseline")</f>
        <v/>
      </c>
      <c r="E10">
        <f>SUMIFS(tblMaster_Inputs[Baseline_Amount], tblMaster_Inputs[Year], 2025, tblMaster_Inputs[Primary_Line], "7", tblMaster_Inputs[Activity_Type], "Baseline")</f>
        <v/>
      </c>
      <c r="F10">
        <f>SUMIFS(tblMaster_Inputs[Baseline_Amount], tblMaster_Inputs[Year], 2026, tblMaster_Inputs[Primary_Line], "7", tblMaster_Inputs[Activity_Type], "Baseline")</f>
        <v/>
      </c>
      <c r="G10">
        <f>SUMIFS(tblMaster_Inputs[Baseline_Amount], tblMaster_Inputs[Year], 2027, tblMaster_Inputs[Primary_Line], "7", tblMaster_Inputs[Activity_Type], "Baseline")</f>
        <v/>
      </c>
      <c r="H10">
        <f>SUMIFS(tblMaster_Inputs[Baseline_Amount], tblMaster_Inputs[Year], 2028, tblMaster_Inputs[Primary_Line], "7", tblMaster_Inputs[Activity_Type], "Baseline")</f>
        <v/>
      </c>
    </row>
    <row r="11">
      <c r="A11" t="inlineStr">
        <is>
          <t>8</t>
        </is>
      </c>
      <c r="B11" t="inlineStr">
        <is>
          <t>Other income (biz via Sch 1)</t>
        </is>
      </c>
      <c r="C11">
        <f>SUMIFS(tblMaster_Inputs[Baseline_Amount], tblMaster_Inputs[Year], 2023, tblMaster_Inputs[Primary_Line], "8", tblMaster_Inputs[Activity_Type], "Baseline")</f>
        <v/>
      </c>
      <c r="D11">
        <f>SUMIFS(tblMaster_Inputs[Baseline_Amount], tblMaster_Inputs[Year], 2024, tblMaster_Inputs[Primary_Line], "8", tblMaster_Inputs[Activity_Type], "Baseline")</f>
        <v/>
      </c>
      <c r="E11">
        <f>SUMIFS(tblMaster_Inputs[Baseline_Amount], tblMaster_Inputs[Year], 2025, tblMaster_Inputs[Primary_Line], "8", tblMaster_Inputs[Activity_Type], "Baseline")</f>
        <v/>
      </c>
      <c r="F11">
        <f>SUMIFS(tblMaster_Inputs[Baseline_Amount], tblMaster_Inputs[Year], 2026, tblMaster_Inputs[Primary_Line], "8", tblMaster_Inputs[Activity_Type], "Baseline")</f>
        <v/>
      </c>
      <c r="G11">
        <f>SUMIFS(tblMaster_Inputs[Baseline_Amount], tblMaster_Inputs[Year], 2027, tblMaster_Inputs[Primary_Line], "8", tblMaster_Inputs[Activity_Type], "Baseline")</f>
        <v/>
      </c>
      <c r="H11">
        <f>SUMIFS(tblMaster_Inputs[Baseline_Amount], tblMaster_Inputs[Year], 2028, tblMaster_Inputs[Primary_Line], "8", tblMaster_Inputs[Activity_Type], "Baseline")</f>
        <v/>
      </c>
    </row>
    <row r="12">
      <c r="A12" s="5" t="inlineStr">
        <is>
          <t>9</t>
        </is>
      </c>
      <c r="B12" s="5" t="inlineStr">
        <is>
          <t>TOTAL INCOME</t>
        </is>
      </c>
      <c r="C12" s="5">
        <f>C5+C7+C9+C10+C11</f>
        <v/>
      </c>
      <c r="D12" s="5">
        <f>D5+D7+D9+D10+D11</f>
        <v/>
      </c>
      <c r="E12" s="5">
        <f>E5+E7+E9+E10+E11</f>
        <v/>
      </c>
      <c r="F12" s="5">
        <f>F5+F7+F9+F10+F11</f>
        <v/>
      </c>
      <c r="G12" s="5">
        <f>G5+G7+G9+G10+G11</f>
        <v/>
      </c>
      <c r="H12" s="5">
        <f>H5+H7+H9+H10+H11</f>
        <v/>
      </c>
    </row>
    <row r="13">
      <c r="A13" t="inlineStr">
        <is>
          <t>10</t>
        </is>
      </c>
      <c r="B13" t="inlineStr">
        <is>
          <t>Adjustments to income</t>
        </is>
      </c>
      <c r="C13">
        <f>SUMIFS(tblMaster_Inputs[Baseline_Amount], tblMaster_Inputs[Year], 2023, tblMaster_Inputs[Primary_Line], "10", tblMaster_Inputs[Activity_Type], "Baseline")</f>
        <v/>
      </c>
      <c r="D13">
        <f>SUMIFS(tblMaster_Inputs[Baseline_Amount], tblMaster_Inputs[Year], 2024, tblMaster_Inputs[Primary_Line], "10", tblMaster_Inputs[Activity_Type], "Baseline")</f>
        <v/>
      </c>
      <c r="E13">
        <f>SUMIFS(tblMaster_Inputs[Baseline_Amount], tblMaster_Inputs[Year], 2025, tblMaster_Inputs[Primary_Line], "10", tblMaster_Inputs[Activity_Type], "Baseline")</f>
        <v/>
      </c>
      <c r="F13">
        <f>SUMIFS(tblMaster_Inputs[Baseline_Amount], tblMaster_Inputs[Year], 2026, tblMaster_Inputs[Primary_Line], "10", tblMaster_Inputs[Activity_Type], "Baseline")</f>
        <v/>
      </c>
      <c r="G13">
        <f>SUMIFS(tblMaster_Inputs[Baseline_Amount], tblMaster_Inputs[Year], 2027, tblMaster_Inputs[Primary_Line], "10", tblMaster_Inputs[Activity_Type], "Baseline")</f>
        <v/>
      </c>
      <c r="H13">
        <f>SUMIFS(tblMaster_Inputs[Baseline_Amount], tblMaster_Inputs[Year], 2028, tblMaster_Inputs[Primary_Line], "10", tblMaster_Inputs[Activity_Type], "Baseline")</f>
        <v/>
      </c>
    </row>
    <row r="14">
      <c r="A14" s="5" t="inlineStr">
        <is>
          <t>11</t>
        </is>
      </c>
      <c r="B14" s="5" t="inlineStr">
        <is>
          <t>AGI</t>
        </is>
      </c>
      <c r="C14" s="5">
        <f>C12+C13</f>
        <v/>
      </c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</row>
    <row r="15">
      <c r="A15" t="inlineStr">
        <is>
          <t>12</t>
        </is>
      </c>
      <c r="B15" t="inlineStr">
        <is>
          <t>Std/Itemized deduction</t>
        </is>
      </c>
      <c r="C15">
        <f>SUMIFS(tblMaster_Inputs[Baseline_Amount], tblMaster_Inputs[Year], 2023, tblMaster_Inputs[Primary_Line], "12", tblMaster_Inputs[Activity_Type], "Baseline")</f>
        <v/>
      </c>
      <c r="D15">
        <f>SUMIFS(tblMaster_Inputs[Baseline_Amount], tblMaster_Inputs[Year], 2024, tblMaster_Inputs[Primary_Line], "12", tblMaster_Inputs[Activity_Type], "Baseline")</f>
        <v/>
      </c>
      <c r="E15">
        <f>SUMIFS(tblMaster_Inputs[Baseline_Amount], tblMaster_Inputs[Year], 2025, tblMaster_Inputs[Primary_Line], "12", tblMaster_Inputs[Activity_Type], "Baseline")</f>
        <v/>
      </c>
      <c r="F15">
        <f>SUMIFS(tblMaster_Inputs[Baseline_Amount], tblMaster_Inputs[Year], 2026, tblMaster_Inputs[Primary_Line], "12", tblMaster_Inputs[Activity_Type], "Baseline")</f>
        <v/>
      </c>
      <c r="G15">
        <f>SUMIFS(tblMaster_Inputs[Baseline_Amount], tblMaster_Inputs[Year], 2027, tblMaster_Inputs[Primary_Line], "12", tblMaster_Inputs[Activity_Type], "Baseline")</f>
        <v/>
      </c>
      <c r="H15">
        <f>SUMIFS(tblMaster_Inputs[Baseline_Amount], tblMaster_Inputs[Year], 2028, tblMaster_Inputs[Primary_Line], "12", tblMaster_Inputs[Activity_Type], "Baseline")</f>
        <v/>
      </c>
    </row>
    <row r="16">
      <c r="A16" t="inlineStr">
        <is>
          <t>13</t>
        </is>
      </c>
      <c r="B16" t="inlineStr">
        <is>
          <t>QBI deduction</t>
        </is>
      </c>
      <c r="C16">
        <f>SUMIFS(tblMaster_Inputs[Baseline_Amount], tblMaster_Inputs[Year], 2023, tblMaster_Inputs[Primary_Line], "13", tblMaster_Inputs[Activity_Type], "Baseline")</f>
        <v/>
      </c>
      <c r="D16">
        <f>SUMIFS(tblMaster_Inputs[Baseline_Amount], tblMaster_Inputs[Year], 2024, tblMaster_Inputs[Primary_Line], "13", tblMaster_Inputs[Activity_Type], "Baseline")</f>
        <v/>
      </c>
      <c r="E16">
        <f>SUMIFS(tblMaster_Inputs[Baseline_Amount], tblMaster_Inputs[Year], 2025, tblMaster_Inputs[Primary_Line], "13", tblMaster_Inputs[Activity_Type], "Baseline")</f>
        <v/>
      </c>
      <c r="F16">
        <f>SUMIFS(tblMaster_Inputs[Baseline_Amount], tblMaster_Inputs[Year], 2026, tblMaster_Inputs[Primary_Line], "13", tblMaster_Inputs[Activity_Type], "Baseline")</f>
        <v/>
      </c>
      <c r="G16">
        <f>SUMIFS(tblMaster_Inputs[Baseline_Amount], tblMaster_Inputs[Year], 2027, tblMaster_Inputs[Primary_Line], "13", tblMaster_Inputs[Activity_Type], "Baseline")</f>
        <v/>
      </c>
      <c r="H16">
        <f>SUMIFS(tblMaster_Inputs[Baseline_Amount], tblMaster_Inputs[Year], 2028, tblMaster_Inputs[Primary_Line], "13", tblMaster_Inputs[Activity_Type], "Baseline")</f>
        <v/>
      </c>
    </row>
    <row r="17">
      <c r="A17" s="5" t="inlineStr">
        <is>
          <t>15</t>
        </is>
      </c>
      <c r="B17" s="5" t="inlineStr">
        <is>
          <t>TAXABLE INCOME</t>
        </is>
      </c>
      <c r="C17" s="5">
        <f>C14+C15+C16</f>
        <v/>
      </c>
      <c r="D17" s="5">
        <f>D14+D15+D16</f>
        <v/>
      </c>
      <c r="E17" s="5">
        <f>E14+E15+E16</f>
        <v/>
      </c>
      <c r="F17" s="5">
        <f>F14+F15+F16</f>
        <v/>
      </c>
      <c r="G17" s="5">
        <f>G14+G15+G16</f>
        <v/>
      </c>
      <c r="H17" s="5">
        <f>H14+H15+H16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808080"/>
    <outlinePr summaryBelow="1" summaryRight="1"/>
    <pageSetUpPr/>
  </sheetPr>
  <dimension ref="A1:H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19" min="1" max="1"/>
    <col width="50" customWidth="1" style="19" min="2" max="2"/>
    <col width="14" customWidth="1" style="19" min="3" max="8"/>
  </cols>
  <sheetData>
    <row r="1" ht="18.5" customHeight="1" s="19">
      <c r="A1" s="1" t="inlineStr">
        <is>
          <t>PIVOT — HELPERS / TAX-CALC INPUTS (multi-year; sub-carves of main pivot lines; do NOT add to 1040 totals)</t>
        </is>
      </c>
    </row>
    <row r="2">
      <c r="A2" s="2" t="inlineStr">
        <is>
          <t>These exist for LAMBDA inputs only — qualified div for LTCG stacking, owner W-2 for FICA, etc.</t>
        </is>
      </c>
    </row>
    <row r="3"/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</row>
    <row r="5">
      <c r="A5" t="inlineStr">
        <is>
          <t>W2_OWNER</t>
        </is>
      </c>
      <c r="B5" t="inlineStr">
        <is>
          <t>Owner W-2 wages (Treatment_Profile=W2_SCorpOwner)</t>
        </is>
      </c>
      <c r="C5">
        <f>SUMIFS(tblMaster_Inputs[Baseline_Amount], tblMaster_Inputs[Year], 2023, tblMaster_Inputs[Treatment_Profile], "W2_SCorpOwner", tblMaster_Inputs[Activity_Type], "Baseline")</f>
        <v/>
      </c>
      <c r="D5">
        <f>SUMIFS(tblMaster_Inputs[Baseline_Amount], tblMaster_Inputs[Year], 2024, tblMaster_Inputs[Treatment_Profile], "W2_SCorpOwner", tblMaster_Inputs[Activity_Type], "Baseline")</f>
        <v/>
      </c>
      <c r="E5">
        <f>SUMIFS(tblMaster_Inputs[Baseline_Amount], tblMaster_Inputs[Year], 2025, tblMaster_Inputs[Treatment_Profile], "W2_SCorpOwner", tblMaster_Inputs[Activity_Type], "Baseline")</f>
        <v/>
      </c>
      <c r="F5">
        <f>SUMIFS(tblMaster_Inputs[Baseline_Amount], tblMaster_Inputs[Year], 2026, tblMaster_Inputs[Treatment_Profile], "W2_SCorpOwner", tblMaster_Inputs[Activity_Type], "Baseline")</f>
        <v/>
      </c>
      <c r="G5">
        <f>SUMIFS(tblMaster_Inputs[Baseline_Amount], tblMaster_Inputs[Year], 2027, tblMaster_Inputs[Treatment_Profile], "W2_SCorpOwner", tblMaster_Inputs[Activity_Type], "Baseline")</f>
        <v/>
      </c>
      <c r="H5">
        <f>SUMIFS(tblMaster_Inputs[Baseline_Amount], tblMaster_Inputs[Year], 2028, tblMaster_Inputs[Treatment_Profile], "W2_SCorpOwner", tblMaster_Inputs[Activity_Type], "Baseline")</f>
        <v/>
      </c>
    </row>
    <row r="6">
      <c r="A6" t="inlineStr">
        <is>
          <t>W2_THIRD_PARTY</t>
        </is>
      </c>
      <c r="B6" t="inlineStr">
        <is>
          <t>Third-party W-2 wages (Treatment_Profile=W2_Employee)</t>
        </is>
      </c>
      <c r="C6">
        <f>SUMIFS(tblMaster_Inputs[Baseline_Amount], tblMaster_Inputs[Year], 2023, tblMaster_Inputs[Treatment_Profile], "W2_Employee", tblMaster_Inputs[Activity_Type], "Baseline")</f>
        <v/>
      </c>
      <c r="D6">
        <f>SUMIFS(tblMaster_Inputs[Baseline_Amount], tblMaster_Inputs[Year], 2024, tblMaster_Inputs[Treatment_Profile], "W2_Employee", tblMaster_Inputs[Activity_Type], "Baseline")</f>
        <v/>
      </c>
      <c r="E6">
        <f>SUMIFS(tblMaster_Inputs[Baseline_Amount], tblMaster_Inputs[Year], 2025, tblMaster_Inputs[Treatment_Profile], "W2_Employee", tblMaster_Inputs[Activity_Type], "Baseline")</f>
        <v/>
      </c>
      <c r="F6">
        <f>SUMIFS(tblMaster_Inputs[Baseline_Amount], tblMaster_Inputs[Year], 2026, tblMaster_Inputs[Treatment_Profile], "W2_Employee", tblMaster_Inputs[Activity_Type], "Baseline")</f>
        <v/>
      </c>
      <c r="G6">
        <f>SUMIFS(tblMaster_Inputs[Baseline_Amount], tblMaster_Inputs[Year], 2027, tblMaster_Inputs[Treatment_Profile], "W2_Employee", tblMaster_Inputs[Activity_Type], "Baseline")</f>
        <v/>
      </c>
      <c r="H6">
        <f>SUMIFS(tblMaster_Inputs[Baseline_Amount], tblMaster_Inputs[Year], 2028, tblMaster_Inputs[Treatment_Profile], "W2_Employee", tblMaster_Inputs[Activity_Type], "Baseline")</f>
        <v/>
      </c>
    </row>
    <row r="7">
      <c r="A7" s="5" t="inlineStr">
        <is>
          <t>W2_TOTAL</t>
        </is>
      </c>
      <c r="B7" s="5" t="inlineStr">
        <is>
          <t>Total W-2 (owner + third-party)</t>
        </is>
      </c>
      <c r="C7" s="5">
        <f>C5+C6</f>
        <v/>
      </c>
      <c r="D7" s="5">
        <f>D5+D6</f>
        <v/>
      </c>
      <c r="E7" s="5">
        <f>E5+E6</f>
        <v/>
      </c>
      <c r="F7" s="5">
        <f>F5+F6</f>
        <v/>
      </c>
      <c r="G7" s="5">
        <f>G5+G6</f>
        <v/>
      </c>
      <c r="H7" s="5">
        <f>H5+H6</f>
        <v/>
      </c>
    </row>
    <row r="8">
      <c r="A8" t="inlineStr">
        <is>
          <t>BI_SE_SUBJECT</t>
        </is>
      </c>
      <c r="B8" t="inlineStr">
        <is>
          <t>Biz income subject to SE (Sch C/F + active K-1 PTP)</t>
        </is>
      </c>
      <c r="C8">
        <f>SUMIFS(tblMaster_Inputs[Baseline_Amount], tblMaster_Inputs[Year], 2023, tblMaster_Inputs[Bucket], "Business Income", tblMaster_Inputs[SE_Subject], "Yes", tblMaster_Inputs[Activity_Type], "Baseline")</f>
        <v/>
      </c>
      <c r="D8">
        <f>SUMIFS(tblMaster_Inputs[Baseline_Amount], tblMaster_Inputs[Year], 2024, tblMaster_Inputs[Bucket], "Business Income", tblMaster_Inputs[SE_Subject], "Yes", tblMaster_Inputs[Activity_Type], "Baseline")</f>
        <v/>
      </c>
      <c r="E8">
        <f>SUMIFS(tblMaster_Inputs[Baseline_Amount], tblMaster_Inputs[Year], 2025, tblMaster_Inputs[Bucket], "Business Income", tblMaster_Inputs[SE_Subject], "Yes", tblMaster_Inputs[Activity_Type], "Baseline")</f>
        <v/>
      </c>
      <c r="F8">
        <f>SUMIFS(tblMaster_Inputs[Baseline_Amount], tblMaster_Inputs[Year], 2026, tblMaster_Inputs[Bucket], "Business Income", tblMaster_Inputs[SE_Subject], "Yes", tblMaster_Inputs[Activity_Type], "Baseline")</f>
        <v/>
      </c>
      <c r="G8">
        <f>SUMIFS(tblMaster_Inputs[Baseline_Amount], tblMaster_Inputs[Year], 2027, tblMaster_Inputs[Bucket], "Business Income", tblMaster_Inputs[SE_Subject], "Yes", tblMaster_Inputs[Activity_Type], "Baseline")</f>
        <v/>
      </c>
      <c r="H8">
        <f>SUMIFS(tblMaster_Inputs[Baseline_Amount], tblMaster_Inputs[Year], 2028, tblMaster_Inputs[Bucket], "Business Income", tblMaster_Inputs[SE_Subject], "Yes", tblMaster_Inputs[Activity_Type], "Baseline")</f>
        <v/>
      </c>
    </row>
    <row r="9">
      <c r="A9" t="inlineStr">
        <is>
          <t>BI_ACTIVE_NONSE</t>
        </is>
      </c>
      <c r="B9" t="inlineStr">
        <is>
          <t>Active biz income NOT subject to SE</t>
        </is>
      </c>
      <c r="C9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D9">
        <f>SUMIFS(tblMaster_Inputs[Baseline_Amount], tblMaster_Inputs[Year], 2024, tblMaster_Inputs[Bucket], "Business Income", tblMaster_Inputs[SE_Subject], "No", tblMaster_Inputs[NIIT_Class], "Active", tblMaster_Inputs[Activity_Type], "Baseline")</f>
        <v/>
      </c>
      <c r="E9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F9">
        <f>SUMIFS(tblMaster_Inputs[Baseline_Amount], tblMaster_Inputs[Year], 2026, tblMaster_Inputs[Bucket], "Business Income", tblMaster_Inputs[SE_Subject], "No", tblMaster_Inputs[NIIT_Class], "Active", tblMaster_Inputs[Activity_Type], "Baseline")</f>
        <v/>
      </c>
      <c r="G9">
        <f>SUMIFS(tblMaster_Inputs[Baseline_Amount], tblMaster_Inputs[Year], 2027, tblMaster_Inputs[Bucket], "Business Income", tblMaster_Inputs[SE_Subject], "No", tblMaster_Inputs[NIIT_Class], "Active", tblMaster_Inputs[Activity_Type], "Baseline")</f>
        <v/>
      </c>
      <c r="H9">
        <f>SUMIFS(tblMaster_Inputs[Baseline_Amount], tblMaster_Inputs[Year], 2028, tblMaster_Inputs[Bucket], "Business Income", tblMaster_Inputs[SE_Subject], "No", tblMaster_Inputs[NIIT_Class], "Active", tblMaster_Inputs[Activity_Type], "Baseline")</f>
        <v/>
      </c>
    </row>
    <row r="10">
      <c r="A10" t="inlineStr">
        <is>
          <t>BI_PASSIVE</t>
        </is>
      </c>
      <c r="B10" t="inlineStr">
        <is>
          <t>Passive biz income (passive K-1s, Sch E)</t>
        </is>
      </c>
      <c r="C10">
        <f>SUMIFS(tblMaster_Inputs[Baseline_Amount], tblMaster_Inputs[Year], 2023, tblMaster_Inputs[Bucket], "Business Income", tblMaster_Inputs[NIIT_Class], "Passive", tblMaster_Inputs[Activity_Type], "Baseline")</f>
        <v/>
      </c>
      <c r="D10">
        <f>SUMIFS(tblMaster_Inputs[Baseline_Amount], tblMaster_Inputs[Year], 2024, tblMaster_Inputs[Bucket], "Business Income", tblMaster_Inputs[NIIT_Class], "Passive", tblMaster_Inputs[Activity_Type], "Baseline")</f>
        <v/>
      </c>
      <c r="E10">
        <f>SUMIFS(tblMaster_Inputs[Baseline_Amount], tblMaster_Inputs[Year], 2025, tblMaster_Inputs[Bucket], "Business Income", tblMaster_Inputs[NIIT_Class], "Passive", tblMaster_Inputs[Activity_Type], "Baseline")</f>
        <v/>
      </c>
      <c r="F10">
        <f>SUMIFS(tblMaster_Inputs[Baseline_Amount], tblMaster_Inputs[Year], 2026, tblMaster_Inputs[Bucket], "Business Income", tblMaster_Inputs[NIIT_Class], "Passive", tblMaster_Inputs[Activity_Type], "Baseline")</f>
        <v/>
      </c>
      <c r="G10">
        <f>SUMIFS(tblMaster_Inputs[Baseline_Amount], tblMaster_Inputs[Year], 2027, tblMaster_Inputs[Bucket], "Business Income", tblMaster_Inputs[NIIT_Class], "Passive", tblMaster_Inputs[Activity_Type], "Baseline")</f>
        <v/>
      </c>
      <c r="H10">
        <f>SUMIFS(tblMaster_Inputs[Baseline_Amount], tblMaster_Inputs[Year], 2028, tblMaster_Inputs[Bucket], "Business Income", tblMaster_Inputs[NIIT_Class], "Passive", tblMaster_Inputs[Activity_Type], "Baseline")</f>
        <v/>
      </c>
    </row>
    <row r="11">
      <c r="A11" t="inlineStr">
        <is>
          <t>TAX_EXEMPT</t>
        </is>
      </c>
      <c r="B11" t="inlineStr">
        <is>
          <t>Tax-exempt interest (informational; Line 2a)</t>
        </is>
      </c>
      <c r="C11">
        <f>SUMIFS(tblMaster_Inputs[Helper_Amount], tblMaster_Inputs[Year], 2023, tblMaster_Inputs[Helper_Treatment], "TAX_EXEMPT", tblMaster_Inputs[Activity_Type], "Baseline")</f>
        <v/>
      </c>
      <c r="D11">
        <f>SUMIFS(tblMaster_Inputs[Helper_Amount], tblMaster_Inputs[Year], 2024, tblMaster_Inputs[Helper_Treatment], "TAX_EXEMPT", tblMaster_Inputs[Activity_Type], "Baseline")</f>
        <v/>
      </c>
      <c r="E11">
        <f>SUMIFS(tblMaster_Inputs[Helper_Amount], tblMaster_Inputs[Year], 2025, tblMaster_Inputs[Helper_Treatment], "TAX_EXEMPT", tblMaster_Inputs[Activity_Type], "Baseline")</f>
        <v/>
      </c>
      <c r="F11">
        <f>SUMIFS(tblMaster_Inputs[Helper_Amount], tblMaster_Inputs[Year], 2026, tblMaster_Inputs[Helper_Treatment], "TAX_EXEMPT", tblMaster_Inputs[Activity_Type], "Baseline")</f>
        <v/>
      </c>
      <c r="G11">
        <f>SUMIFS(tblMaster_Inputs[Helper_Amount], tblMaster_Inputs[Year], 2027, tblMaster_Inputs[Helper_Treatment], "TAX_EXEMPT", tblMaster_Inputs[Activity_Type], "Baseline")</f>
        <v/>
      </c>
      <c r="H11">
        <f>SUMIFS(tblMaster_Inputs[Helper_Amount], tblMaster_Inputs[Year], 2028, tblMaster_Inputs[Helper_Treatment], "TAX_EXEMPT", tblMaster_Inputs[Activity_Type], "Baseline")</f>
        <v/>
      </c>
    </row>
    <row r="12">
      <c r="A12" t="inlineStr">
        <is>
          <t>QUAL_DIV</t>
        </is>
      </c>
      <c r="B12" t="inlineStr">
        <is>
          <t>Qualified dividends (carve of 3b; LTCG stack)</t>
        </is>
      </c>
      <c r="C12">
        <f>SUMIFS(tblMaster_Inputs[Helper_Amount], tblMaster_Inputs[Year], 2023, tblMaster_Inputs[Helper_Treatment], "QUAL_DIV", tblMaster_Inputs[Activity_Type], "Baseline")</f>
        <v/>
      </c>
      <c r="D12">
        <f>SUMIFS(tblMaster_Inputs[Helper_Amount], tblMaster_Inputs[Year], 2024, tblMaster_Inputs[Helper_Treatment], "QUAL_DIV", tblMaster_Inputs[Activity_Type], "Baseline")</f>
        <v/>
      </c>
      <c r="E12">
        <f>SUMIFS(tblMaster_Inputs[Helper_Amount], tblMaster_Inputs[Year], 2025, tblMaster_Inputs[Helper_Treatment], "QUAL_DIV", tblMaster_Inputs[Activity_Type], "Baseline")</f>
        <v/>
      </c>
      <c r="F12">
        <f>SUMIFS(tblMaster_Inputs[Helper_Amount], tblMaster_Inputs[Year], 2026, tblMaster_Inputs[Helper_Treatment], "QUAL_DIV", tblMaster_Inputs[Activity_Type], "Baseline")</f>
        <v/>
      </c>
      <c r="G12">
        <f>SUMIFS(tblMaster_Inputs[Helper_Amount], tblMaster_Inputs[Year], 2027, tblMaster_Inputs[Helper_Treatment], "QUAL_DIV", tblMaster_Inputs[Activity_Type], "Baseline")</f>
        <v/>
      </c>
      <c r="H12">
        <f>SUMIFS(tblMaster_Inputs[Helper_Amount], tblMaster_Inputs[Year], 2028, tblMaster_Inputs[Helper_Treatment], "QUAL_DIV", tblMaster_Inputs[Activity_Type], "Baseline")</f>
        <v/>
      </c>
    </row>
    <row r="13">
      <c r="A13" t="inlineStr">
        <is>
          <t>CG_LT</t>
        </is>
      </c>
      <c r="B13" t="inlineStr">
        <is>
          <t>Long-term cap gains (LTCG_Stock + LTCG_RE + LTCG_K1_Passthrough + Sec1250_Recap)</t>
        </is>
      </c>
      <c r="C13">
        <f>SUMIFS(tblMaster_Inputs[Baseline_Amount], tblMaster_Inputs[Year], 2023, tblMaster_Inputs[Treatment_Profile], "LTCG_Stock", tblMaster_Inputs[Activity_Type], "Baseline") + SUMIFS(tblMaster_Inputs[Baseline_Amount], tblMaster_Inputs[Year], 2023, tblMaster_Inputs[Treatment_Profile], "LTCG_RE", tblMaster_Inputs[Activity_Type], "Baseline") + SUMIFS(tblMaster_Inputs[Baseline_Amount], tblMaster_Inputs[Year], 2023, tblMaster_Inputs[Treatment_Profile], "LTCG_K1_Passthrough", tblMaster_Inputs[Activity_Type], "Baseline") + SUMIFS(tblMaster_Inputs[Baseline_Amount], tblMaster_Inputs[Year], 2023, tblMaster_Inputs[Treatment_Profile], "Sec1250_Recap", tblMaster_Inputs[Activity_Type], "Baseline")</f>
        <v/>
      </c>
      <c r="D13">
        <f>SUMIFS(tblMaster_Inputs[Baseline_Amount], tblMaster_Inputs[Year], 2024, tblMaster_Inputs[Treatment_Profile], "LTCG_Stock", tblMaster_Inputs[Activity_Type], "Baseline") + SUMIFS(tblMaster_Inputs[Baseline_Amount], tblMaster_Inputs[Year], 2024, tblMaster_Inputs[Treatment_Profile], "LTCG_RE", tblMaster_Inputs[Activity_Type], "Baseline") + SUMIFS(tblMaster_Inputs[Baseline_Amount], tblMaster_Inputs[Year], 2024, tblMaster_Inputs[Treatment_Profile], "LTCG_K1_Passthrough", tblMaster_Inputs[Activity_Type], "Baseline") + SUMIFS(tblMaster_Inputs[Baseline_Amount], tblMaster_Inputs[Year], 2024, tblMaster_Inputs[Treatment_Profile], "Sec1250_Recap", tblMaster_Inputs[Activity_Type], "Baseline")</f>
        <v/>
      </c>
      <c r="E13">
        <f>SUMIFS(tblMaster_Inputs[Baseline_Amount], tblMaster_Inputs[Year], 2025, tblMaster_Inputs[Treatment_Profile], "LTCG_Stock", tblMaster_Inputs[Activity_Type], "Baseline") + SUMIFS(tblMaster_Inputs[Baseline_Amount], tblMaster_Inputs[Year], 2025, tblMaster_Inputs[Treatment_Profile], "LTCG_RE", tblMaster_Inputs[Activity_Type], "Baseline") + SUMIFS(tblMaster_Inputs[Baseline_Amount], tblMaster_Inputs[Year], 2025, tblMaster_Inputs[Treatment_Profile], "LTCG_K1_Passthrough", tblMaster_Inputs[Activity_Type], "Baseline") + SUMIFS(tblMaster_Inputs[Baseline_Amount], tblMaster_Inputs[Year], 2025, tblMaster_Inputs[Treatment_Profile], "Sec1250_Recap", tblMaster_Inputs[Activity_Type], "Baseline")</f>
        <v/>
      </c>
      <c r="F13">
        <f>SUMIFS(tblMaster_Inputs[Baseline_Amount], tblMaster_Inputs[Year], 2026, tblMaster_Inputs[Treatment_Profile], "LTCG_Stock", tblMaster_Inputs[Activity_Type], "Baseline") + SUMIFS(tblMaster_Inputs[Baseline_Amount], tblMaster_Inputs[Year], 2026, tblMaster_Inputs[Treatment_Profile], "LTCG_RE", tblMaster_Inputs[Activity_Type], "Baseline") + SUMIFS(tblMaster_Inputs[Baseline_Amount], tblMaster_Inputs[Year], 2026, tblMaster_Inputs[Treatment_Profile], "LTCG_K1_Passthrough", tblMaster_Inputs[Activity_Type], "Baseline") + SUMIFS(tblMaster_Inputs[Baseline_Amount], tblMaster_Inputs[Year], 2026, tblMaster_Inputs[Treatment_Profile], "Sec1250_Recap", tblMaster_Inputs[Activity_Type], "Baseline")</f>
        <v/>
      </c>
      <c r="G13">
        <f>SUMIFS(tblMaster_Inputs[Baseline_Amount], tblMaster_Inputs[Year], 2027, tblMaster_Inputs[Treatment_Profile], "LTCG_Stock", tblMaster_Inputs[Activity_Type], "Baseline") + SUMIFS(tblMaster_Inputs[Baseline_Amount], tblMaster_Inputs[Year], 2027, tblMaster_Inputs[Treatment_Profile], "LTCG_RE", tblMaster_Inputs[Activity_Type], "Baseline") + SUMIFS(tblMaster_Inputs[Baseline_Amount], tblMaster_Inputs[Year], 2027, tblMaster_Inputs[Treatment_Profile], "LTCG_K1_Passthrough", tblMaster_Inputs[Activity_Type], "Baseline") + SUMIFS(tblMaster_Inputs[Baseline_Amount], tblMaster_Inputs[Year], 2027, tblMaster_Inputs[Treatment_Profile], "Sec1250_Recap", tblMaster_Inputs[Activity_Type], "Baseline")</f>
        <v/>
      </c>
      <c r="H13">
        <f>SUMIFS(tblMaster_Inputs[Baseline_Amount], tblMaster_Inputs[Year], 2028, tblMaster_Inputs[Treatment_Profile], "LTCG_Stock", tblMaster_Inputs[Activity_Type], "Baseline") + SUMIFS(tblMaster_Inputs[Baseline_Amount], tblMaster_Inputs[Year], 2028, tblMaster_Inputs[Treatment_Profile], "LTCG_RE", tblMaster_Inputs[Activity_Type], "Baseline") + SUMIFS(tblMaster_Inputs[Baseline_Amount], tblMaster_Inputs[Year], 2028, tblMaster_Inputs[Treatment_Profile], "LTCG_K1_Passthrough", tblMaster_Inputs[Activity_Type], "Baseline") + SUMIFS(tblMaster_Inputs[Baseline_Amount], tblMaster_Inputs[Year], 2028, tblMaster_Inputs[Treatment_Profile], "Sec1250_Recap", tblMaster_Inputs[Activity_Type], "Baseline")</f>
        <v/>
      </c>
    </row>
    <row r="14">
      <c r="A14" t="inlineStr">
        <is>
          <t>CG_ST</t>
        </is>
      </c>
      <c r="B14" t="inlineStr">
        <is>
          <t>Short-term cap gains (STCG_Stock)</t>
        </is>
      </c>
      <c r="C14">
        <f>SUMIFS(tblMaster_Inputs[Baseline_Amount], tblMaster_Inputs[Year], 2023, tblMaster_Inputs[Treatment_Profile], "STCG_Stock", tblMaster_Inputs[Activity_Type], "Baseline")</f>
        <v/>
      </c>
      <c r="D14">
        <f>SUMIFS(tblMaster_Inputs[Baseline_Amount], tblMaster_Inputs[Year], 2024, tblMaster_Inputs[Treatment_Profile], "STCG_Stock", tblMaster_Inputs[Activity_Type], "Baseline")</f>
        <v/>
      </c>
      <c r="E14">
        <f>SUMIFS(tblMaster_Inputs[Baseline_Amount], tblMaster_Inputs[Year], 2025, tblMaster_Inputs[Treatment_Profile], "STCG_Stock", tblMaster_Inputs[Activity_Type], "Baseline")</f>
        <v/>
      </c>
      <c r="F14">
        <f>SUMIFS(tblMaster_Inputs[Baseline_Amount], tblMaster_Inputs[Year], 2026, tblMaster_Inputs[Treatment_Profile], "STCG_Stock", tblMaster_Inputs[Activity_Type], "Baseline")</f>
        <v/>
      </c>
      <c r="G14">
        <f>SUMIFS(tblMaster_Inputs[Baseline_Amount], tblMaster_Inputs[Year], 2027, tblMaster_Inputs[Treatment_Profile], "STCG_Stock", tblMaster_Inputs[Activity_Type], "Baseline")</f>
        <v/>
      </c>
      <c r="H14">
        <f>SUMIFS(tblMaster_Inputs[Baseline_Amount], tblMaster_Inputs[Year], 2028, tblMaster_Inputs[Treatment_Profile], "STCG_Stock", tblMaster_Inputs[Activity_Type], "Baseline")</f>
        <v/>
      </c>
    </row>
    <row r="15">
      <c r="A15" t="inlineStr">
        <is>
          <t>SEC1250</t>
        </is>
      </c>
      <c r="B15" t="inlineStr">
        <is>
          <t>§1250 unrecaptured (sub-carve of CG_LT; 25% cap)</t>
        </is>
      </c>
      <c r="C15">
        <f>SUMIFS(tblMaster_Inputs[Helper_Amount], tblMaster_Inputs[Year], 2023, tblMaster_Inputs[Helper_Treatment], "SEC1250", tblMaster_Inputs[Activity_Type], "Baseline")</f>
        <v/>
      </c>
      <c r="D15">
        <f>SUMIFS(tblMaster_Inputs[Helper_Amount], tblMaster_Inputs[Year], 2024, tblMaster_Inputs[Helper_Treatment], "SEC1250", tblMaster_Inputs[Activity_Type], "Baseline")</f>
        <v/>
      </c>
      <c r="E15">
        <f>SUMIFS(tblMaster_Inputs[Helper_Amount], tblMaster_Inputs[Year], 2025, tblMaster_Inputs[Helper_Treatment], "SEC1250", tblMaster_Inputs[Activity_Type], "Baseline")</f>
        <v/>
      </c>
      <c r="F15">
        <f>SUMIFS(tblMaster_Inputs[Helper_Amount], tblMaster_Inputs[Year], 2026, tblMaster_Inputs[Helper_Treatment], "SEC1250", tblMaster_Inputs[Activity_Type], "Baseline")</f>
        <v/>
      </c>
      <c r="G15">
        <f>SUMIFS(tblMaster_Inputs[Helper_Amount], tblMaster_Inputs[Year], 2027, tblMaster_Inputs[Helper_Treatment], "SEC1250", tblMaster_Inputs[Activity_Type], "Baseline")</f>
        <v/>
      </c>
      <c r="H15">
        <f>SUMIFS(tblMaster_Inputs[Helper_Amount], tblMaster_Inputs[Year], 2028, tblMaster_Inputs[Helper_Treatment], "SEC1250", tblMaster_Inputs[Activity_Type], "Baseline")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7030A0"/>
    <outlinePr summaryBelow="1" summaryRight="1"/>
    <pageSetUpPr/>
  </sheetPr>
  <dimension ref="B1:E13"/>
  <sheetViews>
    <sheetView workbookViewId="0">
      <selection activeCell="A1" sqref="A1"/>
    </sheetView>
  </sheetViews>
  <sheetFormatPr baseColWidth="8" defaultRowHeight="14.5"/>
  <cols>
    <col width="22.6328125" bestFit="1" customWidth="1" style="19" min="2" max="2"/>
    <col width="7.90625" bestFit="1" customWidth="1" style="19" min="3" max="4"/>
    <col width="10.7265625" bestFit="1" customWidth="1" style="19" min="5" max="5"/>
  </cols>
  <sheetData>
    <row r="1" ht="18.5" customHeight="1" s="19">
      <c r="B1" s="14" t="inlineStr">
        <is>
          <t>Visual Pivot — Income by 1040 Line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C5" s="11" t="inlineStr">
        <is>
          <t>Year</t>
        </is>
      </c>
    </row>
    <row r="6">
      <c r="B6" s="11" t="inlineStr">
        <is>
          <t>Primary_Line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12</t>
        </is>
      </c>
      <c r="C7" s="12" t="n"/>
      <c r="D7" s="12" t="n">
        <v>10000</v>
      </c>
      <c r="E7" s="12" t="n">
        <v>10000</v>
      </c>
    </row>
    <row r="8">
      <c r="B8" t="inlineStr">
        <is>
          <t>1z</t>
        </is>
      </c>
      <c r="C8" s="12" t="n">
        <v>153648</v>
      </c>
      <c r="D8" s="12" t="n">
        <v>100000</v>
      </c>
      <c r="E8" s="12" t="n">
        <v>253648</v>
      </c>
    </row>
    <row r="9">
      <c r="B9" t="inlineStr">
        <is>
          <t>2b</t>
        </is>
      </c>
      <c r="C9" s="12" t="n"/>
      <c r="D9" s="12" t="n">
        <v>500</v>
      </c>
      <c r="E9" s="12" t="n">
        <v>500</v>
      </c>
    </row>
    <row r="10">
      <c r="B10" t="inlineStr">
        <is>
          <t>3b</t>
        </is>
      </c>
      <c r="C10" s="12" t="n">
        <v>25922</v>
      </c>
      <c r="D10" s="12" t="n">
        <v>10000</v>
      </c>
      <c r="E10" s="12" t="n">
        <v>35922</v>
      </c>
    </row>
    <row r="11">
      <c r="B11" t="inlineStr">
        <is>
          <t>7</t>
        </is>
      </c>
      <c r="C11" s="12" t="n">
        <v>14487</v>
      </c>
      <c r="D11" s="12" t="n">
        <v>25000</v>
      </c>
      <c r="E11" s="12" t="n">
        <v>39487</v>
      </c>
    </row>
    <row r="12">
      <c r="B12" t="inlineStr">
        <is>
          <t>8</t>
        </is>
      </c>
      <c r="C12" s="12" t="n">
        <v>-100766</v>
      </c>
      <c r="D12" s="12" t="n">
        <v>120000</v>
      </c>
      <c r="E12" s="12" t="n">
        <v>19234</v>
      </c>
    </row>
    <row r="13">
      <c r="B13" t="inlineStr">
        <is>
          <t>Grand Total</t>
        </is>
      </c>
      <c r="C13" s="12" t="n">
        <v>93291</v>
      </c>
      <c r="D13" s="12" t="n">
        <v>265500</v>
      </c>
      <c r="E13" s="12" t="n">
        <v>358791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rgb="FF7030A0"/>
    <outlinePr summaryBelow="1" summaryRight="1"/>
    <pageSetUpPr/>
  </sheetPr>
  <dimension ref="B1:E10"/>
  <sheetViews>
    <sheetView workbookViewId="0">
      <selection activeCell="A1" sqref="A1"/>
    </sheetView>
  </sheetViews>
  <sheetFormatPr baseColWidth="8" defaultRowHeight="14.5"/>
  <cols>
    <col width="22.6328125" bestFit="1" customWidth="1" style="19" min="2" max="2"/>
    <col width="17.1796875" bestFit="1" customWidth="1" style="19" min="3" max="4"/>
    <col width="10.7265625" bestFit="1" customWidth="1" style="19" min="5" max="5"/>
  </cols>
  <sheetData>
    <row r="1" ht="18.5" customHeight="1" s="19">
      <c r="B1" s="14" t="inlineStr">
        <is>
          <t>Visual Pivot — Business Income by Treatment Profile</t>
        </is>
      </c>
    </row>
    <row r="3">
      <c r="B3" s="11" t="inlineStr">
        <is>
          <t>Bucket</t>
        </is>
      </c>
      <c r="C3" t="inlineStr">
        <is>
          <t>(Multiple Items)</t>
        </is>
      </c>
    </row>
    <row r="5">
      <c r="B5" s="11" t="inlineStr">
        <is>
          <t>Sum of Baseline_Amount</t>
        </is>
      </c>
      <c r="C5" s="11" t="inlineStr">
        <is>
          <t>Year</t>
        </is>
      </c>
    </row>
    <row r="6">
      <c r="B6" s="11" t="inlineStr">
        <is>
          <t>Treatment_Profile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K1_PTP_Passive</t>
        </is>
      </c>
      <c r="C7" s="12" t="n">
        <v>-100766</v>
      </c>
      <c r="D7" s="12" t="n"/>
      <c r="E7" s="12" t="n">
        <v>-100766</v>
      </c>
    </row>
    <row r="8">
      <c r="B8" t="inlineStr">
        <is>
          <t>K1_SCorp_Active</t>
        </is>
      </c>
      <c r="C8" s="12" t="n"/>
      <c r="D8" s="12" t="n">
        <v>200000</v>
      </c>
      <c r="E8" s="12" t="n">
        <v>200000</v>
      </c>
    </row>
    <row r="9">
      <c r="B9" t="inlineStr">
        <is>
          <t>SchE_Rental</t>
        </is>
      </c>
      <c r="C9" s="12" t="n"/>
      <c r="D9" s="12" t="n">
        <v>-80000</v>
      </c>
      <c r="E9" s="12" t="n">
        <v>-80000</v>
      </c>
    </row>
    <row r="10">
      <c r="B10" t="inlineStr">
        <is>
          <t>Grand Total</t>
        </is>
      </c>
      <c r="C10" s="12" t="n">
        <v>-100766</v>
      </c>
      <c r="D10" s="12" t="n">
        <v>120000</v>
      </c>
      <c r="E10" s="12" t="n">
        <v>19234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7030A0"/>
    <outlinePr summaryBelow="1" summaryRight="1"/>
    <pageSetUpPr/>
  </sheetPr>
  <dimension ref="B1:F29"/>
  <sheetViews>
    <sheetView workbookViewId="0">
      <selection activeCell="A1" sqref="A1"/>
    </sheetView>
  </sheetViews>
  <sheetFormatPr baseColWidth="8" defaultRowHeight="14.5"/>
  <cols>
    <col width="22.6328125" bestFit="1" customWidth="1" style="19" min="2" max="2"/>
    <col width="19.08984375" bestFit="1" customWidth="1" style="19" min="3" max="3"/>
    <col width="8" bestFit="1" customWidth="1" style="19" min="4" max="5"/>
    <col width="10.7265625" bestFit="1" customWidth="1" style="19" min="6" max="6"/>
  </cols>
  <sheetData>
    <row r="1" ht="18.5" customHeight="1" s="19">
      <c r="B1" s="14" t="inlineStr">
        <is>
          <t>Visual Pivot — By Payor</t>
        </is>
      </c>
    </row>
    <row r="5">
      <c r="B5" s="11" t="inlineStr">
        <is>
          <t>Sum of Baseline_Amount</t>
        </is>
      </c>
      <c r="D5" s="11" t="inlineStr">
        <is>
          <t>Year</t>
        </is>
      </c>
    </row>
    <row r="6">
      <c r="B6" s="11" t="inlineStr">
        <is>
          <t>Payor</t>
        </is>
      </c>
      <c r="C6" s="11" t="inlineStr">
        <is>
          <t>Treatment_Profile</t>
        </is>
      </c>
      <c r="D6" t="n">
        <v>2024</v>
      </c>
      <c r="E6" t="n">
        <v>2025</v>
      </c>
      <c r="F6" t="inlineStr">
        <is>
          <t>Grand Total</t>
        </is>
      </c>
    </row>
    <row r="7">
      <c r="B7" t="inlineStr">
        <is>
          <t>Acme S-Corp</t>
        </is>
      </c>
      <c r="D7" s="12" t="n"/>
      <c r="E7" s="12" t="n"/>
      <c r="F7" s="12" t="n"/>
    </row>
    <row r="8">
      <c r="C8" t="inlineStr">
        <is>
          <t>W2_SCorpOwner</t>
        </is>
      </c>
      <c r="D8" s="12" t="n">
        <v>153648</v>
      </c>
      <c r="E8" s="12" t="n"/>
      <c r="F8" s="12" t="n">
        <v>153648</v>
      </c>
    </row>
    <row r="9">
      <c r="B9" t="inlineStr">
        <is>
          <t>Acme S-Corp Total</t>
        </is>
      </c>
      <c r="D9" s="12" t="n">
        <v>153648</v>
      </c>
      <c r="E9" s="12" t="n"/>
      <c r="F9" s="12" t="n">
        <v>153648</v>
      </c>
    </row>
    <row r="10">
      <c r="B10" t="inlineStr">
        <is>
          <t>Brokerage</t>
        </is>
      </c>
      <c r="D10" s="12" t="n"/>
      <c r="E10" s="12" t="n"/>
      <c r="F10" s="12" t="n"/>
    </row>
    <row r="11">
      <c r="C11" t="inlineStr">
        <is>
          <t>Div_Ordinary</t>
        </is>
      </c>
      <c r="D11" s="12" t="n">
        <v>25922</v>
      </c>
      <c r="E11" s="12" t="n"/>
      <c r="F11" s="12" t="n">
        <v>25922</v>
      </c>
    </row>
    <row r="12">
      <c r="C12" t="inlineStr">
        <is>
          <t>Div_Qualified</t>
        </is>
      </c>
      <c r="D12" s="12" t="n"/>
      <c r="E12" s="12" t="n">
        <v>10000</v>
      </c>
      <c r="F12" s="12" t="n">
        <v>10000</v>
      </c>
    </row>
    <row r="13">
      <c r="C13" t="inlineStr">
        <is>
          <t>Int_Taxable</t>
        </is>
      </c>
      <c r="D13" s="12" t="n"/>
      <c r="E13" s="12" t="n">
        <v>500</v>
      </c>
      <c r="F13" s="12" t="n">
        <v>500</v>
      </c>
    </row>
    <row r="14">
      <c r="C14" t="inlineStr">
        <is>
          <t>LTCG_Stock</t>
        </is>
      </c>
      <c r="D14" s="12" t="n">
        <v>14487</v>
      </c>
      <c r="E14" s="12" t="n">
        <v>25000</v>
      </c>
      <c r="F14" s="12" t="n">
        <v>39487</v>
      </c>
    </row>
    <row r="15">
      <c r="B15" t="inlineStr">
        <is>
          <t>Brokerage Total</t>
        </is>
      </c>
      <c r="D15" s="12" t="n">
        <v>40409</v>
      </c>
      <c r="E15" s="12" t="n">
        <v>35500</v>
      </c>
      <c r="F15" s="12" t="n">
        <v>75909</v>
      </c>
    </row>
    <row r="16">
      <c r="B16" t="inlineStr">
        <is>
          <t>Cedillo Partnership</t>
        </is>
      </c>
      <c r="D16" s="12" t="n"/>
      <c r="E16" s="12" t="n"/>
      <c r="F16" s="12" t="n"/>
    </row>
    <row r="17">
      <c r="C17" t="inlineStr">
        <is>
          <t>K1_PTP_Passive</t>
        </is>
      </c>
      <c r="D17" s="12" t="n">
        <v>-100766</v>
      </c>
      <c r="E17" s="12" t="n"/>
      <c r="F17" s="12" t="n">
        <v>-100766</v>
      </c>
    </row>
    <row r="18">
      <c r="B18" t="inlineStr">
        <is>
          <t>Cedillo Partnership Total</t>
        </is>
      </c>
      <c r="D18" s="12" t="n">
        <v>-100766</v>
      </c>
      <c r="E18" s="12" t="n"/>
      <c r="F18" s="12" t="n">
        <v>-100766</v>
      </c>
    </row>
    <row r="19">
      <c r="B19" t="inlineStr">
        <is>
          <t>SampleCo S-Corp</t>
        </is>
      </c>
      <c r="D19" s="12" t="n"/>
      <c r="E19" s="12" t="n"/>
      <c r="F19" s="12" t="n"/>
    </row>
    <row r="20">
      <c r="C20" t="inlineStr">
        <is>
          <t>W2_SCorpOwner</t>
        </is>
      </c>
      <c r="D20" s="12" t="n"/>
      <c r="E20" s="12" t="n">
        <v>100000</v>
      </c>
      <c r="F20" s="12" t="n">
        <v>100000</v>
      </c>
    </row>
    <row r="21">
      <c r="B21" t="inlineStr">
        <is>
          <t>SampleCo S-Corp Total</t>
        </is>
      </c>
      <c r="D21" s="12" t="n"/>
      <c r="E21" s="12" t="n">
        <v>100000</v>
      </c>
      <c r="F21" s="12" t="n">
        <v>100000</v>
      </c>
    </row>
    <row r="22">
      <c r="B22" t="inlineStr">
        <is>
          <t>SampleCo S-Corp K-1</t>
        </is>
      </c>
      <c r="D22" s="12" t="n"/>
      <c r="E22" s="12" t="n"/>
      <c r="F22" s="12" t="n"/>
    </row>
    <row r="23">
      <c r="C23" t="inlineStr">
        <is>
          <t>K1_SCorp_Active</t>
        </is>
      </c>
      <c r="D23" s="12" t="n"/>
      <c r="E23" s="12" t="n">
        <v>200000</v>
      </c>
      <c r="F23" s="12" t="n">
        <v>200000</v>
      </c>
    </row>
    <row r="24">
      <c r="B24" t="inlineStr">
        <is>
          <t>SampleCo S-Corp K-1 Total</t>
        </is>
      </c>
      <c r="D24" s="12" t="n"/>
      <c r="E24" s="12" t="n">
        <v>200000</v>
      </c>
      <c r="F24" s="12" t="n">
        <v>200000</v>
      </c>
    </row>
    <row r="25">
      <c r="B25" t="inlineStr">
        <is>
          <t>(blank)</t>
        </is>
      </c>
      <c r="D25" s="12" t="n"/>
      <c r="E25" s="12" t="n"/>
      <c r="F25" s="12" t="n"/>
    </row>
    <row r="26">
      <c r="C26" t="inlineStr">
        <is>
          <t>Itm_SALT</t>
        </is>
      </c>
      <c r="D26" s="12" t="n"/>
      <c r="E26" s="12" t="n">
        <v>10000</v>
      </c>
      <c r="F26" s="12" t="n">
        <v>10000</v>
      </c>
    </row>
    <row r="27">
      <c r="C27" t="inlineStr">
        <is>
          <t>SchE_Rental</t>
        </is>
      </c>
      <c r="D27" s="12" t="n"/>
      <c r="E27" s="12" t="n">
        <v>-80000</v>
      </c>
      <c r="F27" s="12" t="n">
        <v>-80000</v>
      </c>
    </row>
    <row r="28">
      <c r="B28" t="inlineStr">
        <is>
          <t>(blank) Total</t>
        </is>
      </c>
      <c r="D28" s="12" t="n"/>
      <c r="E28" s="12" t="n">
        <v>-70000</v>
      </c>
      <c r="F28" s="12" t="n">
        <v>-70000</v>
      </c>
    </row>
    <row r="29">
      <c r="B29" t="inlineStr">
        <is>
          <t>Grand Total</t>
        </is>
      </c>
      <c r="D29" s="12" t="n">
        <v>93291</v>
      </c>
      <c r="E29" s="12" t="n">
        <v>265500</v>
      </c>
      <c r="F29" s="12" t="n">
        <v>358791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7030A0"/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4.5"/>
  <cols>
    <col width="21.08984375" bestFit="1" customWidth="1" style="19" min="2" max="2"/>
    <col width="7.36328125" bestFit="1" customWidth="1" style="19" min="3" max="4"/>
    <col width="10.7265625" bestFit="1" customWidth="1" style="19" min="5" max="5"/>
  </cols>
  <sheetData>
    <row r="1" ht="18.5" customHeight="1" s="19">
      <c r="B1" s="14" t="inlineStr">
        <is>
          <t>Visual Pivot — Helper Carve-Outs</t>
        </is>
      </c>
    </row>
    <row r="5">
      <c r="B5" s="11" t="inlineStr">
        <is>
          <t>Sum of Helper_Amount</t>
        </is>
      </c>
      <c r="C5" s="11" t="inlineStr">
        <is>
          <t>Year</t>
        </is>
      </c>
    </row>
    <row r="6">
      <c r="B6" s="11" t="inlineStr">
        <is>
          <t>Helper_Treatment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OWNER_PAY</t>
        </is>
      </c>
      <c r="C7" s="12" t="n">
        <v>0</v>
      </c>
      <c r="D7" s="12" t="n">
        <v>100000</v>
      </c>
      <c r="E7" s="12" t="n">
        <v>100000</v>
      </c>
    </row>
    <row r="8">
      <c r="B8" t="inlineStr">
        <is>
          <t>QUAL_DIV</t>
        </is>
      </c>
      <c r="C8" s="12" t="n">
        <v>0</v>
      </c>
      <c r="D8" s="12" t="n">
        <v>7000</v>
      </c>
      <c r="E8" s="12" t="n">
        <v>7000</v>
      </c>
    </row>
    <row r="9">
      <c r="B9" t="inlineStr">
        <is>
          <t>Grand Total</t>
        </is>
      </c>
      <c r="C9" s="12" t="n">
        <v>0</v>
      </c>
      <c r="D9" s="12" t="n">
        <v>107000</v>
      </c>
      <c r="E9" s="12" t="n">
        <v>107000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C00000"/>
    <outlinePr summaryBelow="1" summaryRight="1"/>
    <pageSetUpPr/>
  </sheetPr>
  <dimension ref="B2:J612"/>
  <sheetViews>
    <sheetView workbookViewId="0">
      <selection activeCell="C26" sqref="C26"/>
    </sheetView>
  </sheetViews>
  <sheetFormatPr baseColWidth="8" defaultRowHeight="14.5"/>
  <cols>
    <col width="3.6328125" customWidth="1" style="19" min="1" max="1"/>
    <col width="10.90625" customWidth="1" style="19" min="2" max="2"/>
    <col width="16.36328125" customWidth="1" style="19" min="3" max="3"/>
    <col width="18.1796875" customWidth="1" style="19" min="4" max="5"/>
    <col width="12.7265625" customWidth="1" style="19" min="6" max="6"/>
    <col width="18.1796875" customWidth="1" style="19" min="7" max="7"/>
    <col width="10.36328125" customWidth="1" style="19" min="8" max="10"/>
  </cols>
  <sheetData>
    <row r="2" ht="18.5" customHeight="1" s="19">
      <c r="B2" s="15" t="inlineStr">
        <is>
          <t>TAX REFERENCE — IRS Rate Tables</t>
        </is>
      </c>
    </row>
    <row r="3">
      <c r="B3" s="16" t="inlineStr">
        <is>
          <t>Structured tables for bracket lookups. Add new year rows when IRS publishes inflation adjustments.</t>
        </is>
      </c>
    </row>
    <row r="5" ht="15" customHeight="1" s="19" thickBot="1">
      <c r="B5" s="18" t="inlineStr">
        <is>
          <t>tblBrackets_FIT — Progressive Ordinary Income Brackets (2023–2028)</t>
        </is>
      </c>
    </row>
    <row r="6">
      <c r="B6" s="34" t="inlineStr">
        <is>
          <t>2027–2028 are projected (= 2026 values). Update when IRS publishes. 2025 std deduction updated per OBBBA.</t>
        </is>
      </c>
    </row>
    <row r="8">
      <c r="B8" t="inlineStr">
        <is>
          <t>Year</t>
        </is>
      </c>
      <c r="C8" t="inlineStr">
        <is>
          <t>FilingStatus</t>
        </is>
      </c>
      <c r="D8" t="inlineStr">
        <is>
          <t>Lower</t>
        </is>
      </c>
      <c r="E8" t="inlineStr">
        <is>
          <t>Upper</t>
        </is>
      </c>
      <c r="F8" t="inlineStr">
        <is>
          <t>Rate</t>
        </is>
      </c>
      <c r="G8" t="inlineStr">
        <is>
          <t>Add_To</t>
        </is>
      </c>
    </row>
    <row r="9">
      <c r="B9" s="21" t="n">
        <v>2023</v>
      </c>
      <c r="C9" s="22" t="inlineStr">
        <is>
          <t>MFJ</t>
        </is>
      </c>
      <c r="D9" s="23" t="n">
        <v>0</v>
      </c>
      <c r="E9" s="23" t="n">
        <v>22000</v>
      </c>
      <c r="F9" s="24" t="n">
        <v>0.1</v>
      </c>
      <c r="G9" s="25" t="n">
        <v>0</v>
      </c>
    </row>
    <row r="10">
      <c r="B10" s="21" t="n">
        <v>2023</v>
      </c>
      <c r="C10" s="22" t="inlineStr">
        <is>
          <t>MFJ</t>
        </is>
      </c>
      <c r="D10" s="23" t="n">
        <v>22000</v>
      </c>
      <c r="E10" s="23" t="n">
        <v>89450</v>
      </c>
      <c r="F10" s="24" t="n">
        <v>0.12</v>
      </c>
      <c r="G10" s="25" t="n">
        <v>2200</v>
      </c>
    </row>
    <row r="11">
      <c r="B11" s="21" t="n">
        <v>2023</v>
      </c>
      <c r="C11" s="22" t="inlineStr">
        <is>
          <t>MFJ</t>
        </is>
      </c>
      <c r="D11" s="23" t="n">
        <v>89450</v>
      </c>
      <c r="E11" s="23" t="n">
        <v>190750</v>
      </c>
      <c r="F11" s="24" t="n">
        <v>0.22</v>
      </c>
      <c r="G11" s="25" t="n">
        <v>10294</v>
      </c>
    </row>
    <row r="12">
      <c r="B12" s="21" t="n">
        <v>2023</v>
      </c>
      <c r="C12" s="22" t="inlineStr">
        <is>
          <t>MFJ</t>
        </is>
      </c>
      <c r="D12" s="23" t="n">
        <v>190750</v>
      </c>
      <c r="E12" s="23" t="n">
        <v>364200</v>
      </c>
      <c r="F12" s="24" t="n">
        <v>0.24</v>
      </c>
      <c r="G12" s="25" t="n">
        <v>32580</v>
      </c>
    </row>
    <row r="13">
      <c r="B13" s="21" t="n">
        <v>2023</v>
      </c>
      <c r="C13" s="22" t="inlineStr">
        <is>
          <t>MFJ</t>
        </is>
      </c>
      <c r="D13" s="23" t="n">
        <v>364200</v>
      </c>
      <c r="E13" s="23" t="n">
        <v>462500</v>
      </c>
      <c r="F13" s="24" t="n">
        <v>0.32</v>
      </c>
      <c r="G13" s="25" t="n">
        <v>74208</v>
      </c>
    </row>
    <row r="14">
      <c r="B14" s="21" t="n">
        <v>2023</v>
      </c>
      <c r="C14" s="22" t="inlineStr">
        <is>
          <t>MFJ</t>
        </is>
      </c>
      <c r="D14" s="23" t="n">
        <v>462500</v>
      </c>
      <c r="E14" s="23" t="n">
        <v>693750</v>
      </c>
      <c r="F14" s="24" t="n">
        <v>0.35</v>
      </c>
      <c r="G14" s="25" t="n">
        <v>105664</v>
      </c>
    </row>
    <row r="15">
      <c r="B15" s="21" t="n">
        <v>2023</v>
      </c>
      <c r="C15" s="22" t="inlineStr">
        <is>
          <t>MFJ</t>
        </is>
      </c>
      <c r="D15" s="23" t="n">
        <v>693750</v>
      </c>
      <c r="E15" s="23" t="n">
        <v>9999999</v>
      </c>
      <c r="F15" s="24" t="n">
        <v>0.37</v>
      </c>
      <c r="G15" s="25" t="n">
        <v>186601.5</v>
      </c>
    </row>
    <row r="16">
      <c r="B16" s="21" t="n">
        <v>2023</v>
      </c>
      <c r="C16" s="22" t="inlineStr">
        <is>
          <t>Single</t>
        </is>
      </c>
      <c r="D16" s="23" t="n">
        <v>0</v>
      </c>
      <c r="E16" s="23" t="n">
        <v>11000</v>
      </c>
      <c r="F16" s="24" t="n">
        <v>0.1</v>
      </c>
      <c r="G16" s="25" t="n">
        <v>0</v>
      </c>
    </row>
    <row r="17">
      <c r="B17" s="21" t="n">
        <v>2023</v>
      </c>
      <c r="C17" s="22" t="inlineStr">
        <is>
          <t>Single</t>
        </is>
      </c>
      <c r="D17" s="23" t="n">
        <v>11000</v>
      </c>
      <c r="E17" s="23" t="n">
        <v>44725</v>
      </c>
      <c r="F17" s="24" t="n">
        <v>0.12</v>
      </c>
      <c r="G17" s="25" t="n">
        <v>1100</v>
      </c>
    </row>
    <row r="18">
      <c r="B18" s="21" t="n">
        <v>2023</v>
      </c>
      <c r="C18" s="22" t="inlineStr">
        <is>
          <t>Single</t>
        </is>
      </c>
      <c r="D18" s="23" t="n">
        <v>44725</v>
      </c>
      <c r="E18" s="23" t="n">
        <v>95375</v>
      </c>
      <c r="F18" s="24" t="n">
        <v>0.22</v>
      </c>
      <c r="G18" s="25" t="n">
        <v>5147</v>
      </c>
    </row>
    <row r="19">
      <c r="B19" s="21" t="n">
        <v>2023</v>
      </c>
      <c r="C19" s="22" t="inlineStr">
        <is>
          <t>Single</t>
        </is>
      </c>
      <c r="D19" s="23" t="n">
        <v>95375</v>
      </c>
      <c r="E19" s="23" t="n">
        <v>182100</v>
      </c>
      <c r="F19" s="24" t="n">
        <v>0.24</v>
      </c>
      <c r="G19" s="25" t="n">
        <v>16290</v>
      </c>
    </row>
    <row r="20">
      <c r="B20" s="21" t="n">
        <v>2023</v>
      </c>
      <c r="C20" s="22" t="inlineStr">
        <is>
          <t>Single</t>
        </is>
      </c>
      <c r="D20" s="23" t="n">
        <v>182100</v>
      </c>
      <c r="E20" s="23" t="n">
        <v>231250</v>
      </c>
      <c r="F20" s="24" t="n">
        <v>0.32</v>
      </c>
      <c r="G20" s="25" t="n">
        <v>37104</v>
      </c>
    </row>
    <row r="21">
      <c r="B21" s="21" t="n">
        <v>2023</v>
      </c>
      <c r="C21" s="22" t="inlineStr">
        <is>
          <t>Single</t>
        </is>
      </c>
      <c r="D21" s="23" t="n">
        <v>231250</v>
      </c>
      <c r="E21" s="23" t="n">
        <v>578125</v>
      </c>
      <c r="F21" s="24" t="n">
        <v>0.35</v>
      </c>
      <c r="G21" s="25" t="n">
        <v>52832</v>
      </c>
    </row>
    <row r="22">
      <c r="B22" s="21" t="n">
        <v>2023</v>
      </c>
      <c r="C22" s="22" t="inlineStr">
        <is>
          <t>Single</t>
        </is>
      </c>
      <c r="D22" s="23" t="n">
        <v>578125</v>
      </c>
      <c r="E22" s="23" t="n">
        <v>9999999</v>
      </c>
      <c r="F22" s="24" t="n">
        <v>0.37</v>
      </c>
      <c r="G22" s="25" t="n">
        <v>174238.25</v>
      </c>
    </row>
    <row r="23">
      <c r="B23" s="21" t="n">
        <v>2024</v>
      </c>
      <c r="C23" s="22" t="inlineStr">
        <is>
          <t>MFJ</t>
        </is>
      </c>
      <c r="D23" s="23" t="n">
        <v>0</v>
      </c>
      <c r="E23" s="23" t="n">
        <v>23200</v>
      </c>
      <c r="F23" s="24" t="n">
        <v>0.1</v>
      </c>
      <c r="G23" s="25" t="n">
        <v>0</v>
      </c>
    </row>
    <row r="24">
      <c r="B24" s="21" t="n">
        <v>2024</v>
      </c>
      <c r="C24" s="22" t="inlineStr">
        <is>
          <t>MFJ</t>
        </is>
      </c>
      <c r="D24" s="23" t="n">
        <v>23200</v>
      </c>
      <c r="E24" s="23" t="n">
        <v>94300</v>
      </c>
      <c r="F24" s="24" t="n">
        <v>0.12</v>
      </c>
      <c r="G24" s="25" t="n">
        <v>2320</v>
      </c>
    </row>
    <row r="25">
      <c r="B25" s="21" t="n">
        <v>2024</v>
      </c>
      <c r="C25" s="22" t="inlineStr">
        <is>
          <t>MFJ</t>
        </is>
      </c>
      <c r="D25" s="23" t="n">
        <v>94300</v>
      </c>
      <c r="E25" s="23" t="n">
        <v>201050</v>
      </c>
      <c r="F25" s="24" t="n">
        <v>0.22</v>
      </c>
      <c r="G25" s="25" t="n">
        <v>10852</v>
      </c>
    </row>
    <row r="26">
      <c r="B26" s="21" t="n">
        <v>2024</v>
      </c>
      <c r="C26" s="22" t="inlineStr">
        <is>
          <t>MFJ</t>
        </is>
      </c>
      <c r="D26" s="23" t="n">
        <v>201050</v>
      </c>
      <c r="E26" s="23" t="n">
        <v>383900</v>
      </c>
      <c r="F26" s="24" t="n">
        <v>0.24</v>
      </c>
      <c r="G26" s="25" t="n">
        <v>34337</v>
      </c>
    </row>
    <row r="27">
      <c r="B27" s="21" t="n">
        <v>2024</v>
      </c>
      <c r="C27" s="22" t="inlineStr">
        <is>
          <t>MFJ</t>
        </is>
      </c>
      <c r="D27" s="23" t="n">
        <v>383900</v>
      </c>
      <c r="E27" s="23" t="n">
        <v>487450</v>
      </c>
      <c r="F27" s="24" t="n">
        <v>0.32</v>
      </c>
      <c r="G27" s="25" t="n">
        <v>78221</v>
      </c>
    </row>
    <row r="28">
      <c r="B28" s="21" t="n">
        <v>2024</v>
      </c>
      <c r="C28" s="22" t="inlineStr">
        <is>
          <t>MFJ</t>
        </is>
      </c>
      <c r="D28" s="23" t="n">
        <v>487450</v>
      </c>
      <c r="E28" s="23" t="n">
        <v>731200</v>
      </c>
      <c r="F28" s="24" t="n">
        <v>0.35</v>
      </c>
      <c r="G28" s="25" t="n">
        <v>111357</v>
      </c>
    </row>
    <row r="29">
      <c r="B29" s="21" t="n">
        <v>2024</v>
      </c>
      <c r="C29" s="22" t="inlineStr">
        <is>
          <t>MFJ</t>
        </is>
      </c>
      <c r="D29" s="23" t="n">
        <v>731200</v>
      </c>
      <c r="E29" s="23" t="n">
        <v>9999999</v>
      </c>
      <c r="F29" s="24" t="n">
        <v>0.37</v>
      </c>
      <c r="G29" s="25" t="n">
        <v>196669.5</v>
      </c>
    </row>
    <row r="30">
      <c r="B30" s="21" t="n">
        <v>2024</v>
      </c>
      <c r="C30" s="22" t="inlineStr">
        <is>
          <t>Single</t>
        </is>
      </c>
      <c r="D30" s="23" t="n">
        <v>0</v>
      </c>
      <c r="E30" s="23" t="n">
        <v>11600</v>
      </c>
      <c r="F30" s="24" t="n">
        <v>0.1</v>
      </c>
      <c r="G30" s="25" t="n">
        <v>0</v>
      </c>
    </row>
    <row r="31">
      <c r="B31" s="21" t="n">
        <v>2024</v>
      </c>
      <c r="C31" s="22" t="inlineStr">
        <is>
          <t>Single</t>
        </is>
      </c>
      <c r="D31" s="23" t="n">
        <v>11600</v>
      </c>
      <c r="E31" s="23" t="n">
        <v>47150</v>
      </c>
      <c r="F31" s="24" t="n">
        <v>0.12</v>
      </c>
      <c r="G31" s="25" t="n">
        <v>1160</v>
      </c>
    </row>
    <row r="32">
      <c r="B32" s="21" t="n">
        <v>2024</v>
      </c>
      <c r="C32" s="22" t="inlineStr">
        <is>
          <t>Single</t>
        </is>
      </c>
      <c r="D32" s="23" t="n">
        <v>47150</v>
      </c>
      <c r="E32" s="23" t="n">
        <v>100525</v>
      </c>
      <c r="F32" s="24" t="n">
        <v>0.22</v>
      </c>
      <c r="G32" s="25" t="n">
        <v>5426</v>
      </c>
    </row>
    <row r="33">
      <c r="B33" s="21" t="n">
        <v>2024</v>
      </c>
      <c r="C33" s="22" t="inlineStr">
        <is>
          <t>Single</t>
        </is>
      </c>
      <c r="D33" s="23" t="n">
        <v>100525</v>
      </c>
      <c r="E33" s="23" t="n">
        <v>191950</v>
      </c>
      <c r="F33" s="24" t="n">
        <v>0.24</v>
      </c>
      <c r="G33" s="25" t="n">
        <v>17168.5</v>
      </c>
    </row>
    <row r="34">
      <c r="B34" s="21" t="n">
        <v>2024</v>
      </c>
      <c r="C34" s="22" t="inlineStr">
        <is>
          <t>Single</t>
        </is>
      </c>
      <c r="D34" s="23" t="n">
        <v>191950</v>
      </c>
      <c r="E34" s="23" t="n">
        <v>243725</v>
      </c>
      <c r="F34" s="24" t="n">
        <v>0.32</v>
      </c>
      <c r="G34" s="25" t="n">
        <v>39110.5</v>
      </c>
    </row>
    <row r="35">
      <c r="B35" s="21" t="n">
        <v>2024</v>
      </c>
      <c r="C35" s="22" t="inlineStr">
        <is>
          <t>Single</t>
        </is>
      </c>
      <c r="D35" s="23" t="n">
        <v>243725</v>
      </c>
      <c r="E35" s="23" t="n">
        <v>609350</v>
      </c>
      <c r="F35" s="24" t="n">
        <v>0.35</v>
      </c>
      <c r="G35" s="25" t="n">
        <v>55678.5</v>
      </c>
    </row>
    <row r="36">
      <c r="B36" s="21" t="n">
        <v>2024</v>
      </c>
      <c r="C36" s="22" t="inlineStr">
        <is>
          <t>Single</t>
        </is>
      </c>
      <c r="D36" s="23" t="n">
        <v>609350</v>
      </c>
      <c r="E36" s="23" t="n">
        <v>9999999</v>
      </c>
      <c r="F36" s="24" t="n">
        <v>0.37</v>
      </c>
      <c r="G36" s="25" t="n">
        <v>183647.25</v>
      </c>
    </row>
    <row r="37">
      <c r="B37" s="21" t="n">
        <v>2025</v>
      </c>
      <c r="C37" s="22" t="inlineStr">
        <is>
          <t>MFJ</t>
        </is>
      </c>
      <c r="D37" s="23" t="n">
        <v>0</v>
      </c>
      <c r="E37" s="23" t="n">
        <v>23850</v>
      </c>
      <c r="F37" s="24" t="n">
        <v>0.1</v>
      </c>
      <c r="G37" s="25" t="n">
        <v>0</v>
      </c>
    </row>
    <row r="38" ht="15" customHeight="1" s="19" thickBot="1">
      <c r="B38" s="35" t="n">
        <v>2025</v>
      </c>
      <c r="C38" s="22" t="inlineStr">
        <is>
          <t>MFJ</t>
        </is>
      </c>
      <c r="D38" s="23" t="n">
        <v>23850</v>
      </c>
      <c r="E38" s="23" t="n">
        <v>96950</v>
      </c>
      <c r="F38" s="24" t="n">
        <v>0.12</v>
      </c>
      <c r="G38" s="25" t="n">
        <v>2385</v>
      </c>
    </row>
    <row r="39">
      <c r="B39" s="21" t="n">
        <v>2025</v>
      </c>
      <c r="C39" s="22" t="inlineStr">
        <is>
          <t>MFJ</t>
        </is>
      </c>
      <c r="D39" s="23" t="n">
        <v>96950</v>
      </c>
      <c r="E39" s="23" t="n">
        <v>206700</v>
      </c>
      <c r="F39" s="24" t="n">
        <v>0.22</v>
      </c>
      <c r="G39" s="25" t="n">
        <v>11157</v>
      </c>
    </row>
    <row r="40">
      <c r="B40" s="21" t="n">
        <v>2025</v>
      </c>
      <c r="C40" s="22" t="inlineStr">
        <is>
          <t>MFJ</t>
        </is>
      </c>
      <c r="D40" s="23" t="n">
        <v>206700</v>
      </c>
      <c r="E40" s="23" t="n">
        <v>394600</v>
      </c>
      <c r="F40" s="24" t="n">
        <v>0.24</v>
      </c>
      <c r="G40" s="25" t="n">
        <v>35302</v>
      </c>
    </row>
    <row r="41">
      <c r="B41" s="21" t="n">
        <v>2025</v>
      </c>
      <c r="C41" s="22" t="inlineStr">
        <is>
          <t>MFJ</t>
        </is>
      </c>
      <c r="D41" s="23" t="n">
        <v>394600</v>
      </c>
      <c r="E41" s="23" t="n">
        <v>501050</v>
      </c>
      <c r="F41" s="24" t="n">
        <v>0.32</v>
      </c>
      <c r="G41" s="25" t="n">
        <v>80398</v>
      </c>
    </row>
    <row r="42">
      <c r="B42" s="21" t="n">
        <v>2025</v>
      </c>
      <c r="C42" s="22" t="inlineStr">
        <is>
          <t>MFJ</t>
        </is>
      </c>
      <c r="D42" s="23" t="n">
        <v>501050</v>
      </c>
      <c r="E42" s="23" t="n">
        <v>751600</v>
      </c>
      <c r="F42" s="24" t="n">
        <v>0.35</v>
      </c>
      <c r="G42" s="25" t="n">
        <v>114462</v>
      </c>
    </row>
    <row r="43">
      <c r="B43" s="21" t="n">
        <v>2025</v>
      </c>
      <c r="C43" s="22" t="inlineStr">
        <is>
          <t>MFJ</t>
        </is>
      </c>
      <c r="D43" s="23" t="n">
        <v>751600</v>
      </c>
      <c r="E43" s="23" t="n">
        <v>9999999</v>
      </c>
      <c r="F43" s="24" t="n">
        <v>0.37</v>
      </c>
      <c r="G43" s="25" t="n">
        <v>202154.5</v>
      </c>
    </row>
    <row r="44">
      <c r="B44" s="21" t="n">
        <v>2025</v>
      </c>
      <c r="C44" s="22" t="inlineStr">
        <is>
          <t>Single</t>
        </is>
      </c>
      <c r="D44" s="23" t="n">
        <v>0</v>
      </c>
      <c r="E44" s="23" t="n">
        <v>11925</v>
      </c>
      <c r="F44" s="24" t="n">
        <v>0.1</v>
      </c>
      <c r="G44" s="25" t="n">
        <v>0</v>
      </c>
    </row>
    <row r="45">
      <c r="B45" s="21" t="n">
        <v>2025</v>
      </c>
      <c r="C45" s="22" t="inlineStr">
        <is>
          <t>Single</t>
        </is>
      </c>
      <c r="D45" s="23" t="n">
        <v>11925</v>
      </c>
      <c r="E45" s="23" t="n">
        <v>48475</v>
      </c>
      <c r="F45" s="24" t="n">
        <v>0.12</v>
      </c>
      <c r="G45" s="25" t="n">
        <v>1192.5</v>
      </c>
    </row>
    <row r="46">
      <c r="B46" s="21" t="n">
        <v>2025</v>
      </c>
      <c r="C46" s="22" t="inlineStr">
        <is>
          <t>Single</t>
        </is>
      </c>
      <c r="D46" s="23" t="n">
        <v>48475</v>
      </c>
      <c r="E46" s="23" t="n">
        <v>103350</v>
      </c>
      <c r="F46" s="24" t="n">
        <v>0.22</v>
      </c>
      <c r="G46" s="25" t="n">
        <v>5578.5</v>
      </c>
    </row>
    <row r="47">
      <c r="B47" s="21" t="n">
        <v>2025</v>
      </c>
      <c r="C47" s="22" t="inlineStr">
        <is>
          <t>Single</t>
        </is>
      </c>
      <c r="D47" s="23" t="n">
        <v>103350</v>
      </c>
      <c r="E47" s="23" t="n">
        <v>197300</v>
      </c>
      <c r="F47" s="24" t="n">
        <v>0.24</v>
      </c>
      <c r="G47" s="25" t="n">
        <v>17651</v>
      </c>
    </row>
    <row r="48">
      <c r="B48" s="21" t="n">
        <v>2025</v>
      </c>
      <c r="C48" s="22" t="inlineStr">
        <is>
          <t>Single</t>
        </is>
      </c>
      <c r="D48" s="23" t="n">
        <v>197300</v>
      </c>
      <c r="E48" s="23" t="n">
        <v>250525</v>
      </c>
      <c r="F48" s="24" t="n">
        <v>0.32</v>
      </c>
      <c r="G48" s="25" t="n">
        <v>40199</v>
      </c>
    </row>
    <row r="49">
      <c r="B49" s="21" t="n">
        <v>2025</v>
      </c>
      <c r="C49" s="22" t="inlineStr">
        <is>
          <t>Single</t>
        </is>
      </c>
      <c r="D49" s="23" t="n">
        <v>250525</v>
      </c>
      <c r="E49" s="23" t="n">
        <v>626350</v>
      </c>
      <c r="F49" s="24" t="n">
        <v>0.35</v>
      </c>
      <c r="G49" s="25" t="n">
        <v>57231</v>
      </c>
    </row>
    <row r="50">
      <c r="B50" s="21" t="n">
        <v>2025</v>
      </c>
      <c r="C50" s="22" t="inlineStr">
        <is>
          <t>Single</t>
        </is>
      </c>
      <c r="D50" s="23" t="n">
        <v>626350</v>
      </c>
      <c r="E50" s="23" t="n">
        <v>9999999</v>
      </c>
      <c r="F50" s="24" t="n">
        <v>0.37</v>
      </c>
      <c r="G50" s="25" t="n">
        <v>188769.75</v>
      </c>
    </row>
    <row r="51">
      <c r="B51" s="21" t="n">
        <v>2026</v>
      </c>
      <c r="C51" s="22" t="inlineStr">
        <is>
          <t>MFJ</t>
        </is>
      </c>
      <c r="D51" s="23" t="n">
        <v>0</v>
      </c>
      <c r="E51" s="23" t="n">
        <v>23850</v>
      </c>
      <c r="F51" s="24" t="n">
        <v>0.1</v>
      </c>
      <c r="G51" s="25" t="n">
        <v>0</v>
      </c>
    </row>
    <row r="52">
      <c r="B52" s="21" t="n">
        <v>2026</v>
      </c>
      <c r="C52" s="22" t="inlineStr">
        <is>
          <t>MFJ</t>
        </is>
      </c>
      <c r="D52" s="23" t="n">
        <v>23850</v>
      </c>
      <c r="E52" s="23" t="n">
        <v>96950</v>
      </c>
      <c r="F52" s="24" t="n">
        <v>0.12</v>
      </c>
      <c r="G52" s="25" t="n">
        <v>2385</v>
      </c>
    </row>
    <row r="53">
      <c r="B53" s="21" t="n">
        <v>2026</v>
      </c>
      <c r="C53" s="22" t="inlineStr">
        <is>
          <t>MFJ</t>
        </is>
      </c>
      <c r="D53" s="23" t="n">
        <v>96950</v>
      </c>
      <c r="E53" s="23" t="n">
        <v>206700</v>
      </c>
      <c r="F53" s="24" t="n">
        <v>0.22</v>
      </c>
      <c r="G53" s="25" t="n">
        <v>11157</v>
      </c>
    </row>
    <row r="54">
      <c r="B54" s="21" t="n">
        <v>2026</v>
      </c>
      <c r="C54" s="22" t="inlineStr">
        <is>
          <t>MFJ</t>
        </is>
      </c>
      <c r="D54" s="23" t="n">
        <v>206700</v>
      </c>
      <c r="E54" s="23" t="n">
        <v>394600</v>
      </c>
      <c r="F54" s="24" t="n">
        <v>0.24</v>
      </c>
      <c r="G54" s="25" t="n">
        <v>35302</v>
      </c>
    </row>
    <row r="55">
      <c r="B55" s="21" t="n">
        <v>2026</v>
      </c>
      <c r="C55" s="22" t="inlineStr">
        <is>
          <t>MFJ</t>
        </is>
      </c>
      <c r="D55" s="23" t="n">
        <v>394600</v>
      </c>
      <c r="E55" s="23" t="n">
        <v>501050</v>
      </c>
      <c r="F55" s="24" t="n">
        <v>0.32</v>
      </c>
      <c r="G55" s="25" t="n">
        <v>80398</v>
      </c>
    </row>
    <row r="56">
      <c r="B56" s="21" t="n">
        <v>2026</v>
      </c>
      <c r="C56" s="22" t="inlineStr">
        <is>
          <t>MFJ</t>
        </is>
      </c>
      <c r="D56" s="23" t="n">
        <v>501050</v>
      </c>
      <c r="E56" s="23" t="n">
        <v>751600</v>
      </c>
      <c r="F56" s="24" t="n">
        <v>0.35</v>
      </c>
      <c r="G56" s="25" t="n">
        <v>114462</v>
      </c>
    </row>
    <row r="57">
      <c r="B57" s="21" t="n">
        <v>2026</v>
      </c>
      <c r="C57" s="22" t="inlineStr">
        <is>
          <t>MFJ</t>
        </is>
      </c>
      <c r="D57" s="23" t="n">
        <v>751600</v>
      </c>
      <c r="E57" s="23" t="n">
        <v>9999999</v>
      </c>
      <c r="F57" s="24" t="n">
        <v>0.37</v>
      </c>
      <c r="G57" s="25" t="n">
        <v>202154.5</v>
      </c>
    </row>
    <row r="58">
      <c r="B58" s="21" t="n">
        <v>2026</v>
      </c>
      <c r="C58" s="22" t="inlineStr">
        <is>
          <t>Single</t>
        </is>
      </c>
      <c r="D58" s="23" t="n">
        <v>0</v>
      </c>
      <c r="E58" s="23" t="n">
        <v>11925</v>
      </c>
      <c r="F58" s="24" t="n">
        <v>0.1</v>
      </c>
      <c r="G58" s="25" t="n">
        <v>0</v>
      </c>
    </row>
    <row r="59">
      <c r="B59" s="21" t="n">
        <v>2026</v>
      </c>
      <c r="C59" s="22" t="inlineStr">
        <is>
          <t>Single</t>
        </is>
      </c>
      <c r="D59" s="23" t="n">
        <v>11925</v>
      </c>
      <c r="E59" s="23" t="n">
        <v>48475</v>
      </c>
      <c r="F59" s="24" t="n">
        <v>0.12</v>
      </c>
      <c r="G59" s="25" t="n">
        <v>1192.5</v>
      </c>
    </row>
    <row r="60">
      <c r="B60" s="21" t="n">
        <v>2026</v>
      </c>
      <c r="C60" s="22" t="inlineStr">
        <is>
          <t>Single</t>
        </is>
      </c>
      <c r="D60" s="23" t="n">
        <v>48475</v>
      </c>
      <c r="E60" s="23" t="n">
        <v>103350</v>
      </c>
      <c r="F60" s="24" t="n">
        <v>0.22</v>
      </c>
      <c r="G60" s="25" t="n">
        <v>5578.5</v>
      </c>
    </row>
    <row r="61">
      <c r="B61" s="21" t="n">
        <v>2026</v>
      </c>
      <c r="C61" s="22" t="inlineStr">
        <is>
          <t>Single</t>
        </is>
      </c>
      <c r="D61" s="23" t="n">
        <v>103350</v>
      </c>
      <c r="E61" s="23" t="n">
        <v>197300</v>
      </c>
      <c r="F61" s="24" t="n">
        <v>0.24</v>
      </c>
      <c r="G61" s="25" t="n">
        <v>17651</v>
      </c>
    </row>
    <row r="62">
      <c r="B62" s="21" t="n">
        <v>2026</v>
      </c>
      <c r="C62" s="22" t="inlineStr">
        <is>
          <t>Single</t>
        </is>
      </c>
      <c r="D62" s="23" t="n">
        <v>197300</v>
      </c>
      <c r="E62" s="23" t="n">
        <v>250525</v>
      </c>
      <c r="F62" s="24" t="n">
        <v>0.32</v>
      </c>
      <c r="G62" s="25" t="n">
        <v>40199</v>
      </c>
    </row>
    <row r="63">
      <c r="B63" s="21" t="n">
        <v>2026</v>
      </c>
      <c r="C63" s="22" t="inlineStr">
        <is>
          <t>Single</t>
        </is>
      </c>
      <c r="D63" s="23" t="n">
        <v>250525</v>
      </c>
      <c r="E63" s="23" t="n">
        <v>626350</v>
      </c>
      <c r="F63" s="24" t="n">
        <v>0.35</v>
      </c>
      <c r="G63" s="25" t="n">
        <v>57231</v>
      </c>
    </row>
    <row r="64">
      <c r="B64" s="21" t="n">
        <v>2026</v>
      </c>
      <c r="C64" s="22" t="inlineStr">
        <is>
          <t>Single</t>
        </is>
      </c>
      <c r="D64" s="23" t="n">
        <v>626350</v>
      </c>
      <c r="E64" s="23" t="n">
        <v>9999999</v>
      </c>
      <c r="F64" s="24" t="n">
        <v>0.37</v>
      </c>
      <c r="G64" s="25" t="n">
        <v>188769.75</v>
      </c>
    </row>
    <row r="65">
      <c r="B65" s="21" t="n">
        <v>2027</v>
      </c>
      <c r="C65" s="22" t="inlineStr">
        <is>
          <t>MFJ</t>
        </is>
      </c>
      <c r="D65" s="23" t="n">
        <v>0</v>
      </c>
      <c r="E65" s="23" t="n">
        <v>23850</v>
      </c>
      <c r="F65" s="24" t="n">
        <v>0.1</v>
      </c>
      <c r="G65" s="25" t="n">
        <v>0</v>
      </c>
    </row>
    <row r="66">
      <c r="B66" s="21" t="n">
        <v>2027</v>
      </c>
      <c r="C66" s="22" t="inlineStr">
        <is>
          <t>MFJ</t>
        </is>
      </c>
      <c r="D66" s="23" t="n">
        <v>23850</v>
      </c>
      <c r="E66" s="23" t="n">
        <v>96950</v>
      </c>
      <c r="F66" s="24" t="n">
        <v>0.12</v>
      </c>
      <c r="G66" s="25" t="n">
        <v>2385</v>
      </c>
    </row>
    <row r="67">
      <c r="B67" s="21" t="n">
        <v>2027</v>
      </c>
      <c r="C67" s="22" t="inlineStr">
        <is>
          <t>MFJ</t>
        </is>
      </c>
      <c r="D67" s="23" t="n">
        <v>96950</v>
      </c>
      <c r="E67" s="23" t="n">
        <v>206700</v>
      </c>
      <c r="F67" s="24" t="n">
        <v>0.22</v>
      </c>
      <c r="G67" s="25" t="n">
        <v>11157</v>
      </c>
    </row>
    <row r="68">
      <c r="B68" s="21" t="n">
        <v>2027</v>
      </c>
      <c r="C68" s="22" t="inlineStr">
        <is>
          <t>MFJ</t>
        </is>
      </c>
      <c r="D68" s="23" t="n">
        <v>206700</v>
      </c>
      <c r="E68" s="23" t="n">
        <v>394600</v>
      </c>
      <c r="F68" s="24" t="n">
        <v>0.24</v>
      </c>
      <c r="G68" s="25" t="n">
        <v>35302</v>
      </c>
    </row>
    <row r="69">
      <c r="B69" s="21" t="n">
        <v>2027</v>
      </c>
      <c r="C69" s="22" t="inlineStr">
        <is>
          <t>MFJ</t>
        </is>
      </c>
      <c r="D69" s="23" t="n">
        <v>394600</v>
      </c>
      <c r="E69" s="23" t="n">
        <v>501050</v>
      </c>
      <c r="F69" s="24" t="n">
        <v>0.32</v>
      </c>
      <c r="G69" s="25" t="n">
        <v>80398</v>
      </c>
    </row>
    <row r="70">
      <c r="B70" s="21" t="n">
        <v>2027</v>
      </c>
      <c r="C70" s="22" t="inlineStr">
        <is>
          <t>MFJ</t>
        </is>
      </c>
      <c r="D70" s="23" t="n">
        <v>501050</v>
      </c>
      <c r="E70" s="23" t="n">
        <v>751600</v>
      </c>
      <c r="F70" s="24" t="n">
        <v>0.35</v>
      </c>
      <c r="G70" s="25" t="n">
        <v>114462</v>
      </c>
    </row>
    <row r="71">
      <c r="B71" s="21" t="n">
        <v>2027</v>
      </c>
      <c r="C71" s="22" t="inlineStr">
        <is>
          <t>MFJ</t>
        </is>
      </c>
      <c r="D71" s="23" t="n">
        <v>751600</v>
      </c>
      <c r="E71" s="23" t="n">
        <v>9999999</v>
      </c>
      <c r="F71" s="24" t="n">
        <v>0.37</v>
      </c>
      <c r="G71" s="25" t="n">
        <v>202154.5</v>
      </c>
    </row>
    <row r="72">
      <c r="B72" s="21" t="n">
        <v>2027</v>
      </c>
      <c r="C72" s="22" t="inlineStr">
        <is>
          <t>Single</t>
        </is>
      </c>
      <c r="D72" s="23" t="n">
        <v>0</v>
      </c>
      <c r="E72" s="23" t="n">
        <v>11925</v>
      </c>
      <c r="F72" s="24" t="n">
        <v>0.1</v>
      </c>
      <c r="G72" s="25" t="n">
        <v>0</v>
      </c>
    </row>
    <row r="73">
      <c r="B73" s="21" t="n">
        <v>2027</v>
      </c>
      <c r="C73" s="22" t="inlineStr">
        <is>
          <t>Single</t>
        </is>
      </c>
      <c r="D73" s="23" t="n">
        <v>11925</v>
      </c>
      <c r="E73" s="23" t="n">
        <v>48475</v>
      </c>
      <c r="F73" s="24" t="n">
        <v>0.12</v>
      </c>
      <c r="G73" s="25" t="n">
        <v>1192.5</v>
      </c>
    </row>
    <row r="74">
      <c r="B74" s="21" t="n">
        <v>2027</v>
      </c>
      <c r="C74" s="22" t="inlineStr">
        <is>
          <t>Single</t>
        </is>
      </c>
      <c r="D74" s="23" t="n">
        <v>48475</v>
      </c>
      <c r="E74" s="23" t="n">
        <v>103350</v>
      </c>
      <c r="F74" s="24" t="n">
        <v>0.22</v>
      </c>
      <c r="G74" s="25" t="n">
        <v>5578.5</v>
      </c>
    </row>
    <row r="75">
      <c r="B75" s="21" t="n">
        <v>2027</v>
      </c>
      <c r="C75" s="22" t="inlineStr">
        <is>
          <t>Single</t>
        </is>
      </c>
      <c r="D75" s="23" t="n">
        <v>103350</v>
      </c>
      <c r="E75" s="23" t="n">
        <v>197300</v>
      </c>
      <c r="F75" s="24" t="n">
        <v>0.24</v>
      </c>
      <c r="G75" s="25" t="n">
        <v>17651</v>
      </c>
    </row>
    <row r="76">
      <c r="B76" s="21" t="n">
        <v>2027</v>
      </c>
      <c r="C76" s="22" t="inlineStr">
        <is>
          <t>Single</t>
        </is>
      </c>
      <c r="D76" s="23" t="n">
        <v>197300</v>
      </c>
      <c r="E76" s="23" t="n">
        <v>250525</v>
      </c>
      <c r="F76" s="24" t="n">
        <v>0.32</v>
      </c>
      <c r="G76" s="25" t="n">
        <v>40199</v>
      </c>
    </row>
    <row r="77">
      <c r="B77" s="21" t="n">
        <v>2027</v>
      </c>
      <c r="C77" s="22" t="inlineStr">
        <is>
          <t>Single</t>
        </is>
      </c>
      <c r="D77" s="23" t="n">
        <v>250525</v>
      </c>
      <c r="E77" s="23" t="n">
        <v>626350</v>
      </c>
      <c r="F77" s="24" t="n">
        <v>0.35</v>
      </c>
      <c r="G77" s="25" t="n">
        <v>57231</v>
      </c>
    </row>
    <row r="78">
      <c r="B78" s="21" t="n">
        <v>2027</v>
      </c>
      <c r="C78" s="22" t="inlineStr">
        <is>
          <t>Single</t>
        </is>
      </c>
      <c r="D78" s="23" t="n">
        <v>626350</v>
      </c>
      <c r="E78" s="23" t="n">
        <v>9999999</v>
      </c>
      <c r="F78" s="24" t="n">
        <v>0.37</v>
      </c>
      <c r="G78" s="25" t="n">
        <v>188769.75</v>
      </c>
    </row>
    <row r="79">
      <c r="B79" s="21" t="n">
        <v>2028</v>
      </c>
      <c r="C79" s="22" t="inlineStr">
        <is>
          <t>MFJ</t>
        </is>
      </c>
      <c r="D79" s="23" t="n">
        <v>0</v>
      </c>
      <c r="E79" s="23" t="n">
        <v>23850</v>
      </c>
      <c r="F79" s="24" t="n">
        <v>0.1</v>
      </c>
      <c r="G79" s="25" t="n">
        <v>0</v>
      </c>
    </row>
    <row r="80">
      <c r="B80" s="21" t="n">
        <v>2028</v>
      </c>
      <c r="C80" s="22" t="inlineStr">
        <is>
          <t>MFJ</t>
        </is>
      </c>
      <c r="D80" s="23" t="n">
        <v>23850</v>
      </c>
      <c r="E80" s="23" t="n">
        <v>96950</v>
      </c>
      <c r="F80" s="24" t="n">
        <v>0.12</v>
      </c>
      <c r="G80" s="25" t="n">
        <v>2385</v>
      </c>
    </row>
    <row r="81">
      <c r="B81" s="21" t="n">
        <v>2028</v>
      </c>
      <c r="C81" s="22" t="inlineStr">
        <is>
          <t>MFJ</t>
        </is>
      </c>
      <c r="D81" s="23" t="n">
        <v>96950</v>
      </c>
      <c r="E81" s="23" t="n">
        <v>206700</v>
      </c>
      <c r="F81" s="24" t="n">
        <v>0.22</v>
      </c>
      <c r="G81" s="25" t="n">
        <v>11157</v>
      </c>
    </row>
    <row r="82">
      <c r="B82" s="21" t="n">
        <v>2028</v>
      </c>
      <c r="C82" s="22" t="inlineStr">
        <is>
          <t>MFJ</t>
        </is>
      </c>
      <c r="D82" s="23" t="n">
        <v>206700</v>
      </c>
      <c r="E82" s="23" t="n">
        <v>394600</v>
      </c>
      <c r="F82" s="24" t="n">
        <v>0.24</v>
      </c>
      <c r="G82" s="25" t="n">
        <v>35302</v>
      </c>
    </row>
    <row r="83">
      <c r="B83" s="21" t="n">
        <v>2028</v>
      </c>
      <c r="C83" s="22" t="inlineStr">
        <is>
          <t>MFJ</t>
        </is>
      </c>
      <c r="D83" s="23" t="n">
        <v>394600</v>
      </c>
      <c r="E83" s="23" t="n">
        <v>501050</v>
      </c>
      <c r="F83" s="24" t="n">
        <v>0.32</v>
      </c>
      <c r="G83" s="25" t="n">
        <v>80398</v>
      </c>
    </row>
    <row r="84">
      <c r="B84" s="21" t="n">
        <v>2028</v>
      </c>
      <c r="C84" s="22" t="inlineStr">
        <is>
          <t>MFJ</t>
        </is>
      </c>
      <c r="D84" s="23" t="n">
        <v>501050</v>
      </c>
      <c r="E84" s="23" t="n">
        <v>751600</v>
      </c>
      <c r="F84" s="24" t="n">
        <v>0.35</v>
      </c>
      <c r="G84" s="25" t="n">
        <v>114462</v>
      </c>
    </row>
    <row r="85">
      <c r="B85" s="21" t="n">
        <v>2028</v>
      </c>
      <c r="C85" s="22" t="inlineStr">
        <is>
          <t>MFJ</t>
        </is>
      </c>
      <c r="D85" s="23" t="n">
        <v>751600</v>
      </c>
      <c r="E85" s="23" t="n">
        <v>9999999</v>
      </c>
      <c r="F85" s="24" t="n">
        <v>0.37</v>
      </c>
      <c r="G85" s="25" t="n">
        <v>202154.5</v>
      </c>
    </row>
    <row r="86">
      <c r="B86" s="21" t="n">
        <v>2028</v>
      </c>
      <c r="C86" s="22" t="inlineStr">
        <is>
          <t>Single</t>
        </is>
      </c>
      <c r="D86" s="23" t="n">
        <v>0</v>
      </c>
      <c r="E86" s="23" t="n">
        <v>11925</v>
      </c>
      <c r="F86" s="24" t="n">
        <v>0.1</v>
      </c>
      <c r="G86" s="25" t="n">
        <v>0</v>
      </c>
    </row>
    <row r="87">
      <c r="B87" s="21" t="n">
        <v>2028</v>
      </c>
      <c r="C87" s="22" t="inlineStr">
        <is>
          <t>Single</t>
        </is>
      </c>
      <c r="D87" s="23" t="n">
        <v>11925</v>
      </c>
      <c r="E87" s="23" t="n">
        <v>48475</v>
      </c>
      <c r="F87" s="24" t="n">
        <v>0.12</v>
      </c>
      <c r="G87" s="25" t="n">
        <v>1192.5</v>
      </c>
    </row>
    <row r="88">
      <c r="B88" s="21" t="n">
        <v>2028</v>
      </c>
      <c r="C88" s="22" t="inlineStr">
        <is>
          <t>Single</t>
        </is>
      </c>
      <c r="D88" s="23" t="n">
        <v>48475</v>
      </c>
      <c r="E88" s="23" t="n">
        <v>103350</v>
      </c>
      <c r="F88" s="24" t="n">
        <v>0.22</v>
      </c>
      <c r="G88" s="25" t="n">
        <v>5578.5</v>
      </c>
    </row>
    <row r="89">
      <c r="B89" s="21" t="n">
        <v>2028</v>
      </c>
      <c r="C89" s="22" t="inlineStr">
        <is>
          <t>Single</t>
        </is>
      </c>
      <c r="D89" s="23" t="n">
        <v>103350</v>
      </c>
      <c r="E89" s="23" t="n">
        <v>197300</v>
      </c>
      <c r="F89" s="24" t="n">
        <v>0.24</v>
      </c>
      <c r="G89" s="25" t="n">
        <v>17651</v>
      </c>
    </row>
    <row r="90">
      <c r="B90" s="21" t="n">
        <v>2028</v>
      </c>
      <c r="C90" s="22" t="inlineStr">
        <is>
          <t>Single</t>
        </is>
      </c>
      <c r="D90" s="23" t="n">
        <v>197300</v>
      </c>
      <c r="E90" s="23" t="n">
        <v>250525</v>
      </c>
      <c r="F90" s="24" t="n">
        <v>0.32</v>
      </c>
      <c r="G90" s="25" t="n">
        <v>40199</v>
      </c>
    </row>
    <row r="91">
      <c r="B91" s="21" t="n">
        <v>2028</v>
      </c>
      <c r="C91" s="22" t="inlineStr">
        <is>
          <t>Single</t>
        </is>
      </c>
      <c r="D91" s="23" t="n">
        <v>250525</v>
      </c>
      <c r="E91" s="23" t="n">
        <v>626350</v>
      </c>
      <c r="F91" s="24" t="n">
        <v>0.35</v>
      </c>
      <c r="G91" s="25" t="n">
        <v>57231</v>
      </c>
    </row>
    <row r="92">
      <c r="B92" s="21" t="n">
        <v>2028</v>
      </c>
      <c r="C92" s="22" t="inlineStr">
        <is>
          <t>Single</t>
        </is>
      </c>
      <c r="D92" s="23" t="n">
        <v>626350</v>
      </c>
      <c r="E92" s="23" t="n">
        <v>9999999</v>
      </c>
      <c r="F92" s="24" t="n">
        <v>0.37</v>
      </c>
      <c r="G92" s="25" t="n">
        <v>188769.75</v>
      </c>
    </row>
    <row r="93">
      <c r="B93" s="21" t="n">
        <v>2023</v>
      </c>
      <c r="C93" s="22" t="inlineStr">
        <is>
          <t>HOH</t>
        </is>
      </c>
      <c r="D93" s="23" t="n">
        <v>0</v>
      </c>
      <c r="E93" s="23" t="n">
        <v>17000</v>
      </c>
      <c r="F93" s="24" t="n">
        <v>0.1</v>
      </c>
      <c r="G93" s="25" t="n">
        <v>0</v>
      </c>
    </row>
    <row r="94">
      <c r="B94" s="21" t="n">
        <v>2023</v>
      </c>
      <c r="C94" s="22" t="inlineStr">
        <is>
          <t>HOH</t>
        </is>
      </c>
      <c r="D94" s="23" t="n">
        <v>17000</v>
      </c>
      <c r="E94" s="23" t="n">
        <v>64850</v>
      </c>
      <c r="F94" s="24" t="n">
        <v>0.12</v>
      </c>
      <c r="G94" s="25" t="n">
        <v>1700</v>
      </c>
    </row>
    <row r="95">
      <c r="B95" s="21" t="n">
        <v>2023</v>
      </c>
      <c r="C95" s="22" t="inlineStr">
        <is>
          <t>HOH</t>
        </is>
      </c>
      <c r="D95" s="23" t="n">
        <v>64850</v>
      </c>
      <c r="E95" s="23" t="n">
        <v>103350</v>
      </c>
      <c r="F95" s="24" t="n">
        <v>0.22</v>
      </c>
      <c r="G95" s="25" t="n">
        <v>7442</v>
      </c>
    </row>
    <row r="96">
      <c r="B96" s="21" t="n">
        <v>2023</v>
      </c>
      <c r="C96" s="22" t="inlineStr">
        <is>
          <t>HOH</t>
        </is>
      </c>
      <c r="D96" s="23" t="n">
        <v>103350</v>
      </c>
      <c r="E96" s="23" t="n">
        <v>197300</v>
      </c>
      <c r="F96" s="24" t="n">
        <v>0.24</v>
      </c>
      <c r="G96" s="25" t="n">
        <v>14902</v>
      </c>
    </row>
    <row r="97">
      <c r="B97" s="21" t="n">
        <v>2023</v>
      </c>
      <c r="C97" s="22" t="inlineStr">
        <is>
          <t>HOH</t>
        </is>
      </c>
      <c r="D97" s="23" t="n">
        <v>197300</v>
      </c>
      <c r="E97" s="23" t="n">
        <v>250500</v>
      </c>
      <c r="F97" s="24" t="n">
        <v>0.32</v>
      </c>
      <c r="G97" s="25" t="n">
        <v>37450</v>
      </c>
    </row>
    <row r="98">
      <c r="B98" s="21" t="n">
        <v>2023</v>
      </c>
      <c r="C98" s="22" t="inlineStr">
        <is>
          <t>HOH</t>
        </is>
      </c>
      <c r="D98" s="23" t="n">
        <v>250500</v>
      </c>
      <c r="E98" s="23" t="n">
        <v>626350</v>
      </c>
      <c r="F98" s="24" t="n">
        <v>0.35</v>
      </c>
      <c r="G98" s="25" t="n">
        <v>54474</v>
      </c>
    </row>
    <row r="99">
      <c r="B99" s="21" t="n">
        <v>2023</v>
      </c>
      <c r="C99" s="22" t="inlineStr">
        <is>
          <t>HOH</t>
        </is>
      </c>
      <c r="D99" s="23" t="n">
        <v>626350</v>
      </c>
      <c r="E99" s="23" t="n">
        <v>9999999</v>
      </c>
      <c r="F99" s="24" t="n">
        <v>0.37</v>
      </c>
      <c r="G99" s="25" t="n">
        <v>185921.5</v>
      </c>
    </row>
    <row r="100">
      <c r="B100" s="21" t="n">
        <v>2023</v>
      </c>
      <c r="C100" s="22" t="inlineStr">
        <is>
          <t>MFS</t>
        </is>
      </c>
      <c r="D100" s="23" t="n">
        <v>0</v>
      </c>
      <c r="E100" s="23" t="n">
        <v>11925</v>
      </c>
      <c r="F100" s="24" t="n">
        <v>0.1</v>
      </c>
      <c r="G100" s="25" t="n">
        <v>0</v>
      </c>
    </row>
    <row r="101">
      <c r="B101" s="21" t="n">
        <v>2023</v>
      </c>
      <c r="C101" s="22" t="inlineStr">
        <is>
          <t>MFS</t>
        </is>
      </c>
      <c r="D101" s="23" t="n">
        <v>11925</v>
      </c>
      <c r="E101" s="23" t="n">
        <v>48475</v>
      </c>
      <c r="F101" s="24" t="n">
        <v>0.12</v>
      </c>
      <c r="G101" s="25" t="n">
        <v>1192.5</v>
      </c>
    </row>
    <row r="102">
      <c r="B102" s="21" t="n">
        <v>2023</v>
      </c>
      <c r="C102" s="22" t="inlineStr">
        <is>
          <t>MFS</t>
        </is>
      </c>
      <c r="D102" s="23" t="n">
        <v>48475</v>
      </c>
      <c r="E102" s="23" t="n">
        <v>103350</v>
      </c>
      <c r="F102" s="24" t="n">
        <v>0.22</v>
      </c>
      <c r="G102" s="25" t="n">
        <v>5578.5</v>
      </c>
    </row>
    <row r="103">
      <c r="B103" s="21" t="n">
        <v>2023</v>
      </c>
      <c r="C103" s="22" t="inlineStr">
        <is>
          <t>MFS</t>
        </is>
      </c>
      <c r="D103" s="23" t="n">
        <v>103350</v>
      </c>
      <c r="E103" s="23" t="n">
        <v>197300</v>
      </c>
      <c r="F103" s="24" t="n">
        <v>0.24</v>
      </c>
      <c r="G103" s="25" t="n">
        <v>17651</v>
      </c>
    </row>
    <row r="104">
      <c r="B104" s="21" t="n">
        <v>2023</v>
      </c>
      <c r="C104" s="22" t="inlineStr">
        <is>
          <t>MFS</t>
        </is>
      </c>
      <c r="D104" s="23" t="n">
        <v>197300</v>
      </c>
      <c r="E104" s="23" t="n">
        <v>250525</v>
      </c>
      <c r="F104" s="24" t="n">
        <v>0.32</v>
      </c>
      <c r="G104" s="25" t="n">
        <v>40199</v>
      </c>
    </row>
    <row r="105">
      <c r="B105" s="21" t="n">
        <v>2023</v>
      </c>
      <c r="C105" s="22" t="inlineStr">
        <is>
          <t>MFS</t>
        </is>
      </c>
      <c r="D105" s="23" t="n">
        <v>250525</v>
      </c>
      <c r="E105" s="23" t="n">
        <v>375800</v>
      </c>
      <c r="F105" s="24" t="n">
        <v>0.35</v>
      </c>
      <c r="G105" s="25" t="n">
        <v>57231</v>
      </c>
    </row>
    <row r="106">
      <c r="B106" s="21" t="n">
        <v>2023</v>
      </c>
      <c r="C106" s="22" t="inlineStr">
        <is>
          <t>MFS</t>
        </is>
      </c>
      <c r="D106" s="23" t="n">
        <v>375800</v>
      </c>
      <c r="E106" s="23" t="n">
        <v>9999999</v>
      </c>
      <c r="F106" s="24" t="n">
        <v>0.37</v>
      </c>
      <c r="G106" s="25" t="n">
        <v>101078.25</v>
      </c>
    </row>
    <row r="107">
      <c r="B107" s="21" t="n">
        <v>2024</v>
      </c>
      <c r="C107" s="22" t="inlineStr">
        <is>
          <t>HOH</t>
        </is>
      </c>
      <c r="D107" s="23" t="n">
        <v>0</v>
      </c>
      <c r="E107" s="23" t="n">
        <v>17000</v>
      </c>
      <c r="F107" s="24" t="n">
        <v>0.1</v>
      </c>
      <c r="G107" s="25" t="n">
        <v>0</v>
      </c>
    </row>
    <row r="108">
      <c r="B108" s="21" t="n">
        <v>2024</v>
      </c>
      <c r="C108" s="22" t="inlineStr">
        <is>
          <t>HOH</t>
        </is>
      </c>
      <c r="D108" s="23" t="n">
        <v>17000</v>
      </c>
      <c r="E108" s="23" t="n">
        <v>64850</v>
      </c>
      <c r="F108" s="24" t="n">
        <v>0.12</v>
      </c>
      <c r="G108" s="25" t="n">
        <v>1700</v>
      </c>
    </row>
    <row r="109">
      <c r="B109" s="21" t="n">
        <v>2024</v>
      </c>
      <c r="C109" s="22" t="inlineStr">
        <is>
          <t>HOH</t>
        </is>
      </c>
      <c r="D109" s="23" t="n">
        <v>64850</v>
      </c>
      <c r="E109" s="23" t="n">
        <v>103350</v>
      </c>
      <c r="F109" s="24" t="n">
        <v>0.22</v>
      </c>
      <c r="G109" s="25" t="n">
        <v>7442</v>
      </c>
    </row>
    <row r="110">
      <c r="B110" s="21" t="n">
        <v>2024</v>
      </c>
      <c r="C110" s="22" t="inlineStr">
        <is>
          <t>HOH</t>
        </is>
      </c>
      <c r="D110" s="23" t="n">
        <v>103350</v>
      </c>
      <c r="E110" s="23" t="n">
        <v>197300</v>
      </c>
      <c r="F110" s="24" t="n">
        <v>0.24</v>
      </c>
      <c r="G110" s="25" t="n">
        <v>14902</v>
      </c>
    </row>
    <row r="111">
      <c r="B111" s="21" t="n">
        <v>2024</v>
      </c>
      <c r="C111" s="22" t="inlineStr">
        <is>
          <t>HOH</t>
        </is>
      </c>
      <c r="D111" s="23" t="n">
        <v>197300</v>
      </c>
      <c r="E111" s="23" t="n">
        <v>250500</v>
      </c>
      <c r="F111" s="24" t="n">
        <v>0.32</v>
      </c>
      <c r="G111" s="25" t="n">
        <v>37450</v>
      </c>
    </row>
    <row r="112">
      <c r="B112" s="21" t="n">
        <v>2024</v>
      </c>
      <c r="C112" s="22" t="inlineStr">
        <is>
          <t>HOH</t>
        </is>
      </c>
      <c r="D112" s="23" t="n">
        <v>250500</v>
      </c>
      <c r="E112" s="23" t="n">
        <v>626350</v>
      </c>
      <c r="F112" s="24" t="n">
        <v>0.35</v>
      </c>
      <c r="G112" s="25" t="n">
        <v>54474</v>
      </c>
    </row>
    <row r="113">
      <c r="B113" s="21" t="n">
        <v>2024</v>
      </c>
      <c r="C113" s="22" t="inlineStr">
        <is>
          <t>HOH</t>
        </is>
      </c>
      <c r="D113" s="23" t="n">
        <v>626350</v>
      </c>
      <c r="E113" s="23" t="n">
        <v>9999999</v>
      </c>
      <c r="F113" s="24" t="n">
        <v>0.37</v>
      </c>
      <c r="G113" s="25" t="n">
        <v>185921.5</v>
      </c>
    </row>
    <row r="114">
      <c r="B114" s="21" t="n">
        <v>2024</v>
      </c>
      <c r="C114" s="22" t="inlineStr">
        <is>
          <t>MFS</t>
        </is>
      </c>
      <c r="D114" s="23" t="n">
        <v>0</v>
      </c>
      <c r="E114" s="23" t="n">
        <v>11925</v>
      </c>
      <c r="F114" s="24" t="n">
        <v>0.1</v>
      </c>
      <c r="G114" s="25" t="n">
        <v>0</v>
      </c>
    </row>
    <row r="115">
      <c r="B115" s="21" t="n">
        <v>2024</v>
      </c>
      <c r="C115" s="22" t="inlineStr">
        <is>
          <t>MFS</t>
        </is>
      </c>
      <c r="D115" s="23" t="n">
        <v>11925</v>
      </c>
      <c r="E115" s="23" t="n">
        <v>48475</v>
      </c>
      <c r="F115" s="24" t="n">
        <v>0.12</v>
      </c>
      <c r="G115" s="25" t="n">
        <v>1192.5</v>
      </c>
    </row>
    <row r="116">
      <c r="B116" s="21" t="n">
        <v>2024</v>
      </c>
      <c r="C116" s="22" t="inlineStr">
        <is>
          <t>MFS</t>
        </is>
      </c>
      <c r="D116" s="23" t="n">
        <v>48475</v>
      </c>
      <c r="E116" s="23" t="n">
        <v>103350</v>
      </c>
      <c r="F116" s="24" t="n">
        <v>0.22</v>
      </c>
      <c r="G116" s="25" t="n">
        <v>5578.5</v>
      </c>
    </row>
    <row r="117">
      <c r="B117" s="21" t="n">
        <v>2024</v>
      </c>
      <c r="C117" s="22" t="inlineStr">
        <is>
          <t>MFS</t>
        </is>
      </c>
      <c r="D117" s="23" t="n">
        <v>103350</v>
      </c>
      <c r="E117" s="23" t="n">
        <v>197300</v>
      </c>
      <c r="F117" s="24" t="n">
        <v>0.24</v>
      </c>
      <c r="G117" s="25" t="n">
        <v>17651</v>
      </c>
    </row>
    <row r="118">
      <c r="B118" s="21" t="n">
        <v>2024</v>
      </c>
      <c r="C118" s="22" t="inlineStr">
        <is>
          <t>MFS</t>
        </is>
      </c>
      <c r="D118" s="23" t="n">
        <v>197300</v>
      </c>
      <c r="E118" s="23" t="n">
        <v>250525</v>
      </c>
      <c r="F118" s="24" t="n">
        <v>0.32</v>
      </c>
      <c r="G118" s="25" t="n">
        <v>40199</v>
      </c>
    </row>
    <row r="119">
      <c r="B119" s="21" t="n">
        <v>2024</v>
      </c>
      <c r="C119" s="22" t="inlineStr">
        <is>
          <t>MFS</t>
        </is>
      </c>
      <c r="D119" s="23" t="n">
        <v>250525</v>
      </c>
      <c r="E119" s="23" t="n">
        <v>375800</v>
      </c>
      <c r="F119" s="24" t="n">
        <v>0.35</v>
      </c>
      <c r="G119" s="25" t="n">
        <v>57231</v>
      </c>
    </row>
    <row r="120">
      <c r="B120" s="21" t="n">
        <v>2024</v>
      </c>
      <c r="C120" s="22" t="inlineStr">
        <is>
          <t>MFS</t>
        </is>
      </c>
      <c r="D120" s="23" t="n">
        <v>375800</v>
      </c>
      <c r="E120" s="23" t="n">
        <v>9999999</v>
      </c>
      <c r="F120" s="24" t="n">
        <v>0.37</v>
      </c>
      <c r="G120" s="25" t="n">
        <v>101078.25</v>
      </c>
    </row>
    <row r="121">
      <c r="B121" s="21" t="n">
        <v>2025</v>
      </c>
      <c r="C121" s="22" t="inlineStr">
        <is>
          <t>HOH</t>
        </is>
      </c>
      <c r="D121" s="23" t="n">
        <v>0</v>
      </c>
      <c r="E121" s="23" t="n">
        <v>17000</v>
      </c>
      <c r="F121" s="24" t="n">
        <v>0.1</v>
      </c>
      <c r="G121" s="25" t="n">
        <v>0</v>
      </c>
    </row>
    <row r="122">
      <c r="B122" s="21" t="n">
        <v>2025</v>
      </c>
      <c r="C122" s="22" t="inlineStr">
        <is>
          <t>HOH</t>
        </is>
      </c>
      <c r="D122" s="23" t="n">
        <v>17000</v>
      </c>
      <c r="E122" s="23" t="n">
        <v>64850</v>
      </c>
      <c r="F122" s="24" t="n">
        <v>0.12</v>
      </c>
      <c r="G122" s="25" t="n">
        <v>1700</v>
      </c>
    </row>
    <row r="123">
      <c r="B123" s="21" t="n">
        <v>2025</v>
      </c>
      <c r="C123" s="22" t="inlineStr">
        <is>
          <t>HOH</t>
        </is>
      </c>
      <c r="D123" s="23" t="n">
        <v>64850</v>
      </c>
      <c r="E123" s="23" t="n">
        <v>103350</v>
      </c>
      <c r="F123" s="24" t="n">
        <v>0.22</v>
      </c>
      <c r="G123" s="25" t="n">
        <v>7442</v>
      </c>
    </row>
    <row r="124">
      <c r="B124" s="21" t="n">
        <v>2025</v>
      </c>
      <c r="C124" s="22" t="inlineStr">
        <is>
          <t>HOH</t>
        </is>
      </c>
      <c r="D124" s="23" t="n">
        <v>103350</v>
      </c>
      <c r="E124" s="23" t="n">
        <v>197300</v>
      </c>
      <c r="F124" s="24" t="n">
        <v>0.24</v>
      </c>
      <c r="G124" s="25" t="n">
        <v>14902</v>
      </c>
    </row>
    <row r="125">
      <c r="B125" s="21" t="n">
        <v>2025</v>
      </c>
      <c r="C125" s="22" t="inlineStr">
        <is>
          <t>HOH</t>
        </is>
      </c>
      <c r="D125" s="23" t="n">
        <v>197300</v>
      </c>
      <c r="E125" s="23" t="n">
        <v>250500</v>
      </c>
      <c r="F125" s="24" t="n">
        <v>0.32</v>
      </c>
      <c r="G125" s="25" t="n">
        <v>37450</v>
      </c>
    </row>
    <row r="126">
      <c r="B126" s="21" t="n">
        <v>2025</v>
      </c>
      <c r="C126" s="22" t="inlineStr">
        <is>
          <t>HOH</t>
        </is>
      </c>
      <c r="D126" s="23" t="n">
        <v>250500</v>
      </c>
      <c r="E126" s="23" t="n">
        <v>626350</v>
      </c>
      <c r="F126" s="24" t="n">
        <v>0.35</v>
      </c>
      <c r="G126" s="25" t="n">
        <v>54474</v>
      </c>
    </row>
    <row r="127">
      <c r="B127" s="21" t="n">
        <v>2025</v>
      </c>
      <c r="C127" s="22" t="inlineStr">
        <is>
          <t>HOH</t>
        </is>
      </c>
      <c r="D127" s="23" t="n">
        <v>626350</v>
      </c>
      <c r="E127" s="23" t="n">
        <v>9999999</v>
      </c>
      <c r="F127" s="24" t="n">
        <v>0.37</v>
      </c>
      <c r="G127" s="25" t="n">
        <v>185921.5</v>
      </c>
    </row>
    <row r="128">
      <c r="B128" s="21" t="n">
        <v>2025</v>
      </c>
      <c r="C128" s="22" t="inlineStr">
        <is>
          <t>MFS</t>
        </is>
      </c>
      <c r="D128" s="23" t="n">
        <v>0</v>
      </c>
      <c r="E128" s="23" t="n">
        <v>11925</v>
      </c>
      <c r="F128" s="24" t="n">
        <v>0.1</v>
      </c>
      <c r="G128" s="25" t="n">
        <v>0</v>
      </c>
    </row>
    <row r="129">
      <c r="B129" s="21" t="n">
        <v>2025</v>
      </c>
      <c r="C129" s="22" t="inlineStr">
        <is>
          <t>MFS</t>
        </is>
      </c>
      <c r="D129" s="23" t="n">
        <v>11925</v>
      </c>
      <c r="E129" s="23" t="n">
        <v>48475</v>
      </c>
      <c r="F129" s="24" t="n">
        <v>0.12</v>
      </c>
      <c r="G129" s="25" t="n">
        <v>1192.5</v>
      </c>
    </row>
    <row r="130">
      <c r="B130" s="21" t="n">
        <v>2025</v>
      </c>
      <c r="C130" s="22" t="inlineStr">
        <is>
          <t>MFS</t>
        </is>
      </c>
      <c r="D130" s="23" t="n">
        <v>48475</v>
      </c>
      <c r="E130" s="23" t="n">
        <v>103350</v>
      </c>
      <c r="F130" s="24" t="n">
        <v>0.22</v>
      </c>
      <c r="G130" s="25" t="n">
        <v>5578.5</v>
      </c>
    </row>
    <row r="131">
      <c r="B131" s="21" t="n">
        <v>2025</v>
      </c>
      <c r="C131" s="22" t="inlineStr">
        <is>
          <t>MFS</t>
        </is>
      </c>
      <c r="D131" s="23" t="n">
        <v>103350</v>
      </c>
      <c r="E131" s="23" t="n">
        <v>197300</v>
      </c>
      <c r="F131" s="24" t="n">
        <v>0.24</v>
      </c>
      <c r="G131" s="25" t="n">
        <v>17651</v>
      </c>
    </row>
    <row r="132">
      <c r="B132" s="21" t="n">
        <v>2025</v>
      </c>
      <c r="C132" s="22" t="inlineStr">
        <is>
          <t>MFS</t>
        </is>
      </c>
      <c r="D132" s="23" t="n">
        <v>197300</v>
      </c>
      <c r="E132" s="23" t="n">
        <v>250525</v>
      </c>
      <c r="F132" s="24" t="n">
        <v>0.32</v>
      </c>
      <c r="G132" s="25" t="n">
        <v>40199</v>
      </c>
    </row>
    <row r="133">
      <c r="B133" s="21" t="n">
        <v>2025</v>
      </c>
      <c r="C133" s="22" t="inlineStr">
        <is>
          <t>MFS</t>
        </is>
      </c>
      <c r="D133" s="23" t="n">
        <v>250525</v>
      </c>
      <c r="E133" s="23" t="n">
        <v>375800</v>
      </c>
      <c r="F133" s="24" t="n">
        <v>0.35</v>
      </c>
      <c r="G133" s="25" t="n">
        <v>57231</v>
      </c>
    </row>
    <row r="134">
      <c r="B134" s="21" t="n">
        <v>2025</v>
      </c>
      <c r="C134" s="22" t="inlineStr">
        <is>
          <t>MFS</t>
        </is>
      </c>
      <c r="D134" s="23" t="n">
        <v>375800</v>
      </c>
      <c r="E134" s="23" t="n">
        <v>9999999</v>
      </c>
      <c r="F134" s="24" t="n">
        <v>0.37</v>
      </c>
      <c r="G134" s="25" t="n">
        <v>101078.25</v>
      </c>
    </row>
    <row r="135">
      <c r="B135" s="21" t="n">
        <v>2026</v>
      </c>
      <c r="C135" s="22" t="inlineStr">
        <is>
          <t>HOH</t>
        </is>
      </c>
      <c r="D135" s="23" t="n">
        <v>0</v>
      </c>
      <c r="E135" s="23" t="n">
        <v>17000</v>
      </c>
      <c r="F135" s="24" t="n">
        <v>0.1</v>
      </c>
      <c r="G135" s="25" t="n">
        <v>0</v>
      </c>
    </row>
    <row r="136">
      <c r="B136" s="21" t="n">
        <v>2026</v>
      </c>
      <c r="C136" s="22" t="inlineStr">
        <is>
          <t>HOH</t>
        </is>
      </c>
      <c r="D136" s="23" t="n">
        <v>17000</v>
      </c>
      <c r="E136" s="23" t="n">
        <v>64850</v>
      </c>
      <c r="F136" s="24" t="n">
        <v>0.12</v>
      </c>
      <c r="G136" s="25" t="n">
        <v>1700</v>
      </c>
    </row>
    <row r="137">
      <c r="B137" s="21" t="n">
        <v>2026</v>
      </c>
      <c r="C137" s="22" t="inlineStr">
        <is>
          <t>HOH</t>
        </is>
      </c>
      <c r="D137" s="23" t="n">
        <v>64850</v>
      </c>
      <c r="E137" s="23" t="n">
        <v>103350</v>
      </c>
      <c r="F137" s="24" t="n">
        <v>0.22</v>
      </c>
      <c r="G137" s="25" t="n">
        <v>7442</v>
      </c>
    </row>
    <row r="138">
      <c r="B138" s="21" t="n">
        <v>2026</v>
      </c>
      <c r="C138" s="22" t="inlineStr">
        <is>
          <t>HOH</t>
        </is>
      </c>
      <c r="D138" s="23" t="n">
        <v>103350</v>
      </c>
      <c r="E138" s="23" t="n">
        <v>197300</v>
      </c>
      <c r="F138" s="24" t="n">
        <v>0.24</v>
      </c>
      <c r="G138" s="25" t="n">
        <v>14902</v>
      </c>
    </row>
    <row r="139">
      <c r="B139" s="21" t="n">
        <v>2026</v>
      </c>
      <c r="C139" s="22" t="inlineStr">
        <is>
          <t>HOH</t>
        </is>
      </c>
      <c r="D139" s="23" t="n">
        <v>197300</v>
      </c>
      <c r="E139" s="23" t="n">
        <v>250500</v>
      </c>
      <c r="F139" s="24" t="n">
        <v>0.32</v>
      </c>
      <c r="G139" s="25" t="n">
        <v>37450</v>
      </c>
    </row>
    <row r="140">
      <c r="B140" s="21" t="n">
        <v>2026</v>
      </c>
      <c r="C140" s="22" t="inlineStr">
        <is>
          <t>HOH</t>
        </is>
      </c>
      <c r="D140" s="23" t="n">
        <v>250500</v>
      </c>
      <c r="E140" s="23" t="n">
        <v>626350</v>
      </c>
      <c r="F140" s="24" t="n">
        <v>0.35</v>
      </c>
      <c r="G140" s="25" t="n">
        <v>54474</v>
      </c>
    </row>
    <row r="141">
      <c r="B141" s="21" t="n">
        <v>2026</v>
      </c>
      <c r="C141" s="22" t="inlineStr">
        <is>
          <t>HOH</t>
        </is>
      </c>
      <c r="D141" s="23" t="n">
        <v>626350</v>
      </c>
      <c r="E141" s="23" t="n">
        <v>9999999</v>
      </c>
      <c r="F141" s="24" t="n">
        <v>0.37</v>
      </c>
      <c r="G141" s="25" t="n">
        <v>185921.5</v>
      </c>
    </row>
    <row r="142">
      <c r="B142" s="21" t="n">
        <v>2026</v>
      </c>
      <c r="C142" s="22" t="inlineStr">
        <is>
          <t>MFS</t>
        </is>
      </c>
      <c r="D142" s="23" t="n">
        <v>0</v>
      </c>
      <c r="E142" s="23" t="n">
        <v>11925</v>
      </c>
      <c r="F142" s="24" t="n">
        <v>0.1</v>
      </c>
      <c r="G142" s="25" t="n">
        <v>0</v>
      </c>
    </row>
    <row r="143">
      <c r="B143" s="21" t="n">
        <v>2026</v>
      </c>
      <c r="C143" s="22" t="inlineStr">
        <is>
          <t>MFS</t>
        </is>
      </c>
      <c r="D143" s="23" t="n">
        <v>11925</v>
      </c>
      <c r="E143" s="23" t="n">
        <v>48475</v>
      </c>
      <c r="F143" s="24" t="n">
        <v>0.12</v>
      </c>
      <c r="G143" s="25" t="n">
        <v>1192.5</v>
      </c>
    </row>
    <row r="144">
      <c r="B144" s="21" t="n">
        <v>2026</v>
      </c>
      <c r="C144" s="22" t="inlineStr">
        <is>
          <t>MFS</t>
        </is>
      </c>
      <c r="D144" s="23" t="n">
        <v>48475</v>
      </c>
      <c r="E144" s="23" t="n">
        <v>103350</v>
      </c>
      <c r="F144" s="24" t="n">
        <v>0.22</v>
      </c>
      <c r="G144" s="25" t="n">
        <v>5578.5</v>
      </c>
    </row>
    <row r="145">
      <c r="B145" s="21" t="n">
        <v>2026</v>
      </c>
      <c r="C145" s="22" t="inlineStr">
        <is>
          <t>MFS</t>
        </is>
      </c>
      <c r="D145" s="23" t="n">
        <v>103350</v>
      </c>
      <c r="E145" s="23" t="n">
        <v>197300</v>
      </c>
      <c r="F145" s="24" t="n">
        <v>0.24</v>
      </c>
      <c r="G145" s="25" t="n">
        <v>17651</v>
      </c>
    </row>
    <row r="146">
      <c r="B146" s="21" t="n">
        <v>2026</v>
      </c>
      <c r="C146" s="22" t="inlineStr">
        <is>
          <t>MFS</t>
        </is>
      </c>
      <c r="D146" s="23" t="n">
        <v>197300</v>
      </c>
      <c r="E146" s="23" t="n">
        <v>250525</v>
      </c>
      <c r="F146" s="24" t="n">
        <v>0.32</v>
      </c>
      <c r="G146" s="25" t="n">
        <v>40199</v>
      </c>
    </row>
    <row r="147">
      <c r="B147" s="21" t="n">
        <v>2026</v>
      </c>
      <c r="C147" s="22" t="inlineStr">
        <is>
          <t>MFS</t>
        </is>
      </c>
      <c r="D147" s="23" t="n">
        <v>250525</v>
      </c>
      <c r="E147" s="23" t="n">
        <v>375800</v>
      </c>
      <c r="F147" s="24" t="n">
        <v>0.35</v>
      </c>
      <c r="G147" s="25" t="n">
        <v>57231</v>
      </c>
    </row>
    <row r="148">
      <c r="B148" s="21" t="n">
        <v>2026</v>
      </c>
      <c r="C148" s="22" t="inlineStr">
        <is>
          <t>MFS</t>
        </is>
      </c>
      <c r="D148" s="23" t="n">
        <v>375800</v>
      </c>
      <c r="E148" s="23" t="n">
        <v>9999999</v>
      </c>
      <c r="F148" s="24" t="n">
        <v>0.37</v>
      </c>
      <c r="G148" s="25" t="n">
        <v>101078.25</v>
      </c>
    </row>
    <row r="149">
      <c r="B149" s="21" t="n">
        <v>2027</v>
      </c>
      <c r="C149" s="22" t="inlineStr">
        <is>
          <t>HOH</t>
        </is>
      </c>
      <c r="D149" s="23" t="n">
        <v>0</v>
      </c>
      <c r="E149" s="23" t="n">
        <v>17000</v>
      </c>
      <c r="F149" s="24" t="n">
        <v>0.1</v>
      </c>
      <c r="G149" s="25" t="n">
        <v>0</v>
      </c>
    </row>
    <row r="150">
      <c r="B150" s="21" t="n">
        <v>2027</v>
      </c>
      <c r="C150" s="22" t="inlineStr">
        <is>
          <t>HOH</t>
        </is>
      </c>
      <c r="D150" s="23" t="n">
        <v>17000</v>
      </c>
      <c r="E150" s="23" t="n">
        <v>64850</v>
      </c>
      <c r="F150" s="24" t="n">
        <v>0.12</v>
      </c>
      <c r="G150" s="25" t="n">
        <v>1700</v>
      </c>
    </row>
    <row r="151">
      <c r="B151" s="21" t="n">
        <v>2027</v>
      </c>
      <c r="C151" s="22" t="inlineStr">
        <is>
          <t>HOH</t>
        </is>
      </c>
      <c r="D151" s="23" t="n">
        <v>64850</v>
      </c>
      <c r="E151" s="23" t="n">
        <v>103350</v>
      </c>
      <c r="F151" s="24" t="n">
        <v>0.22</v>
      </c>
      <c r="G151" s="25" t="n">
        <v>7442</v>
      </c>
    </row>
    <row r="152">
      <c r="B152" s="21" t="n">
        <v>2027</v>
      </c>
      <c r="C152" s="22" t="inlineStr">
        <is>
          <t>HOH</t>
        </is>
      </c>
      <c r="D152" s="23" t="n">
        <v>103350</v>
      </c>
      <c r="E152" s="23" t="n">
        <v>197300</v>
      </c>
      <c r="F152" s="24" t="n">
        <v>0.24</v>
      </c>
      <c r="G152" s="25" t="n">
        <v>14902</v>
      </c>
    </row>
    <row r="153">
      <c r="B153" s="21" t="n">
        <v>2027</v>
      </c>
      <c r="C153" s="22" t="inlineStr">
        <is>
          <t>HOH</t>
        </is>
      </c>
      <c r="D153" s="23" t="n">
        <v>197300</v>
      </c>
      <c r="E153" s="23" t="n">
        <v>250500</v>
      </c>
      <c r="F153" s="24" t="n">
        <v>0.32</v>
      </c>
      <c r="G153" s="25" t="n">
        <v>37450</v>
      </c>
    </row>
    <row r="154">
      <c r="B154" s="21" t="n">
        <v>2027</v>
      </c>
      <c r="C154" s="22" t="inlineStr">
        <is>
          <t>HOH</t>
        </is>
      </c>
      <c r="D154" s="23" t="n">
        <v>250500</v>
      </c>
      <c r="E154" s="23" t="n">
        <v>626350</v>
      </c>
      <c r="F154" s="24" t="n">
        <v>0.35</v>
      </c>
      <c r="G154" s="25" t="n">
        <v>54474</v>
      </c>
    </row>
    <row r="155">
      <c r="B155" s="21" t="n">
        <v>2027</v>
      </c>
      <c r="C155" s="22" t="inlineStr">
        <is>
          <t>HOH</t>
        </is>
      </c>
      <c r="D155" s="23" t="n">
        <v>626350</v>
      </c>
      <c r="E155" s="23" t="n">
        <v>9999999</v>
      </c>
      <c r="F155" s="24" t="n">
        <v>0.37</v>
      </c>
      <c r="G155" s="25" t="n">
        <v>185921.5</v>
      </c>
    </row>
    <row r="156">
      <c r="B156" s="21" t="n">
        <v>2027</v>
      </c>
      <c r="C156" s="22" t="inlineStr">
        <is>
          <t>MFS</t>
        </is>
      </c>
      <c r="D156" s="23" t="n">
        <v>0</v>
      </c>
      <c r="E156" s="23" t="n">
        <v>11925</v>
      </c>
      <c r="F156" s="24" t="n">
        <v>0.1</v>
      </c>
      <c r="G156" s="25" t="n">
        <v>0</v>
      </c>
    </row>
    <row r="157">
      <c r="B157" s="21" t="n">
        <v>2027</v>
      </c>
      <c r="C157" s="22" t="inlineStr">
        <is>
          <t>MFS</t>
        </is>
      </c>
      <c r="D157" s="23" t="n">
        <v>11925</v>
      </c>
      <c r="E157" s="23" t="n">
        <v>48475</v>
      </c>
      <c r="F157" s="24" t="n">
        <v>0.12</v>
      </c>
      <c r="G157" s="25" t="n">
        <v>1192.5</v>
      </c>
    </row>
    <row r="158">
      <c r="B158" s="21" t="n">
        <v>2027</v>
      </c>
      <c r="C158" s="22" t="inlineStr">
        <is>
          <t>MFS</t>
        </is>
      </c>
      <c r="D158" s="23" t="n">
        <v>48475</v>
      </c>
      <c r="E158" s="23" t="n">
        <v>103350</v>
      </c>
      <c r="F158" s="24" t="n">
        <v>0.22</v>
      </c>
      <c r="G158" s="25" t="n">
        <v>5578.5</v>
      </c>
    </row>
    <row r="159">
      <c r="B159" s="21" t="n">
        <v>2027</v>
      </c>
      <c r="C159" s="22" t="inlineStr">
        <is>
          <t>MFS</t>
        </is>
      </c>
      <c r="D159" s="23" t="n">
        <v>103350</v>
      </c>
      <c r="E159" s="23" t="n">
        <v>197300</v>
      </c>
      <c r="F159" s="24" t="n">
        <v>0.24</v>
      </c>
      <c r="G159" s="25" t="n">
        <v>17651</v>
      </c>
    </row>
    <row r="160">
      <c r="B160" s="21" t="n">
        <v>2027</v>
      </c>
      <c r="C160" s="22" t="inlineStr">
        <is>
          <t>MFS</t>
        </is>
      </c>
      <c r="D160" s="23" t="n">
        <v>197300</v>
      </c>
      <c r="E160" s="23" t="n">
        <v>250525</v>
      </c>
      <c r="F160" s="24" t="n">
        <v>0.32</v>
      </c>
      <c r="G160" s="25" t="n">
        <v>40199</v>
      </c>
    </row>
    <row r="161">
      <c r="B161" s="21" t="n">
        <v>2027</v>
      </c>
      <c r="C161" s="22" t="inlineStr">
        <is>
          <t>MFS</t>
        </is>
      </c>
      <c r="D161" s="23" t="n">
        <v>250525</v>
      </c>
      <c r="E161" s="23" t="n">
        <v>375800</v>
      </c>
      <c r="F161" s="24" t="n">
        <v>0.35</v>
      </c>
      <c r="G161" s="25" t="n">
        <v>57231</v>
      </c>
    </row>
    <row r="162">
      <c r="B162" s="21" t="n">
        <v>2027</v>
      </c>
      <c r="C162" s="22" t="inlineStr">
        <is>
          <t>MFS</t>
        </is>
      </c>
      <c r="D162" s="23" t="n">
        <v>375800</v>
      </c>
      <c r="E162" s="23" t="n">
        <v>9999999</v>
      </c>
      <c r="F162" s="24" t="n">
        <v>0.37</v>
      </c>
      <c r="G162" s="25" t="n">
        <v>101078.25</v>
      </c>
    </row>
    <row r="163">
      <c r="B163" s="21" t="n">
        <v>2028</v>
      </c>
      <c r="C163" s="22" t="inlineStr">
        <is>
          <t>HOH</t>
        </is>
      </c>
      <c r="D163" s="23" t="n">
        <v>0</v>
      </c>
      <c r="E163" s="23" t="n">
        <v>17000</v>
      </c>
      <c r="F163" s="24" t="n">
        <v>0.1</v>
      </c>
      <c r="G163" s="25" t="n">
        <v>0</v>
      </c>
    </row>
    <row r="164">
      <c r="B164" s="21" t="n">
        <v>2028</v>
      </c>
      <c r="C164" s="22" t="inlineStr">
        <is>
          <t>HOH</t>
        </is>
      </c>
      <c r="D164" s="23" t="n">
        <v>17000</v>
      </c>
      <c r="E164" s="23" t="n">
        <v>64850</v>
      </c>
      <c r="F164" s="24" t="n">
        <v>0.12</v>
      </c>
      <c r="G164" s="25" t="n">
        <v>1700</v>
      </c>
    </row>
    <row r="165">
      <c r="B165" s="21" t="n">
        <v>2028</v>
      </c>
      <c r="C165" s="22" t="inlineStr">
        <is>
          <t>HOH</t>
        </is>
      </c>
      <c r="D165" s="23" t="n">
        <v>64850</v>
      </c>
      <c r="E165" s="23" t="n">
        <v>103350</v>
      </c>
      <c r="F165" s="24" t="n">
        <v>0.22</v>
      </c>
      <c r="G165" s="25" t="n">
        <v>7442</v>
      </c>
    </row>
    <row r="166">
      <c r="B166" s="21" t="n">
        <v>2028</v>
      </c>
      <c r="C166" s="22" t="inlineStr">
        <is>
          <t>HOH</t>
        </is>
      </c>
      <c r="D166" s="23" t="n">
        <v>103350</v>
      </c>
      <c r="E166" s="23" t="n">
        <v>197300</v>
      </c>
      <c r="F166" s="24" t="n">
        <v>0.24</v>
      </c>
      <c r="G166" s="25" t="n">
        <v>14902</v>
      </c>
    </row>
    <row r="167">
      <c r="B167" s="21" t="n">
        <v>2028</v>
      </c>
      <c r="C167" s="22" t="inlineStr">
        <is>
          <t>HOH</t>
        </is>
      </c>
      <c r="D167" s="23" t="n">
        <v>197300</v>
      </c>
      <c r="E167" s="23" t="n">
        <v>250500</v>
      </c>
      <c r="F167" s="24" t="n">
        <v>0.32</v>
      </c>
      <c r="G167" s="25" t="n">
        <v>37450</v>
      </c>
    </row>
    <row r="168">
      <c r="B168" s="21" t="n">
        <v>2028</v>
      </c>
      <c r="C168" s="22" t="inlineStr">
        <is>
          <t>HOH</t>
        </is>
      </c>
      <c r="D168" s="23" t="n">
        <v>250500</v>
      </c>
      <c r="E168" s="23" t="n">
        <v>626350</v>
      </c>
      <c r="F168" s="24" t="n">
        <v>0.35</v>
      </c>
      <c r="G168" s="25" t="n">
        <v>54474</v>
      </c>
    </row>
    <row r="169">
      <c r="B169" s="21" t="n">
        <v>2028</v>
      </c>
      <c r="C169" s="22" t="inlineStr">
        <is>
          <t>HOH</t>
        </is>
      </c>
      <c r="D169" s="23" t="n">
        <v>626350</v>
      </c>
      <c r="E169" s="23" t="n">
        <v>9999999</v>
      </c>
      <c r="F169" s="24" t="n">
        <v>0.37</v>
      </c>
      <c r="G169" s="25" t="n">
        <v>185921.5</v>
      </c>
    </row>
    <row r="170">
      <c r="B170" s="21" t="n">
        <v>2028</v>
      </c>
      <c r="C170" s="22" t="inlineStr">
        <is>
          <t>MFS</t>
        </is>
      </c>
      <c r="D170" s="23" t="n">
        <v>0</v>
      </c>
      <c r="E170" s="23" t="n">
        <v>11925</v>
      </c>
      <c r="F170" s="24" t="n">
        <v>0.1</v>
      </c>
      <c r="G170" s="25" t="n">
        <v>0</v>
      </c>
    </row>
    <row r="171">
      <c r="B171" s="21" t="n">
        <v>2028</v>
      </c>
      <c r="C171" s="22" t="inlineStr">
        <is>
          <t>MFS</t>
        </is>
      </c>
      <c r="D171" s="23" t="n">
        <v>11925</v>
      </c>
      <c r="E171" s="23" t="n">
        <v>48475</v>
      </c>
      <c r="F171" s="24" t="n">
        <v>0.12</v>
      </c>
      <c r="G171" s="25" t="n">
        <v>1192.5</v>
      </c>
    </row>
    <row r="172">
      <c r="B172" s="21" t="n">
        <v>2028</v>
      </c>
      <c r="C172" s="22" t="inlineStr">
        <is>
          <t>MFS</t>
        </is>
      </c>
      <c r="D172" s="23" t="n">
        <v>48475</v>
      </c>
      <c r="E172" s="23" t="n">
        <v>103350</v>
      </c>
      <c r="F172" s="24" t="n">
        <v>0.22</v>
      </c>
      <c r="G172" s="25" t="n">
        <v>5578.5</v>
      </c>
    </row>
    <row r="173">
      <c r="B173" s="21" t="n">
        <v>2028</v>
      </c>
      <c r="C173" s="22" t="inlineStr">
        <is>
          <t>MFS</t>
        </is>
      </c>
      <c r="D173" s="23" t="n">
        <v>103350</v>
      </c>
      <c r="E173" s="23" t="n">
        <v>197300</v>
      </c>
      <c r="F173" s="24" t="n">
        <v>0.24</v>
      </c>
      <c r="G173" s="25" t="n">
        <v>17651</v>
      </c>
    </row>
    <row r="174">
      <c r="B174" s="21" t="n">
        <v>2028</v>
      </c>
      <c r="C174" s="22" t="inlineStr">
        <is>
          <t>MFS</t>
        </is>
      </c>
      <c r="D174" s="23" t="n">
        <v>197300</v>
      </c>
      <c r="E174" s="23" t="n">
        <v>250525</v>
      </c>
      <c r="F174" s="24" t="n">
        <v>0.32</v>
      </c>
      <c r="G174" s="25" t="n">
        <v>40199</v>
      </c>
    </row>
    <row r="175">
      <c r="B175" s="21" t="n">
        <v>2028</v>
      </c>
      <c r="C175" s="22" t="inlineStr">
        <is>
          <t>MFS</t>
        </is>
      </c>
      <c r="D175" s="23" t="n">
        <v>250525</v>
      </c>
      <c r="E175" s="23" t="n">
        <v>375800</v>
      </c>
      <c r="F175" s="24" t="n">
        <v>0.35</v>
      </c>
      <c r="G175" s="25" t="n">
        <v>57231</v>
      </c>
    </row>
    <row r="176">
      <c r="B176" s="21" t="n">
        <v>2028</v>
      </c>
      <c r="C176" s="22" t="inlineStr">
        <is>
          <t>MFS</t>
        </is>
      </c>
      <c r="D176" s="23" t="n">
        <v>375800</v>
      </c>
      <c r="E176" s="23" t="n">
        <v>9999999</v>
      </c>
      <c r="F176" s="24" t="n">
        <v>0.37</v>
      </c>
      <c r="G176" s="25" t="n">
        <v>101078.25</v>
      </c>
    </row>
    <row r="177">
      <c r="B177" s="12" t="n"/>
      <c r="C177" s="22" t="n"/>
      <c r="D177" s="23" t="n"/>
      <c r="E177" s="23" t="n"/>
      <c r="F177" s="24" t="n"/>
      <c r="G177" s="25" t="n"/>
    </row>
    <row r="178">
      <c r="B178" s="20" t="inlineStr">
        <is>
          <t>tblStdDed — Standard Deduction Lookup (2023–2028)</t>
        </is>
      </c>
      <c r="C178" s="22" t="n"/>
      <c r="D178" s="23" t="n"/>
      <c r="E178" s="23" t="n"/>
      <c r="F178" s="24" t="n"/>
      <c r="G178" s="25" t="n"/>
    </row>
    <row r="179" ht="15" customHeight="1" s="19" thickBot="1">
      <c r="B179" s="43" t="n"/>
      <c r="C179" s="22" t="n"/>
      <c r="D179" s="23" t="n"/>
      <c r="E179" s="23" t="n"/>
      <c r="F179" s="24" t="n"/>
      <c r="G179" s="25" t="n"/>
    </row>
    <row r="180">
      <c r="B180" s="12" t="n"/>
      <c r="C180" s="22" t="n"/>
      <c r="D180" s="23" t="n"/>
      <c r="E180" s="23" t="n"/>
      <c r="F180" s="24" t="n"/>
      <c r="G180" s="25" t="n"/>
    </row>
    <row r="181">
      <c r="B181" s="12" t="inlineStr">
        <is>
          <t>Year</t>
        </is>
      </c>
      <c r="C181" s="22" t="inlineStr">
        <is>
          <t>FilingStatus</t>
        </is>
      </c>
      <c r="D181" s="23" t="inlineStr">
        <is>
          <t>Amount</t>
        </is>
      </c>
      <c r="E181" s="23" t="n"/>
      <c r="F181" s="24" t="n"/>
      <c r="G181" s="25" t="n"/>
    </row>
    <row r="182">
      <c r="B182" s="21" t="n">
        <v>2023</v>
      </c>
      <c r="C182" s="22" t="inlineStr">
        <is>
          <t>MFJ</t>
        </is>
      </c>
      <c r="D182" s="23" t="n">
        <v>31500</v>
      </c>
      <c r="E182" s="23" t="n"/>
      <c r="F182" s="24" t="n"/>
      <c r="G182" s="25" t="n"/>
    </row>
    <row r="183">
      <c r="B183" s="21" t="n">
        <v>2023</v>
      </c>
      <c r="C183" s="22" t="inlineStr">
        <is>
          <t>Single</t>
        </is>
      </c>
      <c r="D183" s="23" t="n">
        <v>15750</v>
      </c>
      <c r="E183" s="23" t="n"/>
      <c r="F183" s="24" t="n"/>
      <c r="G183" s="25" t="n"/>
    </row>
    <row r="184">
      <c r="B184" s="21" t="n">
        <v>2023</v>
      </c>
      <c r="C184" s="22" t="inlineStr">
        <is>
          <t>HOH</t>
        </is>
      </c>
      <c r="D184" s="23" t="n">
        <v>22500</v>
      </c>
      <c r="E184" s="23" t="n"/>
      <c r="F184" s="24" t="n"/>
      <c r="G184" s="25" t="n"/>
    </row>
    <row r="185">
      <c r="B185" s="21" t="n">
        <v>2023</v>
      </c>
      <c r="C185" s="22" t="inlineStr">
        <is>
          <t>MFS</t>
        </is>
      </c>
      <c r="D185" s="23" t="n">
        <v>15750</v>
      </c>
      <c r="E185" s="23" t="n"/>
      <c r="F185" s="24" t="n"/>
      <c r="G185" s="25" t="n"/>
    </row>
    <row r="186">
      <c r="B186" s="21" t="n">
        <v>2024</v>
      </c>
      <c r="C186" s="22" t="inlineStr">
        <is>
          <t>MFJ</t>
        </is>
      </c>
      <c r="D186" s="23" t="n">
        <v>31500</v>
      </c>
      <c r="E186" s="23" t="n"/>
      <c r="F186" s="24" t="n"/>
      <c r="G186" s="25" t="n"/>
    </row>
    <row r="187">
      <c r="B187" s="21" t="n">
        <v>2024</v>
      </c>
      <c r="C187" s="22" t="inlineStr">
        <is>
          <t>Single</t>
        </is>
      </c>
      <c r="D187" s="23" t="n">
        <v>15750</v>
      </c>
      <c r="E187" s="23" t="n"/>
      <c r="F187" s="24" t="n"/>
      <c r="G187" s="25" t="n"/>
    </row>
    <row r="188">
      <c r="B188" s="21" t="n">
        <v>2024</v>
      </c>
      <c r="C188" s="22" t="inlineStr">
        <is>
          <t>HOH</t>
        </is>
      </c>
      <c r="D188" s="23" t="n">
        <v>22500</v>
      </c>
      <c r="E188" s="23" t="n"/>
      <c r="F188" s="24" t="n"/>
      <c r="G188" s="25" t="n"/>
    </row>
    <row r="189">
      <c r="B189" s="21" t="n">
        <v>2024</v>
      </c>
      <c r="C189" s="22" t="inlineStr">
        <is>
          <t>MFS</t>
        </is>
      </c>
      <c r="D189" s="23" t="n">
        <v>15750</v>
      </c>
      <c r="E189" s="23" t="n"/>
      <c r="F189" s="24" t="n"/>
      <c r="G189" s="25" t="n"/>
    </row>
    <row r="190">
      <c r="B190" s="21" t="n">
        <v>2025</v>
      </c>
      <c r="C190" s="22" t="inlineStr">
        <is>
          <t>MFJ</t>
        </is>
      </c>
      <c r="D190" s="23" t="n">
        <v>31500</v>
      </c>
      <c r="E190" s="23" t="n"/>
      <c r="F190" s="24" t="n"/>
      <c r="G190" s="25" t="n"/>
    </row>
    <row r="191">
      <c r="B191" s="21" t="n">
        <v>2025</v>
      </c>
      <c r="C191" s="22" t="inlineStr">
        <is>
          <t>Single</t>
        </is>
      </c>
      <c r="D191" s="23" t="n">
        <v>15750</v>
      </c>
      <c r="E191" s="23" t="n"/>
      <c r="F191" s="24" t="n"/>
      <c r="G191" s="25" t="n"/>
    </row>
    <row r="192">
      <c r="B192" s="21" t="n">
        <v>2025</v>
      </c>
      <c r="C192" s="22" t="inlineStr">
        <is>
          <t>HOH</t>
        </is>
      </c>
      <c r="D192" s="23" t="n">
        <v>22500</v>
      </c>
      <c r="E192" s="23" t="n"/>
      <c r="F192" s="24" t="n"/>
      <c r="G192" s="25" t="n"/>
    </row>
    <row r="193">
      <c r="B193" s="21" t="n">
        <v>2025</v>
      </c>
      <c r="C193" s="22" t="inlineStr">
        <is>
          <t>MFS</t>
        </is>
      </c>
      <c r="D193" s="23" t="n">
        <v>15750</v>
      </c>
      <c r="E193" s="23" t="n"/>
      <c r="F193" s="24" t="n"/>
      <c r="G193" s="25" t="n"/>
    </row>
    <row r="194">
      <c r="B194" s="21" t="n">
        <v>2026</v>
      </c>
      <c r="C194" s="22" t="inlineStr">
        <is>
          <t>MFJ</t>
        </is>
      </c>
      <c r="D194" s="23" t="n">
        <v>31500</v>
      </c>
      <c r="E194" s="23" t="n"/>
      <c r="F194" s="24" t="n"/>
      <c r="G194" s="25" t="n"/>
    </row>
    <row r="195">
      <c r="B195" s="21" t="n">
        <v>2026</v>
      </c>
      <c r="C195" s="22" t="inlineStr">
        <is>
          <t>Single</t>
        </is>
      </c>
      <c r="D195" s="23" t="n">
        <v>15750</v>
      </c>
      <c r="E195" s="23" t="n"/>
      <c r="F195" s="24" t="n"/>
      <c r="G195" s="25" t="n"/>
    </row>
    <row r="196">
      <c r="B196" s="21" t="n">
        <v>2026</v>
      </c>
      <c r="C196" s="22" t="inlineStr">
        <is>
          <t>HOH</t>
        </is>
      </c>
      <c r="D196" s="23" t="n">
        <v>22500</v>
      </c>
      <c r="E196" s="23" t="n"/>
      <c r="F196" s="24" t="n"/>
      <c r="G196" s="25" t="n"/>
    </row>
    <row r="197">
      <c r="B197" s="21" t="n">
        <v>2026</v>
      </c>
      <c r="C197" s="22" t="inlineStr">
        <is>
          <t>MFS</t>
        </is>
      </c>
      <c r="D197" s="23" t="n">
        <v>15750</v>
      </c>
      <c r="E197" s="23" t="n"/>
      <c r="F197" s="24" t="n"/>
      <c r="G197" s="25" t="n"/>
    </row>
    <row r="198">
      <c r="B198" s="21" t="n">
        <v>2027</v>
      </c>
      <c r="C198" s="22" t="inlineStr">
        <is>
          <t>MFJ</t>
        </is>
      </c>
      <c r="D198" s="23" t="n">
        <v>31500</v>
      </c>
      <c r="E198" s="23" t="n"/>
      <c r="F198" s="24" t="n"/>
      <c r="G198" s="25" t="n"/>
    </row>
    <row r="199">
      <c r="B199" s="21" t="n">
        <v>2027</v>
      </c>
      <c r="C199" s="22" t="inlineStr">
        <is>
          <t>Single</t>
        </is>
      </c>
      <c r="D199" s="23" t="n">
        <v>15750</v>
      </c>
      <c r="E199" s="23" t="n"/>
      <c r="F199" s="24" t="n"/>
      <c r="G199" s="25" t="n"/>
    </row>
    <row r="200">
      <c r="B200" s="21" t="n">
        <v>2027</v>
      </c>
      <c r="C200" s="22" t="inlineStr">
        <is>
          <t>HOH</t>
        </is>
      </c>
      <c r="D200" s="23" t="n">
        <v>22500</v>
      </c>
      <c r="E200" s="23" t="n"/>
      <c r="F200" s="24" t="n"/>
      <c r="G200" s="25" t="n"/>
    </row>
    <row r="201">
      <c r="B201" s="21" t="n">
        <v>2027</v>
      </c>
      <c r="C201" s="22" t="inlineStr">
        <is>
          <t>MFS</t>
        </is>
      </c>
      <c r="D201" s="23" t="n">
        <v>15750</v>
      </c>
      <c r="E201" s="23" t="n"/>
      <c r="F201" s="24" t="n"/>
      <c r="G201" s="25" t="n"/>
    </row>
    <row r="202">
      <c r="B202" s="21" t="n">
        <v>2028</v>
      </c>
      <c r="C202" s="22" t="inlineStr">
        <is>
          <t>MFJ</t>
        </is>
      </c>
      <c r="D202" s="23" t="n">
        <v>31500</v>
      </c>
      <c r="E202" s="23" t="n"/>
      <c r="F202" s="24" t="n"/>
      <c r="G202" s="25" t="n"/>
    </row>
    <row r="203">
      <c r="B203" s="21" t="n">
        <v>2028</v>
      </c>
      <c r="C203" s="22" t="inlineStr">
        <is>
          <t>Single</t>
        </is>
      </c>
      <c r="D203" s="23" t="n">
        <v>15750</v>
      </c>
      <c r="E203" s="23" t="n"/>
      <c r="F203" s="24" t="n"/>
      <c r="G203" s="25" t="n"/>
    </row>
    <row r="204">
      <c r="B204" s="21" t="n">
        <v>2028</v>
      </c>
      <c r="C204" s="22" t="inlineStr">
        <is>
          <t>HOH</t>
        </is>
      </c>
      <c r="D204" s="23" t="n">
        <v>22500</v>
      </c>
      <c r="E204" s="23" t="n"/>
      <c r="F204" s="24" t="n"/>
      <c r="G204" s="25" t="n"/>
    </row>
    <row r="205">
      <c r="B205" s="21" t="n">
        <v>2028</v>
      </c>
      <c r="C205" s="22" t="inlineStr">
        <is>
          <t>MFS</t>
        </is>
      </c>
      <c r="D205" s="23" t="n">
        <v>15750</v>
      </c>
      <c r="E205" s="23" t="n"/>
      <c r="F205" s="24" t="n"/>
      <c r="G205" s="25" t="n"/>
    </row>
    <row r="206">
      <c r="B206" s="12" t="n"/>
      <c r="C206" s="22" t="n"/>
      <c r="D206" s="23" t="n"/>
      <c r="E206" s="23" t="n"/>
      <c r="F206" s="24" t="n"/>
      <c r="G206" s="25" t="n"/>
    </row>
    <row r="207">
      <c r="B207" s="20" t="inlineStr">
        <is>
          <t>tblBrackets_LTCG — Long-Term Capital Gains / Qualified Dividend Brackets (2023–2028)</t>
        </is>
      </c>
      <c r="C207" s="22" t="n"/>
      <c r="D207" s="23" t="n"/>
      <c r="E207" s="23" t="n"/>
      <c r="F207" s="24" t="n"/>
      <c r="G207" s="25" t="n"/>
    </row>
    <row r="208">
      <c r="B208" s="12" t="n"/>
      <c r="C208" s="22" t="n"/>
      <c r="D208" s="23" t="n"/>
      <c r="E208" s="23" t="n"/>
      <c r="F208" s="24" t="n"/>
      <c r="G208" s="25" t="n"/>
    </row>
    <row r="209">
      <c r="B209" s="12" t="inlineStr">
        <is>
          <t>Year</t>
        </is>
      </c>
      <c r="C209" s="22" t="inlineStr">
        <is>
          <t>FilingStatus</t>
        </is>
      </c>
      <c r="D209" s="23" t="inlineStr">
        <is>
          <t>Lower</t>
        </is>
      </c>
      <c r="E209" s="23" t="inlineStr">
        <is>
          <t>Upper</t>
        </is>
      </c>
      <c r="F209" s="24" t="inlineStr">
        <is>
          <t>Rate</t>
        </is>
      </c>
      <c r="G209" s="25" t="n"/>
    </row>
    <row r="210">
      <c r="B210" s="21" t="n">
        <v>2023</v>
      </c>
      <c r="C210" s="22" t="inlineStr">
        <is>
          <t>MFJ</t>
        </is>
      </c>
      <c r="D210" s="23" t="n">
        <v>0</v>
      </c>
      <c r="E210" s="23" t="n">
        <v>96700</v>
      </c>
      <c r="F210" s="24" t="n">
        <v>0</v>
      </c>
      <c r="G210" s="25" t="n"/>
    </row>
    <row r="211">
      <c r="B211" s="21" t="n">
        <v>2023</v>
      </c>
      <c r="C211" s="22" t="inlineStr">
        <is>
          <t>MFJ</t>
        </is>
      </c>
      <c r="D211" s="23" t="n">
        <v>96700</v>
      </c>
      <c r="E211" s="23" t="n">
        <v>600050</v>
      </c>
      <c r="F211" s="24" t="n">
        <v>0.15</v>
      </c>
      <c r="G211" s="25" t="n"/>
    </row>
    <row r="212">
      <c r="B212" s="21" t="n">
        <v>2023</v>
      </c>
      <c r="C212" s="22" t="inlineStr">
        <is>
          <t>MFJ</t>
        </is>
      </c>
      <c r="D212" s="23" t="n">
        <v>600050</v>
      </c>
      <c r="E212" s="23" t="n">
        <v>9999999</v>
      </c>
      <c r="F212" s="24" t="n">
        <v>0.2</v>
      </c>
      <c r="G212" s="25" t="n"/>
    </row>
    <row r="213">
      <c r="B213" s="21" t="n">
        <v>2023</v>
      </c>
      <c r="C213" s="22" t="inlineStr">
        <is>
          <t>Single</t>
        </is>
      </c>
      <c r="D213" s="23" t="n">
        <v>0</v>
      </c>
      <c r="E213" s="23" t="n">
        <v>48350</v>
      </c>
      <c r="F213" s="24" t="n">
        <v>0</v>
      </c>
      <c r="G213" s="25" t="n"/>
    </row>
    <row r="214">
      <c r="B214" s="21" t="n">
        <v>2023</v>
      </c>
      <c r="C214" s="22" t="inlineStr">
        <is>
          <t>Single</t>
        </is>
      </c>
      <c r="D214" s="23" t="n">
        <v>48350</v>
      </c>
      <c r="E214" s="23" t="n">
        <v>533400</v>
      </c>
      <c r="F214" s="24" t="n">
        <v>0.15</v>
      </c>
      <c r="G214" s="25" t="n"/>
    </row>
    <row r="215">
      <c r="B215" s="21" t="n">
        <v>2023</v>
      </c>
      <c r="C215" s="22" t="inlineStr">
        <is>
          <t>Single</t>
        </is>
      </c>
      <c r="D215" s="23" t="n">
        <v>533400</v>
      </c>
      <c r="E215" s="23" t="n">
        <v>9999999</v>
      </c>
      <c r="F215" s="24" t="n">
        <v>0.2</v>
      </c>
      <c r="G215" s="25" t="n"/>
    </row>
    <row r="216">
      <c r="B216" s="21" t="n">
        <v>2023</v>
      </c>
      <c r="C216" s="22" t="inlineStr">
        <is>
          <t>HOH</t>
        </is>
      </c>
      <c r="D216" s="23" t="n">
        <v>0</v>
      </c>
      <c r="E216" s="23" t="n">
        <v>64750</v>
      </c>
      <c r="F216" s="24" t="n">
        <v>0</v>
      </c>
      <c r="G216" s="25" t="n"/>
    </row>
    <row r="217">
      <c r="B217" s="21" t="n">
        <v>2023</v>
      </c>
      <c r="C217" s="22" t="inlineStr">
        <is>
          <t>HOH</t>
        </is>
      </c>
      <c r="D217" s="23" t="n">
        <v>64750</v>
      </c>
      <c r="E217" s="23" t="n">
        <v>566700</v>
      </c>
      <c r="F217" s="24" t="n">
        <v>0.15</v>
      </c>
      <c r="G217" s="25" t="n"/>
    </row>
    <row r="218">
      <c r="B218" s="21" t="n">
        <v>2023</v>
      </c>
      <c r="C218" s="22" t="inlineStr">
        <is>
          <t>HOH</t>
        </is>
      </c>
      <c r="D218" s="23" t="n">
        <v>566700</v>
      </c>
      <c r="E218" s="23" t="n">
        <v>9999999</v>
      </c>
      <c r="F218" s="24" t="n">
        <v>0.2</v>
      </c>
      <c r="G218" s="25" t="n"/>
    </row>
    <row r="219">
      <c r="B219" s="21" t="n">
        <v>2023</v>
      </c>
      <c r="C219" s="22" t="inlineStr">
        <is>
          <t>MFS</t>
        </is>
      </c>
      <c r="D219" s="23" t="n">
        <v>0</v>
      </c>
      <c r="E219" s="23" t="n">
        <v>48350</v>
      </c>
      <c r="F219" s="24" t="n">
        <v>0</v>
      </c>
      <c r="G219" s="25" t="n"/>
    </row>
    <row r="220">
      <c r="B220" s="21" t="n">
        <v>2023</v>
      </c>
      <c r="C220" s="22" t="inlineStr">
        <is>
          <t>MFS</t>
        </is>
      </c>
      <c r="D220" s="23" t="n">
        <v>48350</v>
      </c>
      <c r="E220" s="23" t="n">
        <v>300025</v>
      </c>
      <c r="F220" s="24" t="n">
        <v>0.15</v>
      </c>
      <c r="G220" s="25" t="n"/>
    </row>
    <row r="221">
      <c r="B221" s="21" t="n">
        <v>2023</v>
      </c>
      <c r="C221" s="22" t="inlineStr">
        <is>
          <t>MFS</t>
        </is>
      </c>
      <c r="D221" s="23" t="n">
        <v>300025</v>
      </c>
      <c r="E221" s="23" t="n">
        <v>9999999</v>
      </c>
      <c r="F221" s="24" t="n">
        <v>0.2</v>
      </c>
      <c r="G221" s="25" t="n"/>
    </row>
    <row r="222">
      <c r="B222" s="21" t="n">
        <v>2024</v>
      </c>
      <c r="C222" s="22" t="inlineStr">
        <is>
          <t>MFJ</t>
        </is>
      </c>
      <c r="D222" s="23" t="n">
        <v>0</v>
      </c>
      <c r="E222" s="23" t="n">
        <v>96700</v>
      </c>
      <c r="F222" s="24" t="n">
        <v>0</v>
      </c>
      <c r="G222" s="25" t="n"/>
    </row>
    <row r="223">
      <c r="B223" s="21" t="n">
        <v>2024</v>
      </c>
      <c r="C223" s="22" t="inlineStr">
        <is>
          <t>MFJ</t>
        </is>
      </c>
      <c r="D223" s="23" t="n">
        <v>96700</v>
      </c>
      <c r="E223" s="23" t="n">
        <v>600050</v>
      </c>
      <c r="F223" s="24" t="n">
        <v>0.15</v>
      </c>
      <c r="G223" s="25" t="n"/>
    </row>
    <row r="224">
      <c r="B224" s="21" t="n">
        <v>2024</v>
      </c>
      <c r="C224" s="22" t="inlineStr">
        <is>
          <t>MFJ</t>
        </is>
      </c>
      <c r="D224" s="23" t="n">
        <v>600050</v>
      </c>
      <c r="E224" s="23" t="n">
        <v>9999999</v>
      </c>
      <c r="F224" s="24" t="n">
        <v>0.2</v>
      </c>
      <c r="G224" s="25" t="n"/>
    </row>
    <row r="225">
      <c r="B225" s="21" t="n">
        <v>2024</v>
      </c>
      <c r="C225" s="22" t="inlineStr">
        <is>
          <t>Single</t>
        </is>
      </c>
      <c r="D225" s="23" t="n">
        <v>0</v>
      </c>
      <c r="E225" s="23" t="n">
        <v>48350</v>
      </c>
      <c r="F225" s="24" t="n">
        <v>0</v>
      </c>
      <c r="G225" s="25" t="n"/>
    </row>
    <row r="226">
      <c r="B226" s="21" t="n">
        <v>2024</v>
      </c>
      <c r="C226" s="22" t="inlineStr">
        <is>
          <t>Single</t>
        </is>
      </c>
      <c r="D226" s="23" t="n">
        <v>48350</v>
      </c>
      <c r="E226" s="23" t="n">
        <v>533400</v>
      </c>
      <c r="F226" s="24" t="n">
        <v>0.15</v>
      </c>
      <c r="G226" s="25" t="n"/>
    </row>
    <row r="227">
      <c r="B227" s="21" t="n">
        <v>2024</v>
      </c>
      <c r="C227" s="22" t="inlineStr">
        <is>
          <t>Single</t>
        </is>
      </c>
      <c r="D227" s="23" t="n">
        <v>533400</v>
      </c>
      <c r="E227" s="23" t="n">
        <v>9999999</v>
      </c>
      <c r="F227" s="24" t="n">
        <v>0.2</v>
      </c>
      <c r="G227" s="25" t="n"/>
    </row>
    <row r="228">
      <c r="B228" s="21" t="n">
        <v>2024</v>
      </c>
      <c r="C228" s="22" t="inlineStr">
        <is>
          <t>HOH</t>
        </is>
      </c>
      <c r="D228" s="23" t="n">
        <v>0</v>
      </c>
      <c r="E228" s="23" t="n">
        <v>64750</v>
      </c>
      <c r="F228" s="24" t="n">
        <v>0</v>
      </c>
      <c r="G228" s="25" t="n"/>
    </row>
    <row r="229">
      <c r="B229" s="21" t="n">
        <v>2024</v>
      </c>
      <c r="C229" s="22" t="inlineStr">
        <is>
          <t>HOH</t>
        </is>
      </c>
      <c r="D229" s="23" t="n">
        <v>64750</v>
      </c>
      <c r="E229" s="23" t="n">
        <v>566700</v>
      </c>
      <c r="F229" s="24" t="n">
        <v>0.15</v>
      </c>
      <c r="G229" s="25" t="n"/>
    </row>
    <row r="230">
      <c r="B230" s="21" t="n">
        <v>2024</v>
      </c>
      <c r="C230" s="22" t="inlineStr">
        <is>
          <t>HOH</t>
        </is>
      </c>
      <c r="D230" s="23" t="n">
        <v>566700</v>
      </c>
      <c r="E230" s="23" t="n">
        <v>9999999</v>
      </c>
      <c r="F230" s="24" t="n">
        <v>0.2</v>
      </c>
      <c r="G230" s="25" t="n"/>
    </row>
    <row r="231">
      <c r="B231" s="21" t="n">
        <v>2024</v>
      </c>
      <c r="C231" s="22" t="inlineStr">
        <is>
          <t>MFS</t>
        </is>
      </c>
      <c r="D231" s="23" t="n">
        <v>0</v>
      </c>
      <c r="E231" s="23" t="n">
        <v>48350</v>
      </c>
      <c r="F231" s="24" t="n">
        <v>0</v>
      </c>
      <c r="G231" s="25" t="n"/>
    </row>
    <row r="232">
      <c r="B232" s="21" t="n">
        <v>2024</v>
      </c>
      <c r="C232" s="22" t="inlineStr">
        <is>
          <t>MFS</t>
        </is>
      </c>
      <c r="D232" s="23" t="n">
        <v>48350</v>
      </c>
      <c r="E232" s="23" t="n">
        <v>300025</v>
      </c>
      <c r="F232" s="24" t="n">
        <v>0.15</v>
      </c>
      <c r="G232" s="25" t="n"/>
    </row>
    <row r="233">
      <c r="B233" s="21" t="n">
        <v>2024</v>
      </c>
      <c r="C233" s="22" t="inlineStr">
        <is>
          <t>MFS</t>
        </is>
      </c>
      <c r="D233" s="23" t="n">
        <v>300025</v>
      </c>
      <c r="E233" s="23" t="n">
        <v>9999999</v>
      </c>
      <c r="F233" s="24" t="n">
        <v>0.2</v>
      </c>
      <c r="G233" s="25" t="n"/>
    </row>
    <row r="234">
      <c r="B234" s="21" t="n">
        <v>2025</v>
      </c>
      <c r="C234" s="22" t="inlineStr">
        <is>
          <t>MFJ</t>
        </is>
      </c>
      <c r="D234" s="23" t="n">
        <v>0</v>
      </c>
      <c r="E234" s="23" t="n">
        <v>96700</v>
      </c>
      <c r="F234" s="24" t="n">
        <v>0</v>
      </c>
      <c r="G234" s="25" t="n"/>
    </row>
    <row r="235">
      <c r="B235" s="21" t="n">
        <v>2025</v>
      </c>
      <c r="C235" s="22" t="inlineStr">
        <is>
          <t>MFJ</t>
        </is>
      </c>
      <c r="D235" s="23" t="n">
        <v>96700</v>
      </c>
      <c r="E235" s="23" t="n">
        <v>600050</v>
      </c>
      <c r="F235" s="24" t="n">
        <v>0.15</v>
      </c>
      <c r="G235" s="25" t="n"/>
    </row>
    <row r="236">
      <c r="B236" s="21" t="n">
        <v>2025</v>
      </c>
      <c r="C236" s="22" t="inlineStr">
        <is>
          <t>MFJ</t>
        </is>
      </c>
      <c r="D236" s="23" t="n">
        <v>600050</v>
      </c>
      <c r="E236" s="23" t="n">
        <v>9999999</v>
      </c>
      <c r="F236" s="24" t="n">
        <v>0.2</v>
      </c>
      <c r="G236" s="25" t="n"/>
    </row>
    <row r="237">
      <c r="B237" s="21" t="n">
        <v>2025</v>
      </c>
      <c r="C237" s="22" t="inlineStr">
        <is>
          <t>Single</t>
        </is>
      </c>
      <c r="D237" s="23" t="n">
        <v>0</v>
      </c>
      <c r="E237" s="23" t="n">
        <v>48350</v>
      </c>
      <c r="F237" s="24" t="n">
        <v>0</v>
      </c>
      <c r="G237" s="25" t="n"/>
    </row>
    <row r="238">
      <c r="B238" s="21" t="n">
        <v>2025</v>
      </c>
      <c r="C238" s="22" t="inlineStr">
        <is>
          <t>Single</t>
        </is>
      </c>
      <c r="D238" s="23" t="n">
        <v>48350</v>
      </c>
      <c r="E238" s="23" t="n">
        <v>533400</v>
      </c>
      <c r="F238" s="24" t="n">
        <v>0.15</v>
      </c>
      <c r="G238" s="25" t="n"/>
    </row>
    <row r="239">
      <c r="B239" s="21" t="n">
        <v>2025</v>
      </c>
      <c r="C239" s="22" t="inlineStr">
        <is>
          <t>Single</t>
        </is>
      </c>
      <c r="D239" s="23" t="n">
        <v>533400</v>
      </c>
      <c r="E239" s="23" t="n">
        <v>9999999</v>
      </c>
      <c r="F239" s="24" t="n">
        <v>0.2</v>
      </c>
      <c r="G239" s="25" t="n"/>
    </row>
    <row r="240">
      <c r="B240" s="21" t="n">
        <v>2025</v>
      </c>
      <c r="C240" s="22" t="inlineStr">
        <is>
          <t>HOH</t>
        </is>
      </c>
      <c r="D240" s="23" t="n">
        <v>0</v>
      </c>
      <c r="E240" s="23" t="n">
        <v>64750</v>
      </c>
      <c r="F240" s="24" t="n">
        <v>0</v>
      </c>
      <c r="G240" s="25" t="n"/>
    </row>
    <row r="241">
      <c r="B241" s="21" t="n">
        <v>2025</v>
      </c>
      <c r="C241" s="22" t="inlineStr">
        <is>
          <t>HOH</t>
        </is>
      </c>
      <c r="D241" s="23" t="n">
        <v>64750</v>
      </c>
      <c r="E241" s="23" t="n">
        <v>566700</v>
      </c>
      <c r="F241" s="24" t="n">
        <v>0.15</v>
      </c>
      <c r="G241" s="25" t="n"/>
    </row>
    <row r="242">
      <c r="B242" s="21" t="n">
        <v>2025</v>
      </c>
      <c r="C242" s="22" t="inlineStr">
        <is>
          <t>HOH</t>
        </is>
      </c>
      <c r="D242" s="23" t="n">
        <v>566700</v>
      </c>
      <c r="E242" s="23" t="n">
        <v>9999999</v>
      </c>
      <c r="F242" s="24" t="n">
        <v>0.2</v>
      </c>
      <c r="G242" s="25" t="n"/>
    </row>
    <row r="243">
      <c r="B243" s="21" t="n">
        <v>2025</v>
      </c>
      <c r="C243" s="22" t="inlineStr">
        <is>
          <t>MFS</t>
        </is>
      </c>
      <c r="D243" s="23" t="n">
        <v>0</v>
      </c>
      <c r="E243" s="23" t="n">
        <v>48350</v>
      </c>
      <c r="F243" s="24" t="n">
        <v>0</v>
      </c>
      <c r="G243" s="25" t="n"/>
    </row>
    <row r="244">
      <c r="B244" s="21" t="n">
        <v>2025</v>
      </c>
      <c r="C244" s="22" t="inlineStr">
        <is>
          <t>MFS</t>
        </is>
      </c>
      <c r="D244" s="23" t="n">
        <v>48350</v>
      </c>
      <c r="E244" s="23" t="n">
        <v>300025</v>
      </c>
      <c r="F244" s="24" t="n">
        <v>0.15</v>
      </c>
      <c r="G244" s="25" t="n"/>
    </row>
    <row r="245">
      <c r="B245" s="21" t="n">
        <v>2025</v>
      </c>
      <c r="C245" s="22" t="inlineStr">
        <is>
          <t>MFS</t>
        </is>
      </c>
      <c r="D245" s="23" t="n">
        <v>300025</v>
      </c>
      <c r="E245" s="23" t="n">
        <v>9999999</v>
      </c>
      <c r="F245" s="24" t="n">
        <v>0.2</v>
      </c>
      <c r="G245" s="25" t="n"/>
    </row>
    <row r="246">
      <c r="B246" s="21" t="n">
        <v>2026</v>
      </c>
      <c r="C246" s="22" t="inlineStr">
        <is>
          <t>MFJ</t>
        </is>
      </c>
      <c r="D246" s="23" t="n">
        <v>0</v>
      </c>
      <c r="E246" s="23" t="n">
        <v>96700</v>
      </c>
      <c r="F246" s="24" t="n">
        <v>0</v>
      </c>
      <c r="G246" s="25" t="n"/>
    </row>
    <row r="247">
      <c r="B247" s="21" t="n">
        <v>2026</v>
      </c>
      <c r="C247" s="22" t="inlineStr">
        <is>
          <t>MFJ</t>
        </is>
      </c>
      <c r="D247" s="23" t="n">
        <v>96700</v>
      </c>
      <c r="E247" s="23" t="n">
        <v>600050</v>
      </c>
      <c r="F247" s="24" t="n">
        <v>0.15</v>
      </c>
      <c r="G247" s="25" t="n"/>
    </row>
    <row r="248">
      <c r="B248" s="21" t="n">
        <v>2026</v>
      </c>
      <c r="C248" s="22" t="inlineStr">
        <is>
          <t>MFJ</t>
        </is>
      </c>
      <c r="D248" s="23" t="n">
        <v>600050</v>
      </c>
      <c r="E248" s="23" t="n">
        <v>9999999</v>
      </c>
      <c r="F248" s="24" t="n">
        <v>0.2</v>
      </c>
      <c r="G248" s="25" t="n"/>
    </row>
    <row r="249">
      <c r="B249" s="21" t="n">
        <v>2026</v>
      </c>
      <c r="C249" s="22" t="inlineStr">
        <is>
          <t>Single</t>
        </is>
      </c>
      <c r="D249" s="23" t="n">
        <v>0</v>
      </c>
      <c r="E249" s="23" t="n">
        <v>48350</v>
      </c>
      <c r="F249" s="24" t="n">
        <v>0</v>
      </c>
      <c r="G249" s="25" t="n"/>
    </row>
    <row r="250">
      <c r="B250" s="21" t="n">
        <v>2026</v>
      </c>
      <c r="C250" s="22" t="inlineStr">
        <is>
          <t>Single</t>
        </is>
      </c>
      <c r="D250" s="23" t="n">
        <v>48350</v>
      </c>
      <c r="E250" s="23" t="n">
        <v>533400</v>
      </c>
      <c r="F250" s="24" t="n">
        <v>0.15</v>
      </c>
      <c r="G250" s="25" t="n"/>
    </row>
    <row r="251">
      <c r="B251" s="21" t="n">
        <v>2026</v>
      </c>
      <c r="C251" s="22" t="inlineStr">
        <is>
          <t>Single</t>
        </is>
      </c>
      <c r="D251" s="23" t="n">
        <v>533400</v>
      </c>
      <c r="E251" s="23" t="n">
        <v>9999999</v>
      </c>
      <c r="F251" s="24" t="n">
        <v>0.2</v>
      </c>
      <c r="G251" s="25" t="n"/>
    </row>
    <row r="252">
      <c r="B252" s="21" t="n">
        <v>2026</v>
      </c>
      <c r="C252" s="22" t="inlineStr">
        <is>
          <t>HOH</t>
        </is>
      </c>
      <c r="D252" s="23" t="n">
        <v>0</v>
      </c>
      <c r="E252" s="23" t="n">
        <v>64750</v>
      </c>
      <c r="F252" s="24" t="n">
        <v>0</v>
      </c>
      <c r="G252" s="25" t="n"/>
    </row>
    <row r="253">
      <c r="B253" s="21" t="n">
        <v>2026</v>
      </c>
      <c r="C253" s="22" t="inlineStr">
        <is>
          <t>HOH</t>
        </is>
      </c>
      <c r="D253" s="23" t="n">
        <v>64750</v>
      </c>
      <c r="E253" s="23" t="n">
        <v>566700</v>
      </c>
      <c r="F253" s="24" t="n">
        <v>0.15</v>
      </c>
      <c r="G253" s="25" t="n"/>
    </row>
    <row r="254">
      <c r="B254" s="21" t="n">
        <v>2026</v>
      </c>
      <c r="C254" s="22" t="inlineStr">
        <is>
          <t>HOH</t>
        </is>
      </c>
      <c r="D254" s="23" t="n">
        <v>566700</v>
      </c>
      <c r="E254" s="23" t="n">
        <v>9999999</v>
      </c>
      <c r="F254" s="24" t="n">
        <v>0.2</v>
      </c>
      <c r="G254" s="25" t="n"/>
    </row>
    <row r="255">
      <c r="B255" s="21" t="n">
        <v>2026</v>
      </c>
      <c r="C255" s="22" t="inlineStr">
        <is>
          <t>MFS</t>
        </is>
      </c>
      <c r="D255" s="23" t="n">
        <v>0</v>
      </c>
      <c r="E255" s="23" t="n">
        <v>48350</v>
      </c>
      <c r="F255" s="24" t="n">
        <v>0</v>
      </c>
      <c r="G255" s="25" t="n"/>
    </row>
    <row r="256">
      <c r="B256" s="21" t="n">
        <v>2026</v>
      </c>
      <c r="C256" s="22" t="inlineStr">
        <is>
          <t>MFS</t>
        </is>
      </c>
      <c r="D256" s="23" t="n">
        <v>48350</v>
      </c>
      <c r="E256" s="23" t="n">
        <v>300025</v>
      </c>
      <c r="F256" s="24" t="n">
        <v>0.15</v>
      </c>
      <c r="G256" s="25" t="n"/>
    </row>
    <row r="257">
      <c r="B257" s="21" t="n">
        <v>2026</v>
      </c>
      <c r="C257" s="22" t="inlineStr">
        <is>
          <t>MFS</t>
        </is>
      </c>
      <c r="D257" s="23" t="n">
        <v>300025</v>
      </c>
      <c r="E257" s="23" t="n">
        <v>9999999</v>
      </c>
      <c r="F257" s="24" t="n">
        <v>0.2</v>
      </c>
      <c r="G257" s="25" t="n"/>
    </row>
    <row r="258">
      <c r="B258" s="21" t="n">
        <v>2027</v>
      </c>
      <c r="C258" s="22" t="inlineStr">
        <is>
          <t>MFJ</t>
        </is>
      </c>
      <c r="D258" s="23" t="n">
        <v>0</v>
      </c>
      <c r="E258" s="23" t="n">
        <v>96700</v>
      </c>
      <c r="F258" s="24" t="n">
        <v>0</v>
      </c>
      <c r="G258" s="25" t="n"/>
    </row>
    <row r="259">
      <c r="B259" s="21" t="n">
        <v>2027</v>
      </c>
      <c r="C259" s="22" t="inlineStr">
        <is>
          <t>MFJ</t>
        </is>
      </c>
      <c r="D259" s="23" t="n">
        <v>96700</v>
      </c>
      <c r="E259" s="23" t="n">
        <v>600050</v>
      </c>
      <c r="F259" s="24" t="n">
        <v>0.15</v>
      </c>
      <c r="G259" s="25" t="n"/>
    </row>
    <row r="260">
      <c r="B260" s="21" t="n">
        <v>2027</v>
      </c>
      <c r="C260" s="22" t="inlineStr">
        <is>
          <t>MFJ</t>
        </is>
      </c>
      <c r="D260" s="23" t="n">
        <v>600050</v>
      </c>
      <c r="E260" s="23" t="n">
        <v>9999999</v>
      </c>
      <c r="F260" s="24" t="n">
        <v>0.2</v>
      </c>
      <c r="G260" s="25" t="n"/>
    </row>
    <row r="261">
      <c r="B261" s="21" t="n">
        <v>2027</v>
      </c>
      <c r="C261" s="22" t="inlineStr">
        <is>
          <t>Single</t>
        </is>
      </c>
      <c r="D261" s="23" t="n">
        <v>0</v>
      </c>
      <c r="E261" s="23" t="n">
        <v>48350</v>
      </c>
      <c r="F261" s="24" t="n">
        <v>0</v>
      </c>
      <c r="G261" s="25" t="n"/>
    </row>
    <row r="262">
      <c r="B262" s="21" t="n">
        <v>2027</v>
      </c>
      <c r="C262" s="22" t="inlineStr">
        <is>
          <t>Single</t>
        </is>
      </c>
      <c r="D262" s="23" t="n">
        <v>48350</v>
      </c>
      <c r="E262" s="23" t="n">
        <v>533400</v>
      </c>
      <c r="F262" s="24" t="n">
        <v>0.15</v>
      </c>
      <c r="G262" s="25" t="n"/>
    </row>
    <row r="263">
      <c r="B263" s="21" t="n">
        <v>2027</v>
      </c>
      <c r="C263" s="22" t="inlineStr">
        <is>
          <t>Single</t>
        </is>
      </c>
      <c r="D263" s="23" t="n">
        <v>533400</v>
      </c>
      <c r="E263" s="23" t="n">
        <v>9999999</v>
      </c>
      <c r="F263" s="24" t="n">
        <v>0.2</v>
      </c>
      <c r="G263" s="25" t="n"/>
    </row>
    <row r="264">
      <c r="B264" s="21" t="n">
        <v>2027</v>
      </c>
      <c r="C264" s="22" t="inlineStr">
        <is>
          <t>HOH</t>
        </is>
      </c>
      <c r="D264" s="23" t="n">
        <v>0</v>
      </c>
      <c r="E264" s="23" t="n">
        <v>64750</v>
      </c>
      <c r="F264" s="24" t="n">
        <v>0</v>
      </c>
      <c r="G264" s="25" t="n"/>
    </row>
    <row r="265">
      <c r="B265" s="21" t="n">
        <v>2027</v>
      </c>
      <c r="C265" s="22" t="inlineStr">
        <is>
          <t>HOH</t>
        </is>
      </c>
      <c r="D265" s="23" t="n">
        <v>64750</v>
      </c>
      <c r="E265" s="23" t="n">
        <v>566700</v>
      </c>
      <c r="F265" s="24" t="n">
        <v>0.15</v>
      </c>
      <c r="G265" s="25" t="n"/>
    </row>
    <row r="266">
      <c r="B266" s="21" t="n">
        <v>2027</v>
      </c>
      <c r="C266" s="22" t="inlineStr">
        <is>
          <t>HOH</t>
        </is>
      </c>
      <c r="D266" s="23" t="n">
        <v>566700</v>
      </c>
      <c r="E266" s="23" t="n">
        <v>9999999</v>
      </c>
      <c r="F266" s="24" t="n">
        <v>0.2</v>
      </c>
      <c r="G266" s="25" t="n"/>
    </row>
    <row r="267">
      <c r="B267" s="21" t="n">
        <v>2027</v>
      </c>
      <c r="C267" s="22" t="inlineStr">
        <is>
          <t>MFS</t>
        </is>
      </c>
      <c r="D267" s="23" t="n">
        <v>0</v>
      </c>
      <c r="E267" s="23" t="n">
        <v>48350</v>
      </c>
      <c r="F267" s="24" t="n">
        <v>0</v>
      </c>
      <c r="G267" s="25" t="n"/>
    </row>
    <row r="268">
      <c r="B268" s="21" t="n">
        <v>2027</v>
      </c>
      <c r="C268" s="22" t="inlineStr">
        <is>
          <t>MFS</t>
        </is>
      </c>
      <c r="D268" s="23" t="n">
        <v>48350</v>
      </c>
      <c r="E268" s="23" t="n">
        <v>300025</v>
      </c>
      <c r="F268" s="24" t="n">
        <v>0.15</v>
      </c>
      <c r="G268" s="25" t="n"/>
    </row>
    <row r="269">
      <c r="B269" s="21" t="n">
        <v>2027</v>
      </c>
      <c r="C269" s="22" t="inlineStr">
        <is>
          <t>MFS</t>
        </is>
      </c>
      <c r="D269" s="23" t="n">
        <v>300025</v>
      </c>
      <c r="E269" s="23" t="n">
        <v>9999999</v>
      </c>
      <c r="F269" s="24" t="n">
        <v>0.2</v>
      </c>
      <c r="G269" s="25" t="n"/>
    </row>
    <row r="270">
      <c r="B270" s="21" t="n">
        <v>2028</v>
      </c>
      <c r="C270" s="22" t="inlineStr">
        <is>
          <t>MFJ</t>
        </is>
      </c>
      <c r="D270" s="23" t="n">
        <v>0</v>
      </c>
      <c r="E270" s="23" t="n">
        <v>96700</v>
      </c>
      <c r="F270" s="24" t="n">
        <v>0</v>
      </c>
      <c r="G270" s="25" t="n"/>
    </row>
    <row r="271">
      <c r="B271" s="21" t="n">
        <v>2028</v>
      </c>
      <c r="C271" s="22" t="inlineStr">
        <is>
          <t>MFJ</t>
        </is>
      </c>
      <c r="D271" s="23" t="n">
        <v>96700</v>
      </c>
      <c r="E271" s="23" t="n">
        <v>600050</v>
      </c>
      <c r="F271" s="24" t="n">
        <v>0.15</v>
      </c>
      <c r="G271" s="25" t="n"/>
    </row>
    <row r="272">
      <c r="B272" s="21" t="n">
        <v>2028</v>
      </c>
      <c r="C272" s="22" t="inlineStr">
        <is>
          <t>MFJ</t>
        </is>
      </c>
      <c r="D272" s="23" t="n">
        <v>600050</v>
      </c>
      <c r="E272" s="23" t="n">
        <v>9999999</v>
      </c>
      <c r="F272" s="24" t="n">
        <v>0.2</v>
      </c>
      <c r="G272" s="25" t="n"/>
    </row>
    <row r="273">
      <c r="B273" s="21" t="n">
        <v>2028</v>
      </c>
      <c r="C273" s="22" t="inlineStr">
        <is>
          <t>Single</t>
        </is>
      </c>
      <c r="D273" s="12" t="n">
        <v>0</v>
      </c>
      <c r="E273" s="12" t="n">
        <v>48350</v>
      </c>
      <c r="F273" s="24" t="n">
        <v>0</v>
      </c>
    </row>
    <row r="274">
      <c r="B274" s="21" t="n">
        <v>2028</v>
      </c>
      <c r="C274" s="22" t="inlineStr">
        <is>
          <t>Single</t>
        </is>
      </c>
      <c r="D274" s="12" t="n">
        <v>48350</v>
      </c>
      <c r="E274" s="12" t="n">
        <v>533400</v>
      </c>
      <c r="F274" s="24" t="n">
        <v>0.15</v>
      </c>
    </row>
    <row r="275">
      <c r="B275" s="21" t="n">
        <v>2028</v>
      </c>
      <c r="C275" s="22" t="inlineStr">
        <is>
          <t>Single</t>
        </is>
      </c>
      <c r="D275" s="12" t="n">
        <v>533400</v>
      </c>
      <c r="E275" s="12" t="n">
        <v>9999999</v>
      </c>
      <c r="F275" s="24" t="n">
        <v>0.2</v>
      </c>
    </row>
    <row r="276">
      <c r="B276" s="21" t="n">
        <v>2028</v>
      </c>
      <c r="C276" s="22" t="inlineStr">
        <is>
          <t>HOH</t>
        </is>
      </c>
      <c r="D276" s="12" t="n">
        <v>0</v>
      </c>
      <c r="E276" s="12" t="n">
        <v>64750</v>
      </c>
      <c r="F276" s="24" t="n">
        <v>0</v>
      </c>
    </row>
    <row r="277">
      <c r="B277" s="21" t="n">
        <v>2028</v>
      </c>
      <c r="C277" s="22" t="inlineStr">
        <is>
          <t>HOH</t>
        </is>
      </c>
      <c r="D277" s="12" t="n">
        <v>64750</v>
      </c>
      <c r="E277" s="12" t="n">
        <v>566700</v>
      </c>
      <c r="F277" s="24" t="n">
        <v>0.15</v>
      </c>
    </row>
    <row r="278">
      <c r="B278" s="21" t="n">
        <v>2028</v>
      </c>
      <c r="C278" s="22" t="inlineStr">
        <is>
          <t>HOH</t>
        </is>
      </c>
      <c r="D278" s="12" t="n">
        <v>566700</v>
      </c>
      <c r="E278" s="12" t="n">
        <v>9999999</v>
      </c>
      <c r="F278" s="24" t="n">
        <v>0.2</v>
      </c>
    </row>
    <row r="279">
      <c r="B279" s="21" t="n">
        <v>2028</v>
      </c>
      <c r="C279" s="22" t="inlineStr">
        <is>
          <t>MFS</t>
        </is>
      </c>
      <c r="D279" s="12" t="n">
        <v>0</v>
      </c>
      <c r="E279" s="12" t="n">
        <v>48350</v>
      </c>
      <c r="F279" s="24" t="n">
        <v>0</v>
      </c>
    </row>
    <row r="280">
      <c r="B280" s="21" t="n">
        <v>2028</v>
      </c>
      <c r="C280" s="22" t="inlineStr">
        <is>
          <t>MFS</t>
        </is>
      </c>
      <c r="D280" s="12" t="n">
        <v>48350</v>
      </c>
      <c r="E280" s="12" t="n">
        <v>300025</v>
      </c>
      <c r="F280" s="24" t="n">
        <v>0.15</v>
      </c>
    </row>
    <row r="281">
      <c r="B281" s="21" t="n">
        <v>2028</v>
      </c>
      <c r="C281" s="22" t="inlineStr">
        <is>
          <t>MFS</t>
        </is>
      </c>
      <c r="D281" s="12" t="n">
        <v>300025</v>
      </c>
      <c r="E281" s="12" t="n">
        <v>9999999</v>
      </c>
      <c r="F281" s="24" t="n">
        <v>0.2</v>
      </c>
    </row>
    <row r="284">
      <c r="B284" s="13" t="inlineStr">
        <is>
          <t>tblThresholds — Tax Computation Constants by Year × Filing Status</t>
        </is>
      </c>
    </row>
    <row r="285">
      <c r="B285" t="inlineStr">
        <is>
          <t>Year</t>
        </is>
      </c>
      <c r="C285" t="inlineStr">
        <is>
          <t>FilingStatus</t>
        </is>
      </c>
      <c r="D285" t="inlineStr">
        <is>
          <t>Item</t>
        </is>
      </c>
      <c r="E285" t="inlineStr">
        <is>
          <t>Value</t>
        </is>
      </c>
    </row>
    <row r="286">
      <c r="B286" s="21" t="n">
        <v>2023</v>
      </c>
      <c r="C286" t="inlineStr">
        <is>
          <t>MFJ</t>
        </is>
      </c>
      <c r="D286" t="inlineStr">
        <is>
          <t>NIIT_Threshold</t>
        </is>
      </c>
      <c r="E286" t="n">
        <v>250000</v>
      </c>
    </row>
    <row r="287">
      <c r="B287" s="21" t="n">
        <v>2023</v>
      </c>
      <c r="C287" t="inlineStr">
        <is>
          <t>Single</t>
        </is>
      </c>
      <c r="D287" t="inlineStr">
        <is>
          <t>NIIT_Threshold</t>
        </is>
      </c>
      <c r="E287" t="n">
        <v>200000</v>
      </c>
    </row>
    <row r="288">
      <c r="B288" s="21" t="n">
        <v>2023</v>
      </c>
      <c r="C288" t="inlineStr">
        <is>
          <t>HOH</t>
        </is>
      </c>
      <c r="D288" t="inlineStr">
        <is>
          <t>NIIT_Threshold</t>
        </is>
      </c>
      <c r="E288" t="n">
        <v>200000</v>
      </c>
    </row>
    <row r="289">
      <c r="B289" s="21" t="n">
        <v>2023</v>
      </c>
      <c r="C289" t="inlineStr">
        <is>
          <t>MFS</t>
        </is>
      </c>
      <c r="D289" t="inlineStr">
        <is>
          <t>NIIT_Threshold</t>
        </is>
      </c>
      <c r="E289" t="n">
        <v>125000</v>
      </c>
    </row>
    <row r="290">
      <c r="B290" s="21" t="n">
        <v>2023</v>
      </c>
      <c r="C290" t="inlineStr">
        <is>
          <t>MFJ</t>
        </is>
      </c>
      <c r="D290" t="inlineStr">
        <is>
          <t>NIIT_Rate</t>
        </is>
      </c>
      <c r="E290" t="n">
        <v>0.038</v>
      </c>
    </row>
    <row r="291">
      <c r="B291" s="21" t="n">
        <v>2023</v>
      </c>
      <c r="C291" t="inlineStr">
        <is>
          <t>Single</t>
        </is>
      </c>
      <c r="D291" t="inlineStr">
        <is>
          <t>NIIT_Rate</t>
        </is>
      </c>
      <c r="E291" t="n">
        <v>0.038</v>
      </c>
    </row>
    <row r="292">
      <c r="B292" s="21" t="n">
        <v>2023</v>
      </c>
      <c r="C292" t="inlineStr">
        <is>
          <t>HOH</t>
        </is>
      </c>
      <c r="D292" t="inlineStr">
        <is>
          <t>NIIT_Rate</t>
        </is>
      </c>
      <c r="E292" t="n">
        <v>0.038</v>
      </c>
    </row>
    <row r="293">
      <c r="B293" s="21" t="n">
        <v>2023</v>
      </c>
      <c r="C293" t="inlineStr">
        <is>
          <t>MFS</t>
        </is>
      </c>
      <c r="D293" t="inlineStr">
        <is>
          <t>NIIT_Rate</t>
        </is>
      </c>
      <c r="E293" t="n">
        <v>0.038</v>
      </c>
    </row>
    <row r="294">
      <c r="B294" s="21" t="n">
        <v>2023</v>
      </c>
      <c r="C294" t="inlineStr">
        <is>
          <t>MFJ</t>
        </is>
      </c>
      <c r="D294" t="inlineStr">
        <is>
          <t>QBI_Threshold_Start</t>
        </is>
      </c>
      <c r="E294" t="n">
        <v>394600</v>
      </c>
    </row>
    <row r="295">
      <c r="B295" s="21" t="n">
        <v>2023</v>
      </c>
      <c r="C295" t="inlineStr">
        <is>
          <t>Single</t>
        </is>
      </c>
      <c r="D295" t="inlineStr">
        <is>
          <t>QBI_Threshold_Start</t>
        </is>
      </c>
      <c r="E295" t="n">
        <v>197300</v>
      </c>
    </row>
    <row r="296">
      <c r="B296" s="21" t="n">
        <v>2023</v>
      </c>
      <c r="C296" t="inlineStr">
        <is>
          <t>HOH</t>
        </is>
      </c>
      <c r="D296" t="inlineStr">
        <is>
          <t>QBI_Threshold_Start</t>
        </is>
      </c>
      <c r="E296" t="n">
        <v>197300</v>
      </c>
    </row>
    <row r="297">
      <c r="B297" s="21" t="n">
        <v>2023</v>
      </c>
      <c r="C297" t="inlineStr">
        <is>
          <t>MFS</t>
        </is>
      </c>
      <c r="D297" t="inlineStr">
        <is>
          <t>QBI_Threshold_Start</t>
        </is>
      </c>
      <c r="E297" t="n">
        <v>197300</v>
      </c>
    </row>
    <row r="298">
      <c r="B298" s="21" t="n">
        <v>2023</v>
      </c>
      <c r="C298" t="inlineStr">
        <is>
          <t>MFJ</t>
        </is>
      </c>
      <c r="D298" t="inlineStr">
        <is>
          <t>QBI_Threshold_End</t>
        </is>
      </c>
      <c r="E298" t="n">
        <v>494600</v>
      </c>
    </row>
    <row r="299">
      <c r="B299" s="21" t="n">
        <v>2023</v>
      </c>
      <c r="C299" t="inlineStr">
        <is>
          <t>Single</t>
        </is>
      </c>
      <c r="D299" t="inlineStr">
        <is>
          <t>QBI_Threshold_End</t>
        </is>
      </c>
      <c r="E299" t="n">
        <v>247300</v>
      </c>
    </row>
    <row r="300">
      <c r="B300" s="21" t="n">
        <v>2023</v>
      </c>
      <c r="C300" t="inlineStr">
        <is>
          <t>HOH</t>
        </is>
      </c>
      <c r="D300" t="inlineStr">
        <is>
          <t>QBI_Threshold_End</t>
        </is>
      </c>
      <c r="E300" t="n">
        <v>247300</v>
      </c>
    </row>
    <row r="301">
      <c r="B301" s="21" t="n">
        <v>2023</v>
      </c>
      <c r="C301" t="inlineStr">
        <is>
          <t>MFS</t>
        </is>
      </c>
      <c r="D301" t="inlineStr">
        <is>
          <t>QBI_Threshold_End</t>
        </is>
      </c>
      <c r="E301" t="n">
        <v>247300</v>
      </c>
    </row>
    <row r="302">
      <c r="B302" s="21" t="n">
        <v>2023</v>
      </c>
      <c r="C302" t="inlineStr">
        <is>
          <t>MFJ</t>
        </is>
      </c>
      <c r="D302" t="inlineStr">
        <is>
          <t>SS_Wage_Base</t>
        </is>
      </c>
      <c r="E302" t="n">
        <v>176100</v>
      </c>
    </row>
    <row r="303">
      <c r="B303" s="21" t="n">
        <v>2023</v>
      </c>
      <c r="C303" t="inlineStr">
        <is>
          <t>Single</t>
        </is>
      </c>
      <c r="D303" t="inlineStr">
        <is>
          <t>SS_Wage_Base</t>
        </is>
      </c>
      <c r="E303" t="n">
        <v>176100</v>
      </c>
    </row>
    <row r="304">
      <c r="B304" s="21" t="n">
        <v>2023</v>
      </c>
      <c r="C304" t="inlineStr">
        <is>
          <t>HOH</t>
        </is>
      </c>
      <c r="D304" t="inlineStr">
        <is>
          <t>SS_Wage_Base</t>
        </is>
      </c>
      <c r="E304" t="n">
        <v>176100</v>
      </c>
    </row>
    <row r="305">
      <c r="B305" s="21" t="n">
        <v>2023</v>
      </c>
      <c r="C305" t="inlineStr">
        <is>
          <t>MFS</t>
        </is>
      </c>
      <c r="D305" t="inlineStr">
        <is>
          <t>SS_Wage_Base</t>
        </is>
      </c>
      <c r="E305" t="n">
        <v>176100</v>
      </c>
    </row>
    <row r="306">
      <c r="B306" s="21" t="n">
        <v>2023</v>
      </c>
      <c r="C306" t="inlineStr">
        <is>
          <t>MFJ</t>
        </is>
      </c>
      <c r="D306" t="inlineStr">
        <is>
          <t>SS_Rate_Combined</t>
        </is>
      </c>
      <c r="E306" t="n">
        <v>0.124</v>
      </c>
    </row>
    <row r="307">
      <c r="B307" s="21" t="n">
        <v>2023</v>
      </c>
      <c r="C307" t="inlineStr">
        <is>
          <t>Single</t>
        </is>
      </c>
      <c r="D307" t="inlineStr">
        <is>
          <t>SS_Rate_Combined</t>
        </is>
      </c>
      <c r="E307" t="n">
        <v>0.124</v>
      </c>
    </row>
    <row r="308">
      <c r="B308" s="21" t="n">
        <v>2023</v>
      </c>
      <c r="C308" t="inlineStr">
        <is>
          <t>HOH</t>
        </is>
      </c>
      <c r="D308" t="inlineStr">
        <is>
          <t>SS_Rate_Combined</t>
        </is>
      </c>
      <c r="E308" t="n">
        <v>0.124</v>
      </c>
    </row>
    <row r="309">
      <c r="B309" s="21" t="n">
        <v>2023</v>
      </c>
      <c r="C309" t="inlineStr">
        <is>
          <t>MFS</t>
        </is>
      </c>
      <c r="D309" t="inlineStr">
        <is>
          <t>SS_Rate_Combined</t>
        </is>
      </c>
      <c r="E309" t="n">
        <v>0.124</v>
      </c>
    </row>
    <row r="310">
      <c r="B310" s="21" t="n">
        <v>2023</v>
      </c>
      <c r="C310" t="inlineStr">
        <is>
          <t>MFJ</t>
        </is>
      </c>
      <c r="D310" t="inlineStr">
        <is>
          <t>Medicare_Rate_Combined</t>
        </is>
      </c>
      <c r="E310" t="n">
        <v>0.029</v>
      </c>
    </row>
    <row r="311">
      <c r="B311" s="21" t="n">
        <v>2023</v>
      </c>
      <c r="C311" t="inlineStr">
        <is>
          <t>Single</t>
        </is>
      </c>
      <c r="D311" t="inlineStr">
        <is>
          <t>Medicare_Rate_Combined</t>
        </is>
      </c>
      <c r="E311" t="n">
        <v>0.029</v>
      </c>
    </row>
    <row r="312">
      <c r="B312" s="21" t="n">
        <v>2023</v>
      </c>
      <c r="C312" t="inlineStr">
        <is>
          <t>HOH</t>
        </is>
      </c>
      <c r="D312" t="inlineStr">
        <is>
          <t>Medicare_Rate_Combined</t>
        </is>
      </c>
      <c r="E312" t="n">
        <v>0.029</v>
      </c>
    </row>
    <row r="313">
      <c r="B313" s="21" t="n">
        <v>2023</v>
      </c>
      <c r="C313" t="inlineStr">
        <is>
          <t>MFS</t>
        </is>
      </c>
      <c r="D313" t="inlineStr">
        <is>
          <t>Medicare_Rate_Combined</t>
        </is>
      </c>
      <c r="E313" t="n">
        <v>0.029</v>
      </c>
    </row>
    <row r="314">
      <c r="B314" s="21" t="n">
        <v>2023</v>
      </c>
      <c r="C314" t="inlineStr">
        <is>
          <t>MFJ</t>
        </is>
      </c>
      <c r="D314" t="inlineStr">
        <is>
          <t>SE_Earnings_Factor</t>
        </is>
      </c>
      <c r="E314" t="n">
        <v>0.9235</v>
      </c>
    </row>
    <row r="315">
      <c r="B315" s="21" t="n">
        <v>2023</v>
      </c>
      <c r="C315" t="inlineStr">
        <is>
          <t>Single</t>
        </is>
      </c>
      <c r="D315" t="inlineStr">
        <is>
          <t>SE_Earnings_Factor</t>
        </is>
      </c>
      <c r="E315" t="n">
        <v>0.9235</v>
      </c>
    </row>
    <row r="316">
      <c r="B316" s="21" t="n">
        <v>2023</v>
      </c>
      <c r="C316" t="inlineStr">
        <is>
          <t>HOH</t>
        </is>
      </c>
      <c r="D316" t="inlineStr">
        <is>
          <t>SE_Earnings_Factor</t>
        </is>
      </c>
      <c r="E316" t="n">
        <v>0.9235</v>
      </c>
    </row>
    <row r="317">
      <c r="B317" s="21" t="n">
        <v>2023</v>
      </c>
      <c r="C317" t="inlineStr">
        <is>
          <t>MFS</t>
        </is>
      </c>
      <c r="D317" t="inlineStr">
        <is>
          <t>SE_Earnings_Factor</t>
        </is>
      </c>
      <c r="E317" t="n">
        <v>0.9235</v>
      </c>
    </row>
    <row r="318">
      <c r="B318" s="21" t="n">
        <v>2023</v>
      </c>
      <c r="C318" t="inlineStr">
        <is>
          <t>MFJ</t>
        </is>
      </c>
      <c r="D318" t="inlineStr">
        <is>
          <t>Addl_Medicare_Rate</t>
        </is>
      </c>
      <c r="E318" t="n">
        <v>0.008999999999999999</v>
      </c>
    </row>
    <row r="319">
      <c r="B319" s="21" t="n">
        <v>2023</v>
      </c>
      <c r="C319" t="inlineStr">
        <is>
          <t>Single</t>
        </is>
      </c>
      <c r="D319" t="inlineStr">
        <is>
          <t>Addl_Medicare_Rate</t>
        </is>
      </c>
      <c r="E319" t="n">
        <v>0.008999999999999999</v>
      </c>
    </row>
    <row r="320">
      <c r="B320" s="21" t="n">
        <v>2023</v>
      </c>
      <c r="C320" t="inlineStr">
        <is>
          <t>HOH</t>
        </is>
      </c>
      <c r="D320" t="inlineStr">
        <is>
          <t>Addl_Medicare_Rate</t>
        </is>
      </c>
      <c r="E320" t="n">
        <v>0.008999999999999999</v>
      </c>
    </row>
    <row r="321">
      <c r="B321" s="21" t="n">
        <v>2023</v>
      </c>
      <c r="C321" t="inlineStr">
        <is>
          <t>MFS</t>
        </is>
      </c>
      <c r="D321" t="inlineStr">
        <is>
          <t>Addl_Medicare_Rate</t>
        </is>
      </c>
      <c r="E321" t="n">
        <v>0.008999999999999999</v>
      </c>
    </row>
    <row r="322">
      <c r="B322" s="21" t="n">
        <v>2023</v>
      </c>
      <c r="C322" t="inlineStr">
        <is>
          <t>MFJ</t>
        </is>
      </c>
      <c r="D322" t="inlineStr">
        <is>
          <t>Addl_Medicare_Threshold</t>
        </is>
      </c>
      <c r="E322" t="n">
        <v>250000</v>
      </c>
    </row>
    <row r="323">
      <c r="B323" s="21" t="n">
        <v>2023</v>
      </c>
      <c r="C323" t="inlineStr">
        <is>
          <t>Single</t>
        </is>
      </c>
      <c r="D323" t="inlineStr">
        <is>
          <t>Addl_Medicare_Threshold</t>
        </is>
      </c>
      <c r="E323" t="n">
        <v>200000</v>
      </c>
    </row>
    <row r="324">
      <c r="B324" s="21" t="n">
        <v>2023</v>
      </c>
      <c r="C324" t="inlineStr">
        <is>
          <t>HOH</t>
        </is>
      </c>
      <c r="D324" t="inlineStr">
        <is>
          <t>Addl_Medicare_Threshold</t>
        </is>
      </c>
      <c r="E324" t="n">
        <v>200000</v>
      </c>
    </row>
    <row r="325">
      <c r="B325" s="21" t="n">
        <v>2023</v>
      </c>
      <c r="C325" t="inlineStr">
        <is>
          <t>MFS</t>
        </is>
      </c>
      <c r="D325" t="inlineStr">
        <is>
          <t>Addl_Medicare_Threshold</t>
        </is>
      </c>
      <c r="E325" t="n">
        <v>125000</v>
      </c>
    </row>
    <row r="326">
      <c r="B326" s="21" t="n">
        <v>2023</v>
      </c>
      <c r="C326" t="inlineStr">
        <is>
          <t>MFJ</t>
        </is>
      </c>
      <c r="D326" t="inlineStr">
        <is>
          <t>Sec1250_Max_Rate</t>
        </is>
      </c>
      <c r="E326" t="n">
        <v>0.25</v>
      </c>
    </row>
    <row r="327">
      <c r="B327" s="21" t="n">
        <v>2023</v>
      </c>
      <c r="C327" t="inlineStr">
        <is>
          <t>Single</t>
        </is>
      </c>
      <c r="D327" t="inlineStr">
        <is>
          <t>Sec1250_Max_Rate</t>
        </is>
      </c>
      <c r="E327" t="n">
        <v>0.25</v>
      </c>
    </row>
    <row r="328">
      <c r="B328" s="21" t="n">
        <v>2023</v>
      </c>
      <c r="C328" t="inlineStr">
        <is>
          <t>HOH</t>
        </is>
      </c>
      <c r="D328" t="inlineStr">
        <is>
          <t>Sec1250_Max_Rate</t>
        </is>
      </c>
      <c r="E328" t="n">
        <v>0.25</v>
      </c>
    </row>
    <row r="329">
      <c r="B329" s="21" t="n">
        <v>2023</v>
      </c>
      <c r="C329" t="inlineStr">
        <is>
          <t>MFS</t>
        </is>
      </c>
      <c r="D329" t="inlineStr">
        <is>
          <t>Sec1250_Max_Rate</t>
        </is>
      </c>
      <c r="E329" t="n">
        <v>0.25</v>
      </c>
    </row>
    <row r="330">
      <c r="B330" s="21" t="n">
        <v>2023</v>
      </c>
      <c r="C330" t="inlineStr">
        <is>
          <t>MFJ</t>
        </is>
      </c>
      <c r="D330" t="inlineStr">
        <is>
          <t>EBL_Limit</t>
        </is>
      </c>
      <c r="E330" t="n">
        <v>626000</v>
      </c>
    </row>
    <row r="331">
      <c r="B331" s="21" t="n">
        <v>2023</v>
      </c>
      <c r="C331" t="inlineStr">
        <is>
          <t>Single</t>
        </is>
      </c>
      <c r="D331" t="inlineStr">
        <is>
          <t>EBL_Limit</t>
        </is>
      </c>
      <c r="E331" t="n">
        <v>313000</v>
      </c>
    </row>
    <row r="332">
      <c r="B332" s="21" t="n">
        <v>2023</v>
      </c>
      <c r="C332" t="inlineStr">
        <is>
          <t>HOH</t>
        </is>
      </c>
      <c r="D332" t="inlineStr">
        <is>
          <t>EBL_Limit</t>
        </is>
      </c>
      <c r="E332" t="n">
        <v>313000</v>
      </c>
    </row>
    <row r="333">
      <c r="B333" s="21" t="n">
        <v>2023</v>
      </c>
      <c r="C333" t="inlineStr">
        <is>
          <t>MFS</t>
        </is>
      </c>
      <c r="D333" t="inlineStr">
        <is>
          <t>EBL_Limit</t>
        </is>
      </c>
      <c r="E333" t="n">
        <v>313000</v>
      </c>
    </row>
    <row r="334">
      <c r="B334" s="21" t="n">
        <v>2024</v>
      </c>
      <c r="C334" t="inlineStr">
        <is>
          <t>MFJ</t>
        </is>
      </c>
      <c r="D334" t="inlineStr">
        <is>
          <t>NIIT_Threshold</t>
        </is>
      </c>
      <c r="E334" t="n">
        <v>250000</v>
      </c>
    </row>
    <row r="335">
      <c r="B335" s="21" t="n">
        <v>2024</v>
      </c>
      <c r="C335" t="inlineStr">
        <is>
          <t>Single</t>
        </is>
      </c>
      <c r="D335" t="inlineStr">
        <is>
          <t>NIIT_Threshold</t>
        </is>
      </c>
      <c r="E335" t="n">
        <v>200000</v>
      </c>
    </row>
    <row r="336">
      <c r="B336" s="21" t="n">
        <v>2024</v>
      </c>
      <c r="C336" t="inlineStr">
        <is>
          <t>HOH</t>
        </is>
      </c>
      <c r="D336" t="inlineStr">
        <is>
          <t>NIIT_Threshold</t>
        </is>
      </c>
      <c r="E336" t="n">
        <v>200000</v>
      </c>
    </row>
    <row r="337">
      <c r="B337" s="21" t="n">
        <v>2024</v>
      </c>
      <c r="C337" t="inlineStr">
        <is>
          <t>MFS</t>
        </is>
      </c>
      <c r="D337" t="inlineStr">
        <is>
          <t>NIIT_Threshold</t>
        </is>
      </c>
      <c r="E337" t="n">
        <v>125000</v>
      </c>
    </row>
    <row r="338">
      <c r="B338" s="21" t="n">
        <v>2024</v>
      </c>
      <c r="C338" t="inlineStr">
        <is>
          <t>MFJ</t>
        </is>
      </c>
      <c r="D338" t="inlineStr">
        <is>
          <t>NIIT_Rate</t>
        </is>
      </c>
      <c r="E338" t="n">
        <v>0.038</v>
      </c>
    </row>
    <row r="339">
      <c r="B339" s="21" t="n">
        <v>2024</v>
      </c>
      <c r="C339" t="inlineStr">
        <is>
          <t>Single</t>
        </is>
      </c>
      <c r="D339" t="inlineStr">
        <is>
          <t>NIIT_Rate</t>
        </is>
      </c>
      <c r="E339" t="n">
        <v>0.038</v>
      </c>
    </row>
    <row r="340">
      <c r="B340" s="21" t="n">
        <v>2024</v>
      </c>
      <c r="C340" t="inlineStr">
        <is>
          <t>HOH</t>
        </is>
      </c>
      <c r="D340" t="inlineStr">
        <is>
          <t>NIIT_Rate</t>
        </is>
      </c>
      <c r="E340" t="n">
        <v>0.038</v>
      </c>
    </row>
    <row r="341">
      <c r="B341" s="21" t="n">
        <v>2024</v>
      </c>
      <c r="C341" t="inlineStr">
        <is>
          <t>MFS</t>
        </is>
      </c>
      <c r="D341" t="inlineStr">
        <is>
          <t>NIIT_Rate</t>
        </is>
      </c>
      <c r="E341" t="n">
        <v>0.038</v>
      </c>
    </row>
    <row r="342">
      <c r="B342" s="21" t="n">
        <v>2024</v>
      </c>
      <c r="C342" t="inlineStr">
        <is>
          <t>MFJ</t>
        </is>
      </c>
      <c r="D342" t="inlineStr">
        <is>
          <t>QBI_Threshold_Start</t>
        </is>
      </c>
      <c r="E342" t="n">
        <v>394600</v>
      </c>
    </row>
    <row r="343">
      <c r="B343" s="21" t="n">
        <v>2024</v>
      </c>
      <c r="C343" t="inlineStr">
        <is>
          <t>Single</t>
        </is>
      </c>
      <c r="D343" t="inlineStr">
        <is>
          <t>QBI_Threshold_Start</t>
        </is>
      </c>
      <c r="E343" t="n">
        <v>197300</v>
      </c>
    </row>
    <row r="344">
      <c r="B344" s="21" t="n">
        <v>2024</v>
      </c>
      <c r="C344" t="inlineStr">
        <is>
          <t>HOH</t>
        </is>
      </c>
      <c r="D344" t="inlineStr">
        <is>
          <t>QBI_Threshold_Start</t>
        </is>
      </c>
      <c r="E344" t="n">
        <v>197300</v>
      </c>
    </row>
    <row r="345">
      <c r="B345" s="21" t="n">
        <v>2024</v>
      </c>
      <c r="C345" t="inlineStr">
        <is>
          <t>MFS</t>
        </is>
      </c>
      <c r="D345" t="inlineStr">
        <is>
          <t>QBI_Threshold_Start</t>
        </is>
      </c>
      <c r="E345" t="n">
        <v>197300</v>
      </c>
    </row>
    <row r="346">
      <c r="B346" s="21" t="n">
        <v>2024</v>
      </c>
      <c r="C346" t="inlineStr">
        <is>
          <t>MFJ</t>
        </is>
      </c>
      <c r="D346" t="inlineStr">
        <is>
          <t>QBI_Threshold_End</t>
        </is>
      </c>
      <c r="E346" t="n">
        <v>494600</v>
      </c>
    </row>
    <row r="347">
      <c r="B347" s="21" t="n">
        <v>2024</v>
      </c>
      <c r="C347" t="inlineStr">
        <is>
          <t>Single</t>
        </is>
      </c>
      <c r="D347" t="inlineStr">
        <is>
          <t>QBI_Threshold_End</t>
        </is>
      </c>
      <c r="E347" t="n">
        <v>247300</v>
      </c>
    </row>
    <row r="348">
      <c r="B348" s="21" t="n">
        <v>2024</v>
      </c>
      <c r="C348" t="inlineStr">
        <is>
          <t>HOH</t>
        </is>
      </c>
      <c r="D348" t="inlineStr">
        <is>
          <t>QBI_Threshold_End</t>
        </is>
      </c>
      <c r="E348" t="n">
        <v>247300</v>
      </c>
    </row>
    <row r="349">
      <c r="B349" s="21" t="n">
        <v>2024</v>
      </c>
      <c r="C349" t="inlineStr">
        <is>
          <t>MFS</t>
        </is>
      </c>
      <c r="D349" t="inlineStr">
        <is>
          <t>QBI_Threshold_End</t>
        </is>
      </c>
      <c r="E349" t="n">
        <v>247300</v>
      </c>
    </row>
    <row r="350">
      <c r="B350" s="21" t="n">
        <v>2024</v>
      </c>
      <c r="C350" t="inlineStr">
        <is>
          <t>MFJ</t>
        </is>
      </c>
      <c r="D350" t="inlineStr">
        <is>
          <t>SS_Wage_Base</t>
        </is>
      </c>
      <c r="E350" t="n">
        <v>176100</v>
      </c>
    </row>
    <row r="351">
      <c r="B351" s="21" t="n">
        <v>2024</v>
      </c>
      <c r="C351" t="inlineStr">
        <is>
          <t>Single</t>
        </is>
      </c>
      <c r="D351" t="inlineStr">
        <is>
          <t>SS_Wage_Base</t>
        </is>
      </c>
      <c r="E351" t="n">
        <v>176100</v>
      </c>
    </row>
    <row r="352">
      <c r="B352" s="21" t="n">
        <v>2024</v>
      </c>
      <c r="C352" t="inlineStr">
        <is>
          <t>HOH</t>
        </is>
      </c>
      <c r="D352" t="inlineStr">
        <is>
          <t>SS_Wage_Base</t>
        </is>
      </c>
      <c r="E352" t="n">
        <v>176100</v>
      </c>
    </row>
    <row r="353">
      <c r="B353" s="21" t="n">
        <v>2024</v>
      </c>
      <c r="C353" t="inlineStr">
        <is>
          <t>MFS</t>
        </is>
      </c>
      <c r="D353" t="inlineStr">
        <is>
          <t>SS_Wage_Base</t>
        </is>
      </c>
      <c r="E353" t="n">
        <v>176100</v>
      </c>
    </row>
    <row r="354">
      <c r="B354" s="21" t="n">
        <v>2024</v>
      </c>
      <c r="C354" t="inlineStr">
        <is>
          <t>MFJ</t>
        </is>
      </c>
      <c r="D354" t="inlineStr">
        <is>
          <t>SS_Rate_Combined</t>
        </is>
      </c>
      <c r="E354" t="n">
        <v>0.124</v>
      </c>
    </row>
    <row r="355">
      <c r="B355" s="21" t="n">
        <v>2024</v>
      </c>
      <c r="C355" t="inlineStr">
        <is>
          <t>Single</t>
        </is>
      </c>
      <c r="D355" t="inlineStr">
        <is>
          <t>SS_Rate_Combined</t>
        </is>
      </c>
      <c r="E355" t="n">
        <v>0.124</v>
      </c>
    </row>
    <row r="356">
      <c r="B356" s="21" t="n">
        <v>2024</v>
      </c>
      <c r="C356" t="inlineStr">
        <is>
          <t>HOH</t>
        </is>
      </c>
      <c r="D356" t="inlineStr">
        <is>
          <t>SS_Rate_Combined</t>
        </is>
      </c>
      <c r="E356" t="n">
        <v>0.124</v>
      </c>
    </row>
    <row r="357">
      <c r="B357" s="21" t="n">
        <v>2024</v>
      </c>
      <c r="C357" t="inlineStr">
        <is>
          <t>MFS</t>
        </is>
      </c>
      <c r="D357" t="inlineStr">
        <is>
          <t>SS_Rate_Combined</t>
        </is>
      </c>
      <c r="E357" t="n">
        <v>0.124</v>
      </c>
    </row>
    <row r="358">
      <c r="B358" s="21" t="n">
        <v>2024</v>
      </c>
      <c r="C358" t="inlineStr">
        <is>
          <t>MFJ</t>
        </is>
      </c>
      <c r="D358" t="inlineStr">
        <is>
          <t>Medicare_Rate_Combined</t>
        </is>
      </c>
      <c r="E358" t="n">
        <v>0.029</v>
      </c>
    </row>
    <row r="359">
      <c r="B359" s="21" t="n">
        <v>2024</v>
      </c>
      <c r="C359" t="inlineStr">
        <is>
          <t>Single</t>
        </is>
      </c>
      <c r="D359" t="inlineStr">
        <is>
          <t>Medicare_Rate_Combined</t>
        </is>
      </c>
      <c r="E359" t="n">
        <v>0.029</v>
      </c>
    </row>
    <row r="360">
      <c r="B360" s="21" t="n">
        <v>2024</v>
      </c>
      <c r="C360" t="inlineStr">
        <is>
          <t>HOH</t>
        </is>
      </c>
      <c r="D360" t="inlineStr">
        <is>
          <t>Medicare_Rate_Combined</t>
        </is>
      </c>
      <c r="E360" t="n">
        <v>0.029</v>
      </c>
    </row>
    <row r="361">
      <c r="B361" s="21" t="n">
        <v>2024</v>
      </c>
      <c r="C361" t="inlineStr">
        <is>
          <t>MFS</t>
        </is>
      </c>
      <c r="D361" t="inlineStr">
        <is>
          <t>Medicare_Rate_Combined</t>
        </is>
      </c>
      <c r="E361" t="n">
        <v>0.029</v>
      </c>
    </row>
    <row r="362">
      <c r="B362" s="21" t="n">
        <v>2024</v>
      </c>
      <c r="C362" t="inlineStr">
        <is>
          <t>MFJ</t>
        </is>
      </c>
      <c r="D362" t="inlineStr">
        <is>
          <t>SE_Earnings_Factor</t>
        </is>
      </c>
      <c r="E362" t="n">
        <v>0.9235</v>
      </c>
    </row>
    <row r="363">
      <c r="B363" s="21" t="n">
        <v>2024</v>
      </c>
      <c r="C363" t="inlineStr">
        <is>
          <t>Single</t>
        </is>
      </c>
      <c r="D363" t="inlineStr">
        <is>
          <t>SE_Earnings_Factor</t>
        </is>
      </c>
      <c r="E363" t="n">
        <v>0.9235</v>
      </c>
    </row>
    <row r="364">
      <c r="B364" s="21" t="n">
        <v>2024</v>
      </c>
      <c r="C364" t="inlineStr">
        <is>
          <t>HOH</t>
        </is>
      </c>
      <c r="D364" t="inlineStr">
        <is>
          <t>SE_Earnings_Factor</t>
        </is>
      </c>
      <c r="E364" t="n">
        <v>0.9235</v>
      </c>
    </row>
    <row r="365">
      <c r="B365" s="21" t="n">
        <v>2024</v>
      </c>
      <c r="C365" t="inlineStr">
        <is>
          <t>MFS</t>
        </is>
      </c>
      <c r="D365" t="inlineStr">
        <is>
          <t>SE_Earnings_Factor</t>
        </is>
      </c>
      <c r="E365" t="n">
        <v>0.9235</v>
      </c>
    </row>
    <row r="366">
      <c r="B366" s="21" t="n">
        <v>2024</v>
      </c>
      <c r="C366" t="inlineStr">
        <is>
          <t>MFJ</t>
        </is>
      </c>
      <c r="D366" t="inlineStr">
        <is>
          <t>Addl_Medicare_Rate</t>
        </is>
      </c>
      <c r="E366" t="n">
        <v>0.008999999999999999</v>
      </c>
    </row>
    <row r="367">
      <c r="B367" s="21" t="n">
        <v>2024</v>
      </c>
      <c r="C367" t="inlineStr">
        <is>
          <t>Single</t>
        </is>
      </c>
      <c r="D367" t="inlineStr">
        <is>
          <t>Addl_Medicare_Rate</t>
        </is>
      </c>
      <c r="E367" t="n">
        <v>0.008999999999999999</v>
      </c>
    </row>
    <row r="368">
      <c r="B368" s="21" t="n">
        <v>2024</v>
      </c>
      <c r="C368" t="inlineStr">
        <is>
          <t>HOH</t>
        </is>
      </c>
      <c r="D368" t="inlineStr">
        <is>
          <t>Addl_Medicare_Rate</t>
        </is>
      </c>
      <c r="E368" t="n">
        <v>0.008999999999999999</v>
      </c>
    </row>
    <row r="369">
      <c r="B369" s="21" t="n">
        <v>2024</v>
      </c>
      <c r="C369" t="inlineStr">
        <is>
          <t>MFS</t>
        </is>
      </c>
      <c r="D369" t="inlineStr">
        <is>
          <t>Addl_Medicare_Rate</t>
        </is>
      </c>
      <c r="E369" t="n">
        <v>0.008999999999999999</v>
      </c>
    </row>
    <row r="370">
      <c r="B370" s="21" t="n">
        <v>2024</v>
      </c>
      <c r="C370" t="inlineStr">
        <is>
          <t>MFJ</t>
        </is>
      </c>
      <c r="D370" t="inlineStr">
        <is>
          <t>Addl_Medicare_Threshold</t>
        </is>
      </c>
      <c r="E370" t="n">
        <v>250000</v>
      </c>
    </row>
    <row r="371">
      <c r="B371" s="21" t="n">
        <v>2024</v>
      </c>
      <c r="C371" t="inlineStr">
        <is>
          <t>Single</t>
        </is>
      </c>
      <c r="D371" t="inlineStr">
        <is>
          <t>Addl_Medicare_Threshold</t>
        </is>
      </c>
      <c r="E371" t="n">
        <v>200000</v>
      </c>
    </row>
    <row r="372">
      <c r="B372" s="21" t="n">
        <v>2024</v>
      </c>
      <c r="C372" t="inlineStr">
        <is>
          <t>HOH</t>
        </is>
      </c>
      <c r="D372" t="inlineStr">
        <is>
          <t>Addl_Medicare_Threshold</t>
        </is>
      </c>
      <c r="E372" t="n">
        <v>200000</v>
      </c>
    </row>
    <row r="373">
      <c r="B373" s="21" t="n">
        <v>2024</v>
      </c>
      <c r="C373" t="inlineStr">
        <is>
          <t>MFS</t>
        </is>
      </c>
      <c r="D373" t="inlineStr">
        <is>
          <t>Addl_Medicare_Threshold</t>
        </is>
      </c>
      <c r="E373" t="n">
        <v>125000</v>
      </c>
    </row>
    <row r="374">
      <c r="B374" s="21" t="n">
        <v>2024</v>
      </c>
      <c r="C374" t="inlineStr">
        <is>
          <t>MFJ</t>
        </is>
      </c>
      <c r="D374" t="inlineStr">
        <is>
          <t>Sec1250_Max_Rate</t>
        </is>
      </c>
      <c r="E374" t="n">
        <v>0.25</v>
      </c>
    </row>
    <row r="375">
      <c r="B375" s="21" t="n">
        <v>2024</v>
      </c>
      <c r="C375" t="inlineStr">
        <is>
          <t>Single</t>
        </is>
      </c>
      <c r="D375" t="inlineStr">
        <is>
          <t>Sec1250_Max_Rate</t>
        </is>
      </c>
      <c r="E375" t="n">
        <v>0.25</v>
      </c>
    </row>
    <row r="376">
      <c r="B376" s="21" t="n">
        <v>2024</v>
      </c>
      <c r="C376" t="inlineStr">
        <is>
          <t>HOH</t>
        </is>
      </c>
      <c r="D376" t="inlineStr">
        <is>
          <t>Sec1250_Max_Rate</t>
        </is>
      </c>
      <c r="E376" t="n">
        <v>0.25</v>
      </c>
    </row>
    <row r="377">
      <c r="B377" s="21" t="n">
        <v>2024</v>
      </c>
      <c r="C377" t="inlineStr">
        <is>
          <t>MFS</t>
        </is>
      </c>
      <c r="D377" t="inlineStr">
        <is>
          <t>Sec1250_Max_Rate</t>
        </is>
      </c>
      <c r="E377" t="n">
        <v>0.25</v>
      </c>
    </row>
    <row r="378">
      <c r="B378" s="21" t="n">
        <v>2024</v>
      </c>
      <c r="C378" t="inlineStr">
        <is>
          <t>MFJ</t>
        </is>
      </c>
      <c r="D378" t="inlineStr">
        <is>
          <t>EBL_Limit</t>
        </is>
      </c>
      <c r="E378" t="n">
        <v>626000</v>
      </c>
    </row>
    <row r="379">
      <c r="B379" s="21" t="n">
        <v>2024</v>
      </c>
      <c r="C379" t="inlineStr">
        <is>
          <t>Single</t>
        </is>
      </c>
      <c r="D379" t="inlineStr">
        <is>
          <t>EBL_Limit</t>
        </is>
      </c>
      <c r="E379" t="n">
        <v>313000</v>
      </c>
    </row>
    <row r="380">
      <c r="B380" s="21" t="n">
        <v>2024</v>
      </c>
      <c r="C380" t="inlineStr">
        <is>
          <t>HOH</t>
        </is>
      </c>
      <c r="D380" t="inlineStr">
        <is>
          <t>EBL_Limit</t>
        </is>
      </c>
      <c r="E380" t="n">
        <v>313000</v>
      </c>
    </row>
    <row r="381">
      <c r="B381" s="21" t="n">
        <v>2024</v>
      </c>
      <c r="C381" t="inlineStr">
        <is>
          <t>MFS</t>
        </is>
      </c>
      <c r="D381" t="inlineStr">
        <is>
          <t>EBL_Limit</t>
        </is>
      </c>
      <c r="E381" t="n">
        <v>313000</v>
      </c>
    </row>
    <row r="382">
      <c r="B382" s="21" t="n">
        <v>2025</v>
      </c>
      <c r="C382" t="inlineStr">
        <is>
          <t>MFJ</t>
        </is>
      </c>
      <c r="D382" t="inlineStr">
        <is>
          <t>NIIT_Threshold</t>
        </is>
      </c>
      <c r="E382" t="n">
        <v>250000</v>
      </c>
    </row>
    <row r="383">
      <c r="B383" s="21" t="n">
        <v>2025</v>
      </c>
      <c r="C383" t="inlineStr">
        <is>
          <t>Single</t>
        </is>
      </c>
      <c r="D383" t="inlineStr">
        <is>
          <t>NIIT_Threshold</t>
        </is>
      </c>
      <c r="E383" t="n">
        <v>200000</v>
      </c>
    </row>
    <row r="384">
      <c r="B384" s="21" t="n">
        <v>2025</v>
      </c>
      <c r="C384" t="inlineStr">
        <is>
          <t>HOH</t>
        </is>
      </c>
      <c r="D384" t="inlineStr">
        <is>
          <t>NIIT_Threshold</t>
        </is>
      </c>
      <c r="E384" t="n">
        <v>200000</v>
      </c>
    </row>
    <row r="385">
      <c r="B385" s="21" t="n">
        <v>2025</v>
      </c>
      <c r="C385" t="inlineStr">
        <is>
          <t>MFS</t>
        </is>
      </c>
      <c r="D385" t="inlineStr">
        <is>
          <t>NIIT_Threshold</t>
        </is>
      </c>
      <c r="E385" t="n">
        <v>125000</v>
      </c>
    </row>
    <row r="386">
      <c r="B386" s="21" t="n">
        <v>2025</v>
      </c>
      <c r="C386" t="inlineStr">
        <is>
          <t>MFJ</t>
        </is>
      </c>
      <c r="D386" t="inlineStr">
        <is>
          <t>NIIT_Rate</t>
        </is>
      </c>
      <c r="E386" t="n">
        <v>0.038</v>
      </c>
    </row>
    <row r="387">
      <c r="B387" s="21" t="n">
        <v>2025</v>
      </c>
      <c r="C387" t="inlineStr">
        <is>
          <t>Single</t>
        </is>
      </c>
      <c r="D387" t="inlineStr">
        <is>
          <t>NIIT_Rate</t>
        </is>
      </c>
      <c r="E387" t="n">
        <v>0.038</v>
      </c>
    </row>
    <row r="388">
      <c r="B388" s="21" t="n">
        <v>2025</v>
      </c>
      <c r="C388" t="inlineStr">
        <is>
          <t>HOH</t>
        </is>
      </c>
      <c r="D388" t="inlineStr">
        <is>
          <t>NIIT_Rate</t>
        </is>
      </c>
      <c r="E388" t="n">
        <v>0.038</v>
      </c>
    </row>
    <row r="389">
      <c r="B389" s="21" t="n">
        <v>2025</v>
      </c>
      <c r="C389" t="inlineStr">
        <is>
          <t>MFS</t>
        </is>
      </c>
      <c r="D389" t="inlineStr">
        <is>
          <t>NIIT_Rate</t>
        </is>
      </c>
      <c r="E389" t="n">
        <v>0.038</v>
      </c>
    </row>
    <row r="390">
      <c r="B390" s="21" t="n">
        <v>2025</v>
      </c>
      <c r="C390" t="inlineStr">
        <is>
          <t>MFJ</t>
        </is>
      </c>
      <c r="D390" t="inlineStr">
        <is>
          <t>QBI_Threshold_Start</t>
        </is>
      </c>
      <c r="E390" t="n">
        <v>394600</v>
      </c>
    </row>
    <row r="391">
      <c r="B391" s="21" t="n">
        <v>2025</v>
      </c>
      <c r="C391" t="inlineStr">
        <is>
          <t>Single</t>
        </is>
      </c>
      <c r="D391" t="inlineStr">
        <is>
          <t>QBI_Threshold_Start</t>
        </is>
      </c>
      <c r="E391" t="n">
        <v>197300</v>
      </c>
    </row>
    <row r="392">
      <c r="B392" s="21" t="n">
        <v>2025</v>
      </c>
      <c r="C392" t="inlineStr">
        <is>
          <t>HOH</t>
        </is>
      </c>
      <c r="D392" t="inlineStr">
        <is>
          <t>QBI_Threshold_Start</t>
        </is>
      </c>
      <c r="E392" t="n">
        <v>197300</v>
      </c>
    </row>
    <row r="393">
      <c r="B393" s="21" t="n">
        <v>2025</v>
      </c>
      <c r="C393" t="inlineStr">
        <is>
          <t>MFS</t>
        </is>
      </c>
      <c r="D393" t="inlineStr">
        <is>
          <t>QBI_Threshold_Start</t>
        </is>
      </c>
      <c r="E393" t="n">
        <v>197300</v>
      </c>
    </row>
    <row r="394">
      <c r="B394" s="21" t="n">
        <v>2025</v>
      </c>
      <c r="C394" t="inlineStr">
        <is>
          <t>MFJ</t>
        </is>
      </c>
      <c r="D394" t="inlineStr">
        <is>
          <t>QBI_Threshold_End</t>
        </is>
      </c>
      <c r="E394" t="n">
        <v>494600</v>
      </c>
    </row>
    <row r="395">
      <c r="B395" s="21" t="n">
        <v>2025</v>
      </c>
      <c r="C395" t="inlineStr">
        <is>
          <t>Single</t>
        </is>
      </c>
      <c r="D395" t="inlineStr">
        <is>
          <t>QBI_Threshold_End</t>
        </is>
      </c>
      <c r="E395" t="n">
        <v>247300</v>
      </c>
    </row>
    <row r="396">
      <c r="B396" s="21" t="n">
        <v>2025</v>
      </c>
      <c r="C396" t="inlineStr">
        <is>
          <t>HOH</t>
        </is>
      </c>
      <c r="D396" t="inlineStr">
        <is>
          <t>QBI_Threshold_End</t>
        </is>
      </c>
      <c r="E396" t="n">
        <v>247300</v>
      </c>
    </row>
    <row r="397">
      <c r="B397" s="21" t="n">
        <v>2025</v>
      </c>
      <c r="C397" t="inlineStr">
        <is>
          <t>MFS</t>
        </is>
      </c>
      <c r="D397" t="inlineStr">
        <is>
          <t>QBI_Threshold_End</t>
        </is>
      </c>
      <c r="E397" t="n">
        <v>247300</v>
      </c>
    </row>
    <row r="398">
      <c r="B398" s="21" t="n">
        <v>2025</v>
      </c>
      <c r="C398" t="inlineStr">
        <is>
          <t>MFJ</t>
        </is>
      </c>
      <c r="D398" t="inlineStr">
        <is>
          <t>SS_Wage_Base</t>
        </is>
      </c>
      <c r="E398" t="n">
        <v>176100</v>
      </c>
    </row>
    <row r="399">
      <c r="B399" s="21" t="n">
        <v>2025</v>
      </c>
      <c r="C399" t="inlineStr">
        <is>
          <t>Single</t>
        </is>
      </c>
      <c r="D399" t="inlineStr">
        <is>
          <t>SS_Wage_Base</t>
        </is>
      </c>
      <c r="E399" t="n">
        <v>176100</v>
      </c>
    </row>
    <row r="400">
      <c r="B400" s="21" t="n">
        <v>2025</v>
      </c>
      <c r="C400" t="inlineStr">
        <is>
          <t>HOH</t>
        </is>
      </c>
      <c r="D400" t="inlineStr">
        <is>
          <t>SS_Wage_Base</t>
        </is>
      </c>
      <c r="E400" t="n">
        <v>176100</v>
      </c>
    </row>
    <row r="401">
      <c r="B401" s="21" t="n">
        <v>2025</v>
      </c>
      <c r="C401" t="inlineStr">
        <is>
          <t>MFS</t>
        </is>
      </c>
      <c r="D401" t="inlineStr">
        <is>
          <t>SS_Wage_Base</t>
        </is>
      </c>
      <c r="E401" t="n">
        <v>176100</v>
      </c>
    </row>
    <row r="402">
      <c r="B402" s="21" t="n">
        <v>2025</v>
      </c>
      <c r="C402" t="inlineStr">
        <is>
          <t>MFJ</t>
        </is>
      </c>
      <c r="D402" t="inlineStr">
        <is>
          <t>SS_Rate_Combined</t>
        </is>
      </c>
      <c r="E402" t="n">
        <v>0.124</v>
      </c>
    </row>
    <row r="403">
      <c r="B403" s="21" t="n">
        <v>2025</v>
      </c>
      <c r="C403" t="inlineStr">
        <is>
          <t>Single</t>
        </is>
      </c>
      <c r="D403" t="inlineStr">
        <is>
          <t>SS_Rate_Combined</t>
        </is>
      </c>
      <c r="E403" t="n">
        <v>0.124</v>
      </c>
    </row>
    <row r="404">
      <c r="B404" s="21" t="n">
        <v>2025</v>
      </c>
      <c r="C404" t="inlineStr">
        <is>
          <t>HOH</t>
        </is>
      </c>
      <c r="D404" t="inlineStr">
        <is>
          <t>SS_Rate_Combined</t>
        </is>
      </c>
      <c r="E404" t="n">
        <v>0.124</v>
      </c>
    </row>
    <row r="405">
      <c r="B405" s="21" t="n">
        <v>2025</v>
      </c>
      <c r="C405" t="inlineStr">
        <is>
          <t>MFS</t>
        </is>
      </c>
      <c r="D405" t="inlineStr">
        <is>
          <t>SS_Rate_Combined</t>
        </is>
      </c>
      <c r="E405" t="n">
        <v>0.124</v>
      </c>
    </row>
    <row r="406">
      <c r="B406" s="21" t="n">
        <v>2025</v>
      </c>
      <c r="C406" t="inlineStr">
        <is>
          <t>MFJ</t>
        </is>
      </c>
      <c r="D406" t="inlineStr">
        <is>
          <t>Medicare_Rate_Combined</t>
        </is>
      </c>
      <c r="E406" t="n">
        <v>0.029</v>
      </c>
    </row>
    <row r="407">
      <c r="B407" s="21" t="n">
        <v>2025</v>
      </c>
      <c r="C407" t="inlineStr">
        <is>
          <t>Single</t>
        </is>
      </c>
      <c r="D407" t="inlineStr">
        <is>
          <t>Medicare_Rate_Combined</t>
        </is>
      </c>
      <c r="E407" t="n">
        <v>0.029</v>
      </c>
    </row>
    <row r="408">
      <c r="B408" s="21" t="n">
        <v>2025</v>
      </c>
      <c r="C408" t="inlineStr">
        <is>
          <t>HOH</t>
        </is>
      </c>
      <c r="D408" t="inlineStr">
        <is>
          <t>Medicare_Rate_Combined</t>
        </is>
      </c>
      <c r="E408" t="n">
        <v>0.029</v>
      </c>
    </row>
    <row r="409">
      <c r="B409" s="21" t="n">
        <v>2025</v>
      </c>
      <c r="C409" t="inlineStr">
        <is>
          <t>MFS</t>
        </is>
      </c>
      <c r="D409" t="inlineStr">
        <is>
          <t>Medicare_Rate_Combined</t>
        </is>
      </c>
      <c r="E409" t="n">
        <v>0.029</v>
      </c>
    </row>
    <row r="410">
      <c r="B410" s="21" t="n">
        <v>2025</v>
      </c>
      <c r="C410" t="inlineStr">
        <is>
          <t>MFJ</t>
        </is>
      </c>
      <c r="D410" t="inlineStr">
        <is>
          <t>SE_Earnings_Factor</t>
        </is>
      </c>
      <c r="E410" t="n">
        <v>0.9235</v>
      </c>
    </row>
    <row r="411">
      <c r="B411" s="21" t="n">
        <v>2025</v>
      </c>
      <c r="C411" t="inlineStr">
        <is>
          <t>Single</t>
        </is>
      </c>
      <c r="D411" t="inlineStr">
        <is>
          <t>SE_Earnings_Factor</t>
        </is>
      </c>
      <c r="E411" t="n">
        <v>0.9235</v>
      </c>
    </row>
    <row r="412">
      <c r="B412" s="21" t="n">
        <v>2025</v>
      </c>
      <c r="C412" t="inlineStr">
        <is>
          <t>HOH</t>
        </is>
      </c>
      <c r="D412" t="inlineStr">
        <is>
          <t>SE_Earnings_Factor</t>
        </is>
      </c>
      <c r="E412" t="n">
        <v>0.9235</v>
      </c>
    </row>
    <row r="413">
      <c r="B413" s="21" t="n">
        <v>2025</v>
      </c>
      <c r="C413" t="inlineStr">
        <is>
          <t>MFS</t>
        </is>
      </c>
      <c r="D413" t="inlineStr">
        <is>
          <t>SE_Earnings_Factor</t>
        </is>
      </c>
      <c r="E413" t="n">
        <v>0.9235</v>
      </c>
    </row>
    <row r="414">
      <c r="B414" s="21" t="n">
        <v>2025</v>
      </c>
      <c r="C414" t="inlineStr">
        <is>
          <t>MFJ</t>
        </is>
      </c>
      <c r="D414" t="inlineStr">
        <is>
          <t>Addl_Medicare_Rate</t>
        </is>
      </c>
      <c r="E414" t="n">
        <v>0.008999999999999999</v>
      </c>
    </row>
    <row r="415">
      <c r="B415" s="21" t="n">
        <v>2025</v>
      </c>
      <c r="C415" t="inlineStr">
        <is>
          <t>Single</t>
        </is>
      </c>
      <c r="D415" t="inlineStr">
        <is>
          <t>Addl_Medicare_Rate</t>
        </is>
      </c>
      <c r="E415" t="n">
        <v>0.008999999999999999</v>
      </c>
    </row>
    <row r="416">
      <c r="B416" s="21" t="n">
        <v>2025</v>
      </c>
      <c r="C416" t="inlineStr">
        <is>
          <t>HOH</t>
        </is>
      </c>
      <c r="D416" t="inlineStr">
        <is>
          <t>Addl_Medicare_Rate</t>
        </is>
      </c>
      <c r="E416" t="n">
        <v>0.008999999999999999</v>
      </c>
    </row>
    <row r="417">
      <c r="B417" s="21" t="n">
        <v>2025</v>
      </c>
      <c r="C417" t="inlineStr">
        <is>
          <t>MFS</t>
        </is>
      </c>
      <c r="D417" t="inlineStr">
        <is>
          <t>Addl_Medicare_Rate</t>
        </is>
      </c>
      <c r="E417" t="n">
        <v>0.008999999999999999</v>
      </c>
    </row>
    <row r="418">
      <c r="B418" s="21" t="n">
        <v>2025</v>
      </c>
      <c r="C418" t="inlineStr">
        <is>
          <t>MFJ</t>
        </is>
      </c>
      <c r="D418" t="inlineStr">
        <is>
          <t>Addl_Medicare_Threshold</t>
        </is>
      </c>
      <c r="E418" t="n">
        <v>250000</v>
      </c>
    </row>
    <row r="419">
      <c r="B419" s="21" t="n">
        <v>2025</v>
      </c>
      <c r="C419" t="inlineStr">
        <is>
          <t>Single</t>
        </is>
      </c>
      <c r="D419" t="inlineStr">
        <is>
          <t>Addl_Medicare_Threshold</t>
        </is>
      </c>
      <c r="E419" t="n">
        <v>200000</v>
      </c>
    </row>
    <row r="420">
      <c r="B420" s="21" t="n">
        <v>2025</v>
      </c>
      <c r="C420" t="inlineStr">
        <is>
          <t>HOH</t>
        </is>
      </c>
      <c r="D420" t="inlineStr">
        <is>
          <t>Addl_Medicare_Threshold</t>
        </is>
      </c>
      <c r="E420" t="n">
        <v>200000</v>
      </c>
    </row>
    <row r="421">
      <c r="B421" s="21" t="n">
        <v>2025</v>
      </c>
      <c r="C421" t="inlineStr">
        <is>
          <t>MFS</t>
        </is>
      </c>
      <c r="D421" t="inlineStr">
        <is>
          <t>Addl_Medicare_Threshold</t>
        </is>
      </c>
      <c r="E421" t="n">
        <v>125000</v>
      </c>
    </row>
    <row r="422">
      <c r="B422" s="21" t="n">
        <v>2025</v>
      </c>
      <c r="C422" t="inlineStr">
        <is>
          <t>MFJ</t>
        </is>
      </c>
      <c r="D422" t="inlineStr">
        <is>
          <t>Sec1250_Max_Rate</t>
        </is>
      </c>
      <c r="E422" t="n">
        <v>0.25</v>
      </c>
    </row>
    <row r="423">
      <c r="B423" s="21" t="n">
        <v>2025</v>
      </c>
      <c r="C423" t="inlineStr">
        <is>
          <t>Single</t>
        </is>
      </c>
      <c r="D423" t="inlineStr">
        <is>
          <t>Sec1250_Max_Rate</t>
        </is>
      </c>
      <c r="E423" t="n">
        <v>0.25</v>
      </c>
    </row>
    <row r="424">
      <c r="B424" s="21" t="n">
        <v>2025</v>
      </c>
      <c r="C424" t="inlineStr">
        <is>
          <t>HOH</t>
        </is>
      </c>
      <c r="D424" t="inlineStr">
        <is>
          <t>Sec1250_Max_Rate</t>
        </is>
      </c>
      <c r="E424" t="n">
        <v>0.25</v>
      </c>
    </row>
    <row r="425">
      <c r="B425" s="21" t="n">
        <v>2025</v>
      </c>
      <c r="C425" t="inlineStr">
        <is>
          <t>MFS</t>
        </is>
      </c>
      <c r="D425" t="inlineStr">
        <is>
          <t>Sec1250_Max_Rate</t>
        </is>
      </c>
      <c r="E425" t="n">
        <v>0.25</v>
      </c>
    </row>
    <row r="426">
      <c r="B426" s="21" t="n">
        <v>2025</v>
      </c>
      <c r="C426" t="inlineStr">
        <is>
          <t>MFJ</t>
        </is>
      </c>
      <c r="D426" t="inlineStr">
        <is>
          <t>EBL_Limit</t>
        </is>
      </c>
      <c r="E426" t="n">
        <v>626000</v>
      </c>
    </row>
    <row r="427">
      <c r="B427" s="21" t="n">
        <v>2025</v>
      </c>
      <c r="C427" t="inlineStr">
        <is>
          <t>Single</t>
        </is>
      </c>
      <c r="D427" t="inlineStr">
        <is>
          <t>EBL_Limit</t>
        </is>
      </c>
      <c r="E427" t="n">
        <v>313000</v>
      </c>
    </row>
    <row r="428">
      <c r="B428" s="21" t="n">
        <v>2025</v>
      </c>
      <c r="C428" t="inlineStr">
        <is>
          <t>HOH</t>
        </is>
      </c>
      <c r="D428" t="inlineStr">
        <is>
          <t>EBL_Limit</t>
        </is>
      </c>
      <c r="E428" t="n">
        <v>313000</v>
      </c>
    </row>
    <row r="429">
      <c r="B429" s="21" t="n">
        <v>2025</v>
      </c>
      <c r="C429" t="inlineStr">
        <is>
          <t>MFS</t>
        </is>
      </c>
      <c r="D429" t="inlineStr">
        <is>
          <t>EBL_Limit</t>
        </is>
      </c>
      <c r="E429" t="n">
        <v>313000</v>
      </c>
    </row>
    <row r="430">
      <c r="B430" s="21" t="n">
        <v>2026</v>
      </c>
      <c r="C430" t="inlineStr">
        <is>
          <t>MFJ</t>
        </is>
      </c>
      <c r="D430" t="inlineStr">
        <is>
          <t>NIIT_Threshold</t>
        </is>
      </c>
      <c r="E430" t="n">
        <v>250000</v>
      </c>
    </row>
    <row r="431">
      <c r="B431" s="21" t="n">
        <v>2026</v>
      </c>
      <c r="C431" t="inlineStr">
        <is>
          <t>Single</t>
        </is>
      </c>
      <c r="D431" t="inlineStr">
        <is>
          <t>NIIT_Threshold</t>
        </is>
      </c>
      <c r="E431" t="n">
        <v>200000</v>
      </c>
    </row>
    <row r="432">
      <c r="B432" s="21" t="n">
        <v>2026</v>
      </c>
      <c r="C432" t="inlineStr">
        <is>
          <t>HOH</t>
        </is>
      </c>
      <c r="D432" t="inlineStr">
        <is>
          <t>NIIT_Threshold</t>
        </is>
      </c>
      <c r="E432" t="n">
        <v>200000</v>
      </c>
    </row>
    <row r="433">
      <c r="B433" s="21" t="n">
        <v>2026</v>
      </c>
      <c r="C433" t="inlineStr">
        <is>
          <t>MFS</t>
        </is>
      </c>
      <c r="D433" t="inlineStr">
        <is>
          <t>NIIT_Threshold</t>
        </is>
      </c>
      <c r="E433" t="n">
        <v>125000</v>
      </c>
    </row>
    <row r="434">
      <c r="B434" s="21" t="n">
        <v>2026</v>
      </c>
      <c r="C434" t="inlineStr">
        <is>
          <t>MFJ</t>
        </is>
      </c>
      <c r="D434" t="inlineStr">
        <is>
          <t>NIIT_Rate</t>
        </is>
      </c>
      <c r="E434" t="n">
        <v>0.038</v>
      </c>
    </row>
    <row r="435">
      <c r="B435" s="21" t="n">
        <v>2026</v>
      </c>
      <c r="C435" t="inlineStr">
        <is>
          <t>Single</t>
        </is>
      </c>
      <c r="D435" t="inlineStr">
        <is>
          <t>NIIT_Rate</t>
        </is>
      </c>
      <c r="E435" t="n">
        <v>0.038</v>
      </c>
    </row>
    <row r="436">
      <c r="B436" s="21" t="n">
        <v>2026</v>
      </c>
      <c r="C436" t="inlineStr">
        <is>
          <t>HOH</t>
        </is>
      </c>
      <c r="D436" t="inlineStr">
        <is>
          <t>NIIT_Rate</t>
        </is>
      </c>
      <c r="E436" t="n">
        <v>0.038</v>
      </c>
    </row>
    <row r="437">
      <c r="B437" s="21" t="n">
        <v>2026</v>
      </c>
      <c r="C437" t="inlineStr">
        <is>
          <t>MFS</t>
        </is>
      </c>
      <c r="D437" t="inlineStr">
        <is>
          <t>NIIT_Rate</t>
        </is>
      </c>
      <c r="E437" t="n">
        <v>0.038</v>
      </c>
    </row>
    <row r="438">
      <c r="B438" s="21" t="n">
        <v>2026</v>
      </c>
      <c r="C438" t="inlineStr">
        <is>
          <t>MFJ</t>
        </is>
      </c>
      <c r="D438" t="inlineStr">
        <is>
          <t>QBI_Threshold_Start</t>
        </is>
      </c>
      <c r="E438" t="n">
        <v>394600</v>
      </c>
    </row>
    <row r="439">
      <c r="B439" s="21" t="n">
        <v>2026</v>
      </c>
      <c r="C439" t="inlineStr">
        <is>
          <t>Single</t>
        </is>
      </c>
      <c r="D439" t="inlineStr">
        <is>
          <t>QBI_Threshold_Start</t>
        </is>
      </c>
      <c r="E439" t="n">
        <v>197300</v>
      </c>
    </row>
    <row r="440">
      <c r="B440" s="21" t="n">
        <v>2026</v>
      </c>
      <c r="C440" t="inlineStr">
        <is>
          <t>HOH</t>
        </is>
      </c>
      <c r="D440" t="inlineStr">
        <is>
          <t>QBI_Threshold_Start</t>
        </is>
      </c>
      <c r="E440" t="n">
        <v>197300</v>
      </c>
    </row>
    <row r="441">
      <c r="B441" s="21" t="n">
        <v>2026</v>
      </c>
      <c r="C441" t="inlineStr">
        <is>
          <t>MFS</t>
        </is>
      </c>
      <c r="D441" t="inlineStr">
        <is>
          <t>QBI_Threshold_Start</t>
        </is>
      </c>
      <c r="E441" t="n">
        <v>197300</v>
      </c>
    </row>
    <row r="442">
      <c r="B442" s="21" t="n">
        <v>2026</v>
      </c>
      <c r="C442" t="inlineStr">
        <is>
          <t>MFJ</t>
        </is>
      </c>
      <c r="D442" t="inlineStr">
        <is>
          <t>QBI_Threshold_End</t>
        </is>
      </c>
      <c r="E442" t="n">
        <v>494600</v>
      </c>
    </row>
    <row r="443">
      <c r="B443" s="21" t="n">
        <v>2026</v>
      </c>
      <c r="C443" t="inlineStr">
        <is>
          <t>Single</t>
        </is>
      </c>
      <c r="D443" t="inlineStr">
        <is>
          <t>QBI_Threshold_End</t>
        </is>
      </c>
      <c r="E443" t="n">
        <v>247300</v>
      </c>
    </row>
    <row r="444">
      <c r="B444" s="21" t="n">
        <v>2026</v>
      </c>
      <c r="C444" t="inlineStr">
        <is>
          <t>HOH</t>
        </is>
      </c>
      <c r="D444" t="inlineStr">
        <is>
          <t>QBI_Threshold_End</t>
        </is>
      </c>
      <c r="E444" t="n">
        <v>247300</v>
      </c>
    </row>
    <row r="445">
      <c r="B445" s="21" t="n">
        <v>2026</v>
      </c>
      <c r="C445" t="inlineStr">
        <is>
          <t>MFS</t>
        </is>
      </c>
      <c r="D445" t="inlineStr">
        <is>
          <t>QBI_Threshold_End</t>
        </is>
      </c>
      <c r="E445" t="n">
        <v>247300</v>
      </c>
    </row>
    <row r="446">
      <c r="B446" s="21" t="n">
        <v>2026</v>
      </c>
      <c r="C446" t="inlineStr">
        <is>
          <t>MFJ</t>
        </is>
      </c>
      <c r="D446" t="inlineStr">
        <is>
          <t>SS_Wage_Base</t>
        </is>
      </c>
      <c r="E446" t="n">
        <v>176100</v>
      </c>
    </row>
    <row r="447">
      <c r="B447" s="21" t="n">
        <v>2026</v>
      </c>
      <c r="C447" t="inlineStr">
        <is>
          <t>Single</t>
        </is>
      </c>
      <c r="D447" t="inlineStr">
        <is>
          <t>SS_Wage_Base</t>
        </is>
      </c>
      <c r="E447" t="n">
        <v>176100</v>
      </c>
    </row>
    <row r="448">
      <c r="B448" s="21" t="n">
        <v>2026</v>
      </c>
      <c r="C448" t="inlineStr">
        <is>
          <t>HOH</t>
        </is>
      </c>
      <c r="D448" t="inlineStr">
        <is>
          <t>SS_Wage_Base</t>
        </is>
      </c>
      <c r="E448" t="n">
        <v>176100</v>
      </c>
    </row>
    <row r="449">
      <c r="B449" s="21" t="n">
        <v>2026</v>
      </c>
      <c r="C449" t="inlineStr">
        <is>
          <t>MFS</t>
        </is>
      </c>
      <c r="D449" t="inlineStr">
        <is>
          <t>SS_Wage_Base</t>
        </is>
      </c>
      <c r="E449" t="n">
        <v>176100</v>
      </c>
    </row>
    <row r="450">
      <c r="B450" s="21" t="n">
        <v>2026</v>
      </c>
      <c r="C450" t="inlineStr">
        <is>
          <t>MFJ</t>
        </is>
      </c>
      <c r="D450" t="inlineStr">
        <is>
          <t>SS_Rate_Combined</t>
        </is>
      </c>
      <c r="E450" t="n">
        <v>0.124</v>
      </c>
    </row>
    <row r="451">
      <c r="B451" s="21" t="n">
        <v>2026</v>
      </c>
      <c r="C451" t="inlineStr">
        <is>
          <t>Single</t>
        </is>
      </c>
      <c r="D451" t="inlineStr">
        <is>
          <t>SS_Rate_Combined</t>
        </is>
      </c>
      <c r="E451" t="n">
        <v>0.124</v>
      </c>
    </row>
    <row r="452">
      <c r="B452" s="21" t="n">
        <v>2026</v>
      </c>
      <c r="C452" t="inlineStr">
        <is>
          <t>HOH</t>
        </is>
      </c>
      <c r="D452" t="inlineStr">
        <is>
          <t>SS_Rate_Combined</t>
        </is>
      </c>
      <c r="E452" t="n">
        <v>0.124</v>
      </c>
    </row>
    <row r="453">
      <c r="B453" s="21" t="n">
        <v>2026</v>
      </c>
      <c r="C453" t="inlineStr">
        <is>
          <t>MFS</t>
        </is>
      </c>
      <c r="D453" t="inlineStr">
        <is>
          <t>SS_Rate_Combined</t>
        </is>
      </c>
      <c r="E453" t="n">
        <v>0.124</v>
      </c>
    </row>
    <row r="454">
      <c r="B454" s="21" t="n">
        <v>2026</v>
      </c>
      <c r="C454" t="inlineStr">
        <is>
          <t>MFJ</t>
        </is>
      </c>
      <c r="D454" t="inlineStr">
        <is>
          <t>Medicare_Rate_Combined</t>
        </is>
      </c>
      <c r="E454" t="n">
        <v>0.029</v>
      </c>
    </row>
    <row r="455">
      <c r="B455" s="21" t="n">
        <v>2026</v>
      </c>
      <c r="C455" t="inlineStr">
        <is>
          <t>Single</t>
        </is>
      </c>
      <c r="D455" t="inlineStr">
        <is>
          <t>Medicare_Rate_Combined</t>
        </is>
      </c>
      <c r="E455" t="n">
        <v>0.029</v>
      </c>
    </row>
    <row r="456">
      <c r="B456" s="21" t="n">
        <v>2026</v>
      </c>
      <c r="C456" t="inlineStr">
        <is>
          <t>HOH</t>
        </is>
      </c>
      <c r="D456" t="inlineStr">
        <is>
          <t>Medicare_Rate_Combined</t>
        </is>
      </c>
      <c r="E456" t="n">
        <v>0.029</v>
      </c>
    </row>
    <row r="457">
      <c r="B457" s="21" t="n">
        <v>2026</v>
      </c>
      <c r="C457" t="inlineStr">
        <is>
          <t>MFS</t>
        </is>
      </c>
      <c r="D457" t="inlineStr">
        <is>
          <t>Medicare_Rate_Combined</t>
        </is>
      </c>
      <c r="E457" t="n">
        <v>0.029</v>
      </c>
    </row>
    <row r="458">
      <c r="B458" s="21" t="n">
        <v>2026</v>
      </c>
      <c r="C458" t="inlineStr">
        <is>
          <t>MFJ</t>
        </is>
      </c>
      <c r="D458" t="inlineStr">
        <is>
          <t>SE_Earnings_Factor</t>
        </is>
      </c>
      <c r="E458" t="n">
        <v>0.9235</v>
      </c>
    </row>
    <row r="459">
      <c r="B459" s="21" t="n">
        <v>2026</v>
      </c>
      <c r="C459" t="inlineStr">
        <is>
          <t>Single</t>
        </is>
      </c>
      <c r="D459" t="inlineStr">
        <is>
          <t>SE_Earnings_Factor</t>
        </is>
      </c>
      <c r="E459" t="n">
        <v>0.9235</v>
      </c>
    </row>
    <row r="460">
      <c r="B460" s="21" t="n">
        <v>2026</v>
      </c>
      <c r="C460" t="inlineStr">
        <is>
          <t>HOH</t>
        </is>
      </c>
      <c r="D460" t="inlineStr">
        <is>
          <t>SE_Earnings_Factor</t>
        </is>
      </c>
      <c r="E460" t="n">
        <v>0.9235</v>
      </c>
    </row>
    <row r="461">
      <c r="B461" s="21" t="n">
        <v>2026</v>
      </c>
      <c r="C461" t="inlineStr">
        <is>
          <t>MFS</t>
        </is>
      </c>
      <c r="D461" t="inlineStr">
        <is>
          <t>SE_Earnings_Factor</t>
        </is>
      </c>
      <c r="E461" t="n">
        <v>0.9235</v>
      </c>
    </row>
    <row r="462">
      <c r="B462" s="21" t="n">
        <v>2026</v>
      </c>
      <c r="C462" t="inlineStr">
        <is>
          <t>MFJ</t>
        </is>
      </c>
      <c r="D462" t="inlineStr">
        <is>
          <t>Addl_Medicare_Rate</t>
        </is>
      </c>
      <c r="E462" t="n">
        <v>0.008999999999999999</v>
      </c>
    </row>
    <row r="463">
      <c r="B463" s="21" t="n">
        <v>2026</v>
      </c>
      <c r="C463" t="inlineStr">
        <is>
          <t>Single</t>
        </is>
      </c>
      <c r="D463" t="inlineStr">
        <is>
          <t>Addl_Medicare_Rate</t>
        </is>
      </c>
      <c r="E463" t="n">
        <v>0.008999999999999999</v>
      </c>
    </row>
    <row r="464">
      <c r="B464" s="21" t="n">
        <v>2026</v>
      </c>
      <c r="C464" t="inlineStr">
        <is>
          <t>HOH</t>
        </is>
      </c>
      <c r="D464" t="inlineStr">
        <is>
          <t>Addl_Medicare_Rate</t>
        </is>
      </c>
      <c r="E464" t="n">
        <v>0.008999999999999999</v>
      </c>
    </row>
    <row r="465">
      <c r="B465" s="21" t="n">
        <v>2026</v>
      </c>
      <c r="C465" t="inlineStr">
        <is>
          <t>MFS</t>
        </is>
      </c>
      <c r="D465" t="inlineStr">
        <is>
          <t>Addl_Medicare_Rate</t>
        </is>
      </c>
      <c r="E465" t="n">
        <v>0.008999999999999999</v>
      </c>
    </row>
    <row r="466">
      <c r="B466" s="21" t="n">
        <v>2026</v>
      </c>
      <c r="C466" t="inlineStr">
        <is>
          <t>MFJ</t>
        </is>
      </c>
      <c r="D466" t="inlineStr">
        <is>
          <t>Addl_Medicare_Threshold</t>
        </is>
      </c>
      <c r="E466" t="n">
        <v>250000</v>
      </c>
    </row>
    <row r="467">
      <c r="B467" s="21" t="n">
        <v>2026</v>
      </c>
      <c r="C467" t="inlineStr">
        <is>
          <t>Single</t>
        </is>
      </c>
      <c r="D467" t="inlineStr">
        <is>
          <t>Addl_Medicare_Threshold</t>
        </is>
      </c>
      <c r="E467" t="n">
        <v>200000</v>
      </c>
    </row>
    <row r="468">
      <c r="B468" s="21" t="n">
        <v>2026</v>
      </c>
      <c r="C468" t="inlineStr">
        <is>
          <t>HOH</t>
        </is>
      </c>
      <c r="D468" t="inlineStr">
        <is>
          <t>Addl_Medicare_Threshold</t>
        </is>
      </c>
      <c r="E468" t="n">
        <v>200000</v>
      </c>
    </row>
    <row r="469">
      <c r="B469" s="21" t="n">
        <v>2026</v>
      </c>
      <c r="C469" t="inlineStr">
        <is>
          <t>MFS</t>
        </is>
      </c>
      <c r="D469" t="inlineStr">
        <is>
          <t>Addl_Medicare_Threshold</t>
        </is>
      </c>
      <c r="E469" t="n">
        <v>125000</v>
      </c>
    </row>
    <row r="470">
      <c r="B470" s="21" t="n">
        <v>2026</v>
      </c>
      <c r="C470" t="inlineStr">
        <is>
          <t>MFJ</t>
        </is>
      </c>
      <c r="D470" t="inlineStr">
        <is>
          <t>Sec1250_Max_Rate</t>
        </is>
      </c>
      <c r="E470" t="n">
        <v>0.25</v>
      </c>
    </row>
    <row r="471">
      <c r="B471" s="21" t="n">
        <v>2026</v>
      </c>
      <c r="C471" t="inlineStr">
        <is>
          <t>Single</t>
        </is>
      </c>
      <c r="D471" t="inlineStr">
        <is>
          <t>Sec1250_Max_Rate</t>
        </is>
      </c>
      <c r="E471" t="n">
        <v>0.25</v>
      </c>
    </row>
    <row r="472">
      <c r="B472" s="21" t="n">
        <v>2026</v>
      </c>
      <c r="C472" t="inlineStr">
        <is>
          <t>HOH</t>
        </is>
      </c>
      <c r="D472" t="inlineStr">
        <is>
          <t>Sec1250_Max_Rate</t>
        </is>
      </c>
      <c r="E472" t="n">
        <v>0.25</v>
      </c>
    </row>
    <row r="473">
      <c r="B473" s="21" t="n">
        <v>2026</v>
      </c>
      <c r="C473" t="inlineStr">
        <is>
          <t>MFS</t>
        </is>
      </c>
      <c r="D473" t="inlineStr">
        <is>
          <t>Sec1250_Max_Rate</t>
        </is>
      </c>
      <c r="E473" t="n">
        <v>0.25</v>
      </c>
    </row>
    <row r="474">
      <c r="B474" s="21" t="n">
        <v>2026</v>
      </c>
      <c r="C474" t="inlineStr">
        <is>
          <t>MFJ</t>
        </is>
      </c>
      <c r="D474" t="inlineStr">
        <is>
          <t>EBL_Limit</t>
        </is>
      </c>
      <c r="E474" t="n">
        <v>626000</v>
      </c>
    </row>
    <row r="475">
      <c r="B475" s="21" t="n">
        <v>2026</v>
      </c>
      <c r="C475" t="inlineStr">
        <is>
          <t>Single</t>
        </is>
      </c>
      <c r="D475" t="inlineStr">
        <is>
          <t>EBL_Limit</t>
        </is>
      </c>
      <c r="E475" t="n">
        <v>313000</v>
      </c>
    </row>
    <row r="476">
      <c r="B476" s="21" t="n">
        <v>2026</v>
      </c>
      <c r="C476" t="inlineStr">
        <is>
          <t>HOH</t>
        </is>
      </c>
      <c r="D476" t="inlineStr">
        <is>
          <t>EBL_Limit</t>
        </is>
      </c>
      <c r="E476" t="n">
        <v>313000</v>
      </c>
    </row>
    <row r="477">
      <c r="B477" s="21" t="n">
        <v>2026</v>
      </c>
      <c r="C477" t="inlineStr">
        <is>
          <t>MFS</t>
        </is>
      </c>
      <c r="D477" t="inlineStr">
        <is>
          <t>EBL_Limit</t>
        </is>
      </c>
      <c r="E477" t="n">
        <v>313000</v>
      </c>
    </row>
    <row r="478">
      <c r="B478" s="21" t="n">
        <v>2027</v>
      </c>
      <c r="C478" t="inlineStr">
        <is>
          <t>MFJ</t>
        </is>
      </c>
      <c r="D478" t="inlineStr">
        <is>
          <t>NIIT_Threshold</t>
        </is>
      </c>
      <c r="E478" t="n">
        <v>250000</v>
      </c>
    </row>
    <row r="479">
      <c r="B479" s="21" t="n">
        <v>2027</v>
      </c>
      <c r="C479" t="inlineStr">
        <is>
          <t>Single</t>
        </is>
      </c>
      <c r="D479" t="inlineStr">
        <is>
          <t>NIIT_Threshold</t>
        </is>
      </c>
      <c r="E479" t="n">
        <v>200000</v>
      </c>
    </row>
    <row r="480">
      <c r="B480" s="21" t="n">
        <v>2027</v>
      </c>
      <c r="C480" t="inlineStr">
        <is>
          <t>HOH</t>
        </is>
      </c>
      <c r="D480" t="inlineStr">
        <is>
          <t>NIIT_Threshold</t>
        </is>
      </c>
      <c r="E480" t="n">
        <v>200000</v>
      </c>
    </row>
    <row r="481">
      <c r="B481" s="21" t="n">
        <v>2027</v>
      </c>
      <c r="C481" t="inlineStr">
        <is>
          <t>MFS</t>
        </is>
      </c>
      <c r="D481" t="inlineStr">
        <is>
          <t>NIIT_Threshold</t>
        </is>
      </c>
      <c r="E481" t="n">
        <v>125000</v>
      </c>
    </row>
    <row r="482">
      <c r="B482" s="21" t="n">
        <v>2027</v>
      </c>
      <c r="C482" t="inlineStr">
        <is>
          <t>MFJ</t>
        </is>
      </c>
      <c r="D482" t="inlineStr">
        <is>
          <t>NIIT_Rate</t>
        </is>
      </c>
      <c r="E482" t="n">
        <v>0.038</v>
      </c>
    </row>
    <row r="483">
      <c r="B483" s="21" t="n">
        <v>2027</v>
      </c>
      <c r="C483" t="inlineStr">
        <is>
          <t>Single</t>
        </is>
      </c>
      <c r="D483" t="inlineStr">
        <is>
          <t>NIIT_Rate</t>
        </is>
      </c>
      <c r="E483" t="n">
        <v>0.038</v>
      </c>
    </row>
    <row r="484">
      <c r="B484" s="21" t="n">
        <v>2027</v>
      </c>
      <c r="C484" t="inlineStr">
        <is>
          <t>HOH</t>
        </is>
      </c>
      <c r="D484" t="inlineStr">
        <is>
          <t>NIIT_Rate</t>
        </is>
      </c>
      <c r="E484" t="n">
        <v>0.038</v>
      </c>
    </row>
    <row r="485">
      <c r="B485" s="21" t="n">
        <v>2027</v>
      </c>
      <c r="C485" t="inlineStr">
        <is>
          <t>MFS</t>
        </is>
      </c>
      <c r="D485" t="inlineStr">
        <is>
          <t>NIIT_Rate</t>
        </is>
      </c>
      <c r="E485" t="n">
        <v>0.038</v>
      </c>
    </row>
    <row r="486">
      <c r="B486" s="21" t="n">
        <v>2027</v>
      </c>
      <c r="C486" t="inlineStr">
        <is>
          <t>MFJ</t>
        </is>
      </c>
      <c r="D486" t="inlineStr">
        <is>
          <t>QBI_Threshold_Start</t>
        </is>
      </c>
      <c r="E486" t="n">
        <v>394600</v>
      </c>
    </row>
    <row r="487">
      <c r="B487" s="21" t="n">
        <v>2027</v>
      </c>
      <c r="C487" t="inlineStr">
        <is>
          <t>Single</t>
        </is>
      </c>
      <c r="D487" t="inlineStr">
        <is>
          <t>QBI_Threshold_Start</t>
        </is>
      </c>
      <c r="E487" t="n">
        <v>197300</v>
      </c>
    </row>
    <row r="488">
      <c r="B488" s="21" t="n">
        <v>2027</v>
      </c>
      <c r="C488" t="inlineStr">
        <is>
          <t>HOH</t>
        </is>
      </c>
      <c r="D488" t="inlineStr">
        <is>
          <t>QBI_Threshold_Start</t>
        </is>
      </c>
      <c r="E488" t="n">
        <v>197300</v>
      </c>
    </row>
    <row r="489">
      <c r="B489" s="21" t="n">
        <v>2027</v>
      </c>
      <c r="C489" t="inlineStr">
        <is>
          <t>MFS</t>
        </is>
      </c>
      <c r="D489" t="inlineStr">
        <is>
          <t>QBI_Threshold_Start</t>
        </is>
      </c>
      <c r="E489" t="n">
        <v>197300</v>
      </c>
    </row>
    <row r="490">
      <c r="B490" s="21" t="n">
        <v>2027</v>
      </c>
      <c r="C490" t="inlineStr">
        <is>
          <t>MFJ</t>
        </is>
      </c>
      <c r="D490" t="inlineStr">
        <is>
          <t>QBI_Threshold_End</t>
        </is>
      </c>
      <c r="E490" t="n">
        <v>494600</v>
      </c>
    </row>
    <row r="491">
      <c r="B491" s="21" t="n">
        <v>2027</v>
      </c>
      <c r="C491" t="inlineStr">
        <is>
          <t>Single</t>
        </is>
      </c>
      <c r="D491" t="inlineStr">
        <is>
          <t>QBI_Threshold_End</t>
        </is>
      </c>
      <c r="E491" t="n">
        <v>247300</v>
      </c>
    </row>
    <row r="492">
      <c r="B492" s="21" t="n">
        <v>2027</v>
      </c>
      <c r="C492" t="inlineStr">
        <is>
          <t>HOH</t>
        </is>
      </c>
      <c r="D492" t="inlineStr">
        <is>
          <t>QBI_Threshold_End</t>
        </is>
      </c>
      <c r="E492" t="n">
        <v>247300</v>
      </c>
    </row>
    <row r="493">
      <c r="B493" s="21" t="n">
        <v>2027</v>
      </c>
      <c r="C493" t="inlineStr">
        <is>
          <t>MFS</t>
        </is>
      </c>
      <c r="D493" t="inlineStr">
        <is>
          <t>QBI_Threshold_End</t>
        </is>
      </c>
      <c r="E493" t="n">
        <v>247300</v>
      </c>
    </row>
    <row r="494">
      <c r="B494" s="21" t="n">
        <v>2027</v>
      </c>
      <c r="C494" t="inlineStr">
        <is>
          <t>MFJ</t>
        </is>
      </c>
      <c r="D494" t="inlineStr">
        <is>
          <t>SS_Wage_Base</t>
        </is>
      </c>
      <c r="E494" t="n">
        <v>176100</v>
      </c>
    </row>
    <row r="495">
      <c r="B495" s="21" t="n">
        <v>2027</v>
      </c>
      <c r="C495" t="inlineStr">
        <is>
          <t>Single</t>
        </is>
      </c>
      <c r="D495" t="inlineStr">
        <is>
          <t>SS_Wage_Base</t>
        </is>
      </c>
      <c r="E495" t="n">
        <v>176100</v>
      </c>
    </row>
    <row r="496">
      <c r="B496" s="21" t="n">
        <v>2027</v>
      </c>
      <c r="C496" t="inlineStr">
        <is>
          <t>HOH</t>
        </is>
      </c>
      <c r="D496" t="inlineStr">
        <is>
          <t>SS_Wage_Base</t>
        </is>
      </c>
      <c r="E496" t="n">
        <v>176100</v>
      </c>
    </row>
    <row r="497">
      <c r="B497" s="21" t="n">
        <v>2027</v>
      </c>
      <c r="C497" t="inlineStr">
        <is>
          <t>MFS</t>
        </is>
      </c>
      <c r="D497" t="inlineStr">
        <is>
          <t>SS_Wage_Base</t>
        </is>
      </c>
      <c r="E497" t="n">
        <v>176100</v>
      </c>
    </row>
    <row r="498">
      <c r="B498" s="21" t="n">
        <v>2027</v>
      </c>
      <c r="C498" t="inlineStr">
        <is>
          <t>MFJ</t>
        </is>
      </c>
      <c r="D498" t="inlineStr">
        <is>
          <t>SS_Rate_Combined</t>
        </is>
      </c>
      <c r="E498" t="n">
        <v>0.124</v>
      </c>
    </row>
    <row r="499">
      <c r="B499" s="21" t="n">
        <v>2027</v>
      </c>
      <c r="C499" t="inlineStr">
        <is>
          <t>Single</t>
        </is>
      </c>
      <c r="D499" t="inlineStr">
        <is>
          <t>SS_Rate_Combined</t>
        </is>
      </c>
      <c r="E499" t="n">
        <v>0.124</v>
      </c>
    </row>
    <row r="500">
      <c r="B500" s="21" t="n">
        <v>2027</v>
      </c>
      <c r="C500" t="inlineStr">
        <is>
          <t>HOH</t>
        </is>
      </c>
      <c r="D500" t="inlineStr">
        <is>
          <t>SS_Rate_Combined</t>
        </is>
      </c>
      <c r="E500" t="n">
        <v>0.124</v>
      </c>
    </row>
    <row r="501">
      <c r="B501" s="21" t="n">
        <v>2027</v>
      </c>
      <c r="C501" t="inlineStr">
        <is>
          <t>MFS</t>
        </is>
      </c>
      <c r="D501" t="inlineStr">
        <is>
          <t>SS_Rate_Combined</t>
        </is>
      </c>
      <c r="E501" t="n">
        <v>0.124</v>
      </c>
    </row>
    <row r="502">
      <c r="B502" s="21" t="n">
        <v>2027</v>
      </c>
      <c r="C502" t="inlineStr">
        <is>
          <t>MFJ</t>
        </is>
      </c>
      <c r="D502" t="inlineStr">
        <is>
          <t>Medicare_Rate_Combined</t>
        </is>
      </c>
      <c r="E502" t="n">
        <v>0.029</v>
      </c>
    </row>
    <row r="503">
      <c r="B503" s="21" t="n">
        <v>2027</v>
      </c>
      <c r="C503" t="inlineStr">
        <is>
          <t>Single</t>
        </is>
      </c>
      <c r="D503" t="inlineStr">
        <is>
          <t>Medicare_Rate_Combined</t>
        </is>
      </c>
      <c r="E503" t="n">
        <v>0.029</v>
      </c>
    </row>
    <row r="504">
      <c r="B504" s="21" t="n">
        <v>2027</v>
      </c>
      <c r="C504" t="inlineStr">
        <is>
          <t>HOH</t>
        </is>
      </c>
      <c r="D504" t="inlineStr">
        <is>
          <t>Medicare_Rate_Combined</t>
        </is>
      </c>
      <c r="E504" t="n">
        <v>0.029</v>
      </c>
    </row>
    <row r="505">
      <c r="B505" s="21" t="n">
        <v>2027</v>
      </c>
      <c r="C505" t="inlineStr">
        <is>
          <t>MFS</t>
        </is>
      </c>
      <c r="D505" t="inlineStr">
        <is>
          <t>Medicare_Rate_Combined</t>
        </is>
      </c>
      <c r="E505" t="n">
        <v>0.029</v>
      </c>
    </row>
    <row r="506">
      <c r="B506" s="21" t="n">
        <v>2027</v>
      </c>
      <c r="C506" t="inlineStr">
        <is>
          <t>MFJ</t>
        </is>
      </c>
      <c r="D506" t="inlineStr">
        <is>
          <t>SE_Earnings_Factor</t>
        </is>
      </c>
      <c r="E506" t="n">
        <v>0.9235</v>
      </c>
    </row>
    <row r="507">
      <c r="B507" s="21" t="n">
        <v>2027</v>
      </c>
      <c r="C507" t="inlineStr">
        <is>
          <t>Single</t>
        </is>
      </c>
      <c r="D507" t="inlineStr">
        <is>
          <t>SE_Earnings_Factor</t>
        </is>
      </c>
      <c r="E507" t="n">
        <v>0.9235</v>
      </c>
    </row>
    <row r="508">
      <c r="B508" s="21" t="n">
        <v>2027</v>
      </c>
      <c r="C508" t="inlineStr">
        <is>
          <t>HOH</t>
        </is>
      </c>
      <c r="D508" t="inlineStr">
        <is>
          <t>SE_Earnings_Factor</t>
        </is>
      </c>
      <c r="E508" t="n">
        <v>0.9235</v>
      </c>
    </row>
    <row r="509">
      <c r="B509" s="21" t="n">
        <v>2027</v>
      </c>
      <c r="C509" t="inlineStr">
        <is>
          <t>MFS</t>
        </is>
      </c>
      <c r="D509" t="inlineStr">
        <is>
          <t>SE_Earnings_Factor</t>
        </is>
      </c>
      <c r="E509" t="n">
        <v>0.9235</v>
      </c>
    </row>
    <row r="510">
      <c r="B510" s="21" t="n">
        <v>2027</v>
      </c>
      <c r="C510" t="inlineStr">
        <is>
          <t>MFJ</t>
        </is>
      </c>
      <c r="D510" t="inlineStr">
        <is>
          <t>Addl_Medicare_Rate</t>
        </is>
      </c>
      <c r="E510" t="n">
        <v>0.008999999999999999</v>
      </c>
    </row>
    <row r="511">
      <c r="B511" s="21" t="n">
        <v>2027</v>
      </c>
      <c r="C511" t="inlineStr">
        <is>
          <t>Single</t>
        </is>
      </c>
      <c r="D511" t="inlineStr">
        <is>
          <t>Addl_Medicare_Rate</t>
        </is>
      </c>
      <c r="E511" t="n">
        <v>0.008999999999999999</v>
      </c>
    </row>
    <row r="512">
      <c r="B512" s="21" t="n">
        <v>2027</v>
      </c>
      <c r="C512" t="inlineStr">
        <is>
          <t>HOH</t>
        </is>
      </c>
      <c r="D512" t="inlineStr">
        <is>
          <t>Addl_Medicare_Rate</t>
        </is>
      </c>
      <c r="E512" t="n">
        <v>0.008999999999999999</v>
      </c>
    </row>
    <row r="513">
      <c r="B513" s="21" t="n">
        <v>2027</v>
      </c>
      <c r="C513" t="inlineStr">
        <is>
          <t>MFS</t>
        </is>
      </c>
      <c r="D513" t="inlineStr">
        <is>
          <t>Addl_Medicare_Rate</t>
        </is>
      </c>
      <c r="E513" t="n">
        <v>0.008999999999999999</v>
      </c>
    </row>
    <row r="514">
      <c r="B514" s="21" t="n">
        <v>2027</v>
      </c>
      <c r="C514" t="inlineStr">
        <is>
          <t>MFJ</t>
        </is>
      </c>
      <c r="D514" t="inlineStr">
        <is>
          <t>Addl_Medicare_Threshold</t>
        </is>
      </c>
      <c r="E514" t="n">
        <v>250000</v>
      </c>
    </row>
    <row r="515">
      <c r="B515" s="21" t="n">
        <v>2027</v>
      </c>
      <c r="C515" t="inlineStr">
        <is>
          <t>Single</t>
        </is>
      </c>
      <c r="D515" t="inlineStr">
        <is>
          <t>Addl_Medicare_Threshold</t>
        </is>
      </c>
      <c r="E515" t="n">
        <v>200000</v>
      </c>
    </row>
    <row r="516">
      <c r="B516" s="21" t="n">
        <v>2027</v>
      </c>
      <c r="C516" t="inlineStr">
        <is>
          <t>HOH</t>
        </is>
      </c>
      <c r="D516" t="inlineStr">
        <is>
          <t>Addl_Medicare_Threshold</t>
        </is>
      </c>
      <c r="E516" t="n">
        <v>200000</v>
      </c>
    </row>
    <row r="517">
      <c r="B517" s="21" t="n">
        <v>2027</v>
      </c>
      <c r="C517" t="inlineStr">
        <is>
          <t>MFS</t>
        </is>
      </c>
      <c r="D517" t="inlineStr">
        <is>
          <t>Addl_Medicare_Threshold</t>
        </is>
      </c>
      <c r="E517" t="n">
        <v>125000</v>
      </c>
    </row>
    <row r="518">
      <c r="B518" s="21" t="n">
        <v>2027</v>
      </c>
      <c r="C518" t="inlineStr">
        <is>
          <t>MFJ</t>
        </is>
      </c>
      <c r="D518" t="inlineStr">
        <is>
          <t>Sec1250_Max_Rate</t>
        </is>
      </c>
      <c r="E518" t="n">
        <v>0.25</v>
      </c>
    </row>
    <row r="519">
      <c r="B519" s="21" t="n">
        <v>2027</v>
      </c>
      <c r="C519" t="inlineStr">
        <is>
          <t>Single</t>
        </is>
      </c>
      <c r="D519" t="inlineStr">
        <is>
          <t>Sec1250_Max_Rate</t>
        </is>
      </c>
      <c r="E519" t="n">
        <v>0.25</v>
      </c>
    </row>
    <row r="520">
      <c r="B520" s="21" t="n">
        <v>2027</v>
      </c>
      <c r="C520" t="inlineStr">
        <is>
          <t>HOH</t>
        </is>
      </c>
      <c r="D520" t="inlineStr">
        <is>
          <t>Sec1250_Max_Rate</t>
        </is>
      </c>
      <c r="E520" t="n">
        <v>0.25</v>
      </c>
    </row>
    <row r="521">
      <c r="B521" s="21" t="n">
        <v>2027</v>
      </c>
      <c r="C521" t="inlineStr">
        <is>
          <t>MFS</t>
        </is>
      </c>
      <c r="D521" t="inlineStr">
        <is>
          <t>Sec1250_Max_Rate</t>
        </is>
      </c>
      <c r="E521" t="n">
        <v>0.25</v>
      </c>
    </row>
    <row r="522">
      <c r="B522" s="21" t="n">
        <v>2027</v>
      </c>
      <c r="C522" t="inlineStr">
        <is>
          <t>MFJ</t>
        </is>
      </c>
      <c r="D522" t="inlineStr">
        <is>
          <t>EBL_Limit</t>
        </is>
      </c>
      <c r="E522" t="n">
        <v>626000</v>
      </c>
    </row>
    <row r="523">
      <c r="B523" s="21" t="n">
        <v>2027</v>
      </c>
      <c r="C523" t="inlineStr">
        <is>
          <t>Single</t>
        </is>
      </c>
      <c r="D523" t="inlineStr">
        <is>
          <t>EBL_Limit</t>
        </is>
      </c>
      <c r="E523" t="n">
        <v>313000</v>
      </c>
    </row>
    <row r="524">
      <c r="B524" s="21" t="n">
        <v>2027</v>
      </c>
      <c r="C524" t="inlineStr">
        <is>
          <t>HOH</t>
        </is>
      </c>
      <c r="D524" t="inlineStr">
        <is>
          <t>EBL_Limit</t>
        </is>
      </c>
      <c r="E524" t="n">
        <v>313000</v>
      </c>
    </row>
    <row r="525">
      <c r="B525" s="21" t="n">
        <v>2027</v>
      </c>
      <c r="C525" t="inlineStr">
        <is>
          <t>MFS</t>
        </is>
      </c>
      <c r="D525" t="inlineStr">
        <is>
          <t>EBL_Limit</t>
        </is>
      </c>
      <c r="E525" t="n">
        <v>313000</v>
      </c>
    </row>
    <row r="526">
      <c r="B526" s="21" t="n">
        <v>2028</v>
      </c>
      <c r="C526" t="inlineStr">
        <is>
          <t>MFJ</t>
        </is>
      </c>
      <c r="D526" t="inlineStr">
        <is>
          <t>NIIT_Threshold</t>
        </is>
      </c>
      <c r="E526" t="n">
        <v>250000</v>
      </c>
    </row>
    <row r="527">
      <c r="B527" s="21" t="n">
        <v>2028</v>
      </c>
      <c r="C527" t="inlineStr">
        <is>
          <t>Single</t>
        </is>
      </c>
      <c r="D527" t="inlineStr">
        <is>
          <t>NIIT_Threshold</t>
        </is>
      </c>
      <c r="E527" t="n">
        <v>200000</v>
      </c>
    </row>
    <row r="528">
      <c r="B528" s="21" t="n">
        <v>2028</v>
      </c>
      <c r="C528" t="inlineStr">
        <is>
          <t>HOH</t>
        </is>
      </c>
      <c r="D528" t="inlineStr">
        <is>
          <t>NIIT_Threshold</t>
        </is>
      </c>
      <c r="E528" t="n">
        <v>200000</v>
      </c>
    </row>
    <row r="529">
      <c r="B529" s="21" t="n">
        <v>2028</v>
      </c>
      <c r="C529" t="inlineStr">
        <is>
          <t>MFS</t>
        </is>
      </c>
      <c r="D529" t="inlineStr">
        <is>
          <t>NIIT_Threshold</t>
        </is>
      </c>
      <c r="E529" t="n">
        <v>125000</v>
      </c>
    </row>
    <row r="530">
      <c r="B530" s="21" t="n">
        <v>2028</v>
      </c>
      <c r="C530" t="inlineStr">
        <is>
          <t>MFJ</t>
        </is>
      </c>
      <c r="D530" t="inlineStr">
        <is>
          <t>NIIT_Rate</t>
        </is>
      </c>
      <c r="E530" t="n">
        <v>0.038</v>
      </c>
    </row>
    <row r="531">
      <c r="B531" s="21" t="n">
        <v>2028</v>
      </c>
      <c r="C531" t="inlineStr">
        <is>
          <t>Single</t>
        </is>
      </c>
      <c r="D531" t="inlineStr">
        <is>
          <t>NIIT_Rate</t>
        </is>
      </c>
      <c r="E531" t="n">
        <v>0.038</v>
      </c>
    </row>
    <row r="532">
      <c r="B532" s="21" t="n">
        <v>2028</v>
      </c>
      <c r="C532" t="inlineStr">
        <is>
          <t>HOH</t>
        </is>
      </c>
      <c r="D532" t="inlineStr">
        <is>
          <t>NIIT_Rate</t>
        </is>
      </c>
      <c r="E532" t="n">
        <v>0.038</v>
      </c>
    </row>
    <row r="533">
      <c r="B533" s="21" t="n">
        <v>2028</v>
      </c>
      <c r="C533" t="inlineStr">
        <is>
          <t>MFS</t>
        </is>
      </c>
      <c r="D533" t="inlineStr">
        <is>
          <t>NIIT_Rate</t>
        </is>
      </c>
      <c r="E533" t="n">
        <v>0.038</v>
      </c>
    </row>
    <row r="534">
      <c r="B534" s="21" t="n">
        <v>2028</v>
      </c>
      <c r="C534" t="inlineStr">
        <is>
          <t>MFJ</t>
        </is>
      </c>
      <c r="D534" t="inlineStr">
        <is>
          <t>QBI_Threshold_Start</t>
        </is>
      </c>
      <c r="E534" t="n">
        <v>394600</v>
      </c>
    </row>
    <row r="535">
      <c r="B535" s="21" t="n">
        <v>2028</v>
      </c>
      <c r="C535" t="inlineStr">
        <is>
          <t>Single</t>
        </is>
      </c>
      <c r="D535" t="inlineStr">
        <is>
          <t>QBI_Threshold_Start</t>
        </is>
      </c>
      <c r="E535" t="n">
        <v>197300</v>
      </c>
    </row>
    <row r="536">
      <c r="B536" s="21" t="n">
        <v>2028</v>
      </c>
      <c r="C536" t="inlineStr">
        <is>
          <t>HOH</t>
        </is>
      </c>
      <c r="D536" t="inlineStr">
        <is>
          <t>QBI_Threshold_Start</t>
        </is>
      </c>
      <c r="E536" t="n">
        <v>197300</v>
      </c>
    </row>
    <row r="537">
      <c r="B537" s="21" t="n">
        <v>2028</v>
      </c>
      <c r="C537" t="inlineStr">
        <is>
          <t>MFS</t>
        </is>
      </c>
      <c r="D537" t="inlineStr">
        <is>
          <t>QBI_Threshold_Start</t>
        </is>
      </c>
      <c r="E537" t="n">
        <v>197300</v>
      </c>
    </row>
    <row r="538">
      <c r="B538" s="21" t="n">
        <v>2028</v>
      </c>
      <c r="C538" t="inlineStr">
        <is>
          <t>MFJ</t>
        </is>
      </c>
      <c r="D538" t="inlineStr">
        <is>
          <t>QBI_Threshold_End</t>
        </is>
      </c>
      <c r="E538" t="n">
        <v>494600</v>
      </c>
    </row>
    <row r="539">
      <c r="B539" s="21" t="n">
        <v>2028</v>
      </c>
      <c r="C539" t="inlineStr">
        <is>
          <t>Single</t>
        </is>
      </c>
      <c r="D539" t="inlineStr">
        <is>
          <t>QBI_Threshold_End</t>
        </is>
      </c>
      <c r="E539" t="n">
        <v>247300</v>
      </c>
    </row>
    <row r="540">
      <c r="B540" s="21" t="n">
        <v>2028</v>
      </c>
      <c r="C540" t="inlineStr">
        <is>
          <t>HOH</t>
        </is>
      </c>
      <c r="D540" t="inlineStr">
        <is>
          <t>QBI_Threshold_End</t>
        </is>
      </c>
      <c r="E540" t="n">
        <v>247300</v>
      </c>
    </row>
    <row r="541">
      <c r="B541" s="21" t="n">
        <v>2028</v>
      </c>
      <c r="C541" t="inlineStr">
        <is>
          <t>MFS</t>
        </is>
      </c>
      <c r="D541" t="inlineStr">
        <is>
          <t>QBI_Threshold_End</t>
        </is>
      </c>
      <c r="E541" t="n">
        <v>247300</v>
      </c>
    </row>
    <row r="542">
      <c r="B542" s="21" t="n">
        <v>2028</v>
      </c>
      <c r="C542" t="inlineStr">
        <is>
          <t>MFJ</t>
        </is>
      </c>
      <c r="D542" t="inlineStr">
        <is>
          <t>SS_Wage_Base</t>
        </is>
      </c>
      <c r="E542" t="n">
        <v>176100</v>
      </c>
    </row>
    <row r="543">
      <c r="B543" s="21" t="n">
        <v>2028</v>
      </c>
      <c r="C543" t="inlineStr">
        <is>
          <t>Single</t>
        </is>
      </c>
      <c r="D543" t="inlineStr">
        <is>
          <t>SS_Wage_Base</t>
        </is>
      </c>
      <c r="E543" t="n">
        <v>176100</v>
      </c>
    </row>
    <row r="544">
      <c r="B544" s="21" t="n">
        <v>2028</v>
      </c>
      <c r="C544" t="inlineStr">
        <is>
          <t>HOH</t>
        </is>
      </c>
      <c r="D544" t="inlineStr">
        <is>
          <t>SS_Wage_Base</t>
        </is>
      </c>
      <c r="E544" t="n">
        <v>176100</v>
      </c>
    </row>
    <row r="545">
      <c r="B545" s="21" t="n">
        <v>2028</v>
      </c>
      <c r="C545" t="inlineStr">
        <is>
          <t>MFS</t>
        </is>
      </c>
      <c r="D545" t="inlineStr">
        <is>
          <t>SS_Wage_Base</t>
        </is>
      </c>
      <c r="E545" t="n">
        <v>176100</v>
      </c>
    </row>
    <row r="546">
      <c r="B546" s="21" t="n">
        <v>2028</v>
      </c>
      <c r="C546" t="inlineStr">
        <is>
          <t>MFJ</t>
        </is>
      </c>
      <c r="D546" t="inlineStr">
        <is>
          <t>SS_Rate_Combined</t>
        </is>
      </c>
      <c r="E546" t="n">
        <v>0.124</v>
      </c>
    </row>
    <row r="547">
      <c r="B547" s="21" t="n">
        <v>2028</v>
      </c>
      <c r="C547" t="inlineStr">
        <is>
          <t>Single</t>
        </is>
      </c>
      <c r="D547" t="inlineStr">
        <is>
          <t>SS_Rate_Combined</t>
        </is>
      </c>
      <c r="E547" t="n">
        <v>0.124</v>
      </c>
    </row>
    <row r="548">
      <c r="B548" s="21" t="n">
        <v>2028</v>
      </c>
      <c r="C548" t="inlineStr">
        <is>
          <t>HOH</t>
        </is>
      </c>
      <c r="D548" t="inlineStr">
        <is>
          <t>SS_Rate_Combined</t>
        </is>
      </c>
      <c r="E548" t="n">
        <v>0.124</v>
      </c>
    </row>
    <row r="549">
      <c r="B549" s="21" t="n">
        <v>2028</v>
      </c>
      <c r="C549" t="inlineStr">
        <is>
          <t>MFS</t>
        </is>
      </c>
      <c r="D549" t="inlineStr">
        <is>
          <t>SS_Rate_Combined</t>
        </is>
      </c>
      <c r="E549" t="n">
        <v>0.124</v>
      </c>
    </row>
    <row r="550">
      <c r="B550" s="21" t="n">
        <v>2028</v>
      </c>
      <c r="C550" t="inlineStr">
        <is>
          <t>MFJ</t>
        </is>
      </c>
      <c r="D550" t="inlineStr">
        <is>
          <t>Medicare_Rate_Combined</t>
        </is>
      </c>
      <c r="E550" t="n">
        <v>0.029</v>
      </c>
    </row>
    <row r="551">
      <c r="B551" s="21" t="n">
        <v>2028</v>
      </c>
      <c r="C551" t="inlineStr">
        <is>
          <t>Single</t>
        </is>
      </c>
      <c r="D551" t="inlineStr">
        <is>
          <t>Medicare_Rate_Combined</t>
        </is>
      </c>
      <c r="E551" t="n">
        <v>0.029</v>
      </c>
    </row>
    <row r="552">
      <c r="B552" s="21" t="n">
        <v>2028</v>
      </c>
      <c r="C552" t="inlineStr">
        <is>
          <t>HOH</t>
        </is>
      </c>
      <c r="D552" t="inlineStr">
        <is>
          <t>Medicare_Rate_Combined</t>
        </is>
      </c>
      <c r="E552" t="n">
        <v>0.029</v>
      </c>
    </row>
    <row r="553">
      <c r="B553" s="21" t="n">
        <v>2028</v>
      </c>
      <c r="C553" t="inlineStr">
        <is>
          <t>MFS</t>
        </is>
      </c>
      <c r="D553" t="inlineStr">
        <is>
          <t>Medicare_Rate_Combined</t>
        </is>
      </c>
      <c r="E553" t="n">
        <v>0.029</v>
      </c>
    </row>
    <row r="554">
      <c r="B554" s="21" t="n">
        <v>2028</v>
      </c>
      <c r="C554" t="inlineStr">
        <is>
          <t>MFJ</t>
        </is>
      </c>
      <c r="D554" t="inlineStr">
        <is>
          <t>SE_Earnings_Factor</t>
        </is>
      </c>
      <c r="E554" t="n">
        <v>0.9235</v>
      </c>
    </row>
    <row r="555">
      <c r="B555" s="21" t="n">
        <v>2028</v>
      </c>
      <c r="C555" t="inlineStr">
        <is>
          <t>Single</t>
        </is>
      </c>
      <c r="D555" t="inlineStr">
        <is>
          <t>SE_Earnings_Factor</t>
        </is>
      </c>
      <c r="E555" t="n">
        <v>0.9235</v>
      </c>
    </row>
    <row r="556">
      <c r="B556" s="21" t="n">
        <v>2028</v>
      </c>
      <c r="C556" t="inlineStr">
        <is>
          <t>HOH</t>
        </is>
      </c>
      <c r="D556" t="inlineStr">
        <is>
          <t>SE_Earnings_Factor</t>
        </is>
      </c>
      <c r="E556" t="n">
        <v>0.9235</v>
      </c>
    </row>
    <row r="557">
      <c r="B557" s="21" t="n">
        <v>2028</v>
      </c>
      <c r="C557" t="inlineStr">
        <is>
          <t>MFS</t>
        </is>
      </c>
      <c r="D557" t="inlineStr">
        <is>
          <t>SE_Earnings_Factor</t>
        </is>
      </c>
      <c r="E557" t="n">
        <v>0.9235</v>
      </c>
    </row>
    <row r="558">
      <c r="B558" s="21" t="n">
        <v>2028</v>
      </c>
      <c r="C558" t="inlineStr">
        <is>
          <t>MFJ</t>
        </is>
      </c>
      <c r="D558" t="inlineStr">
        <is>
          <t>Addl_Medicare_Rate</t>
        </is>
      </c>
      <c r="E558" t="n">
        <v>0.008999999999999999</v>
      </c>
    </row>
    <row r="559">
      <c r="B559" s="21" t="n">
        <v>2028</v>
      </c>
      <c r="C559" t="inlineStr">
        <is>
          <t>Single</t>
        </is>
      </c>
      <c r="D559" t="inlineStr">
        <is>
          <t>Addl_Medicare_Rate</t>
        </is>
      </c>
      <c r="E559" t="n">
        <v>0.008999999999999999</v>
      </c>
    </row>
    <row r="560">
      <c r="B560" s="21" t="n">
        <v>2028</v>
      </c>
      <c r="C560" t="inlineStr">
        <is>
          <t>HOH</t>
        </is>
      </c>
      <c r="D560" t="inlineStr">
        <is>
          <t>Addl_Medicare_Rate</t>
        </is>
      </c>
      <c r="E560" t="n">
        <v>0.008999999999999999</v>
      </c>
    </row>
    <row r="561">
      <c r="B561" s="21" t="n">
        <v>2028</v>
      </c>
      <c r="C561" t="inlineStr">
        <is>
          <t>MFS</t>
        </is>
      </c>
      <c r="D561" t="inlineStr">
        <is>
          <t>Addl_Medicare_Rate</t>
        </is>
      </c>
      <c r="E561" t="n">
        <v>0.008999999999999999</v>
      </c>
    </row>
    <row r="562">
      <c r="B562" s="21" t="n">
        <v>2028</v>
      </c>
      <c r="C562" t="inlineStr">
        <is>
          <t>MFJ</t>
        </is>
      </c>
      <c r="D562" t="inlineStr">
        <is>
          <t>Addl_Medicare_Threshold</t>
        </is>
      </c>
      <c r="E562" t="n">
        <v>250000</v>
      </c>
    </row>
    <row r="563">
      <c r="B563" s="21" t="n">
        <v>2028</v>
      </c>
      <c r="C563" t="inlineStr">
        <is>
          <t>Single</t>
        </is>
      </c>
      <c r="D563" t="inlineStr">
        <is>
          <t>Addl_Medicare_Threshold</t>
        </is>
      </c>
      <c r="E563" t="n">
        <v>200000</v>
      </c>
    </row>
    <row r="564">
      <c r="B564" s="21" t="n">
        <v>2028</v>
      </c>
      <c r="C564" t="inlineStr">
        <is>
          <t>HOH</t>
        </is>
      </c>
      <c r="D564" t="inlineStr">
        <is>
          <t>Addl_Medicare_Threshold</t>
        </is>
      </c>
      <c r="E564" t="n">
        <v>200000</v>
      </c>
    </row>
    <row r="565">
      <c r="B565" s="21" t="n">
        <v>2028</v>
      </c>
      <c r="C565" t="inlineStr">
        <is>
          <t>MFS</t>
        </is>
      </c>
      <c r="D565" t="inlineStr">
        <is>
          <t>Addl_Medicare_Threshold</t>
        </is>
      </c>
      <c r="E565" t="n">
        <v>125000</v>
      </c>
    </row>
    <row r="566">
      <c r="B566" s="21" t="n">
        <v>2028</v>
      </c>
      <c r="C566" t="inlineStr">
        <is>
          <t>MFJ</t>
        </is>
      </c>
      <c r="D566" t="inlineStr">
        <is>
          <t>Sec1250_Max_Rate</t>
        </is>
      </c>
      <c r="E566" t="n">
        <v>0.25</v>
      </c>
    </row>
    <row r="567">
      <c r="B567" s="21" t="n">
        <v>2028</v>
      </c>
      <c r="C567" t="inlineStr">
        <is>
          <t>Single</t>
        </is>
      </c>
      <c r="D567" t="inlineStr">
        <is>
          <t>Sec1250_Max_Rate</t>
        </is>
      </c>
      <c r="E567" t="n">
        <v>0.25</v>
      </c>
    </row>
    <row r="568">
      <c r="B568" s="21" t="n">
        <v>2028</v>
      </c>
      <c r="C568" t="inlineStr">
        <is>
          <t>HOH</t>
        </is>
      </c>
      <c r="D568" t="inlineStr">
        <is>
          <t>Sec1250_Max_Rate</t>
        </is>
      </c>
      <c r="E568" t="n">
        <v>0.25</v>
      </c>
    </row>
    <row r="569">
      <c r="B569" s="21" t="n">
        <v>2028</v>
      </c>
      <c r="C569" t="inlineStr">
        <is>
          <t>MFS</t>
        </is>
      </c>
      <c r="D569" t="inlineStr">
        <is>
          <t>Sec1250_Max_Rate</t>
        </is>
      </c>
      <c r="E569" t="n">
        <v>0.25</v>
      </c>
    </row>
    <row r="570">
      <c r="B570" s="21" t="n">
        <v>2028</v>
      </c>
      <c r="C570" t="inlineStr">
        <is>
          <t>MFJ</t>
        </is>
      </c>
      <c r="D570" t="inlineStr">
        <is>
          <t>EBL_Limit</t>
        </is>
      </c>
      <c r="E570" t="n">
        <v>626000</v>
      </c>
    </row>
    <row r="571">
      <c r="B571" s="21" t="n">
        <v>2028</v>
      </c>
      <c r="C571" t="inlineStr">
        <is>
          <t>Single</t>
        </is>
      </c>
      <c r="D571" t="inlineStr">
        <is>
          <t>EBL_Limit</t>
        </is>
      </c>
      <c r="E571" t="n">
        <v>313000</v>
      </c>
    </row>
    <row r="572">
      <c r="B572" s="21" t="n">
        <v>2028</v>
      </c>
      <c r="C572" t="inlineStr">
        <is>
          <t>HOH</t>
        </is>
      </c>
      <c r="D572" t="inlineStr">
        <is>
          <t>EBL_Limit</t>
        </is>
      </c>
      <c r="E572" t="n">
        <v>313000</v>
      </c>
    </row>
    <row r="573">
      <c r="B573" s="21" t="n">
        <v>2028</v>
      </c>
      <c r="C573" t="inlineStr">
        <is>
          <t>MFS</t>
        </is>
      </c>
      <c r="D573" t="inlineStr">
        <is>
          <t>EBL_Limit</t>
        </is>
      </c>
      <c r="E573" t="n">
        <v>313000</v>
      </c>
    </row>
    <row r="576">
      <c r="B576" s="13" t="inlineStr">
        <is>
          <t>tblTreatmentProfileMap — Treatment Profile → Tax Classification Mapping</t>
        </is>
      </c>
    </row>
    <row r="578">
      <c r="B578" t="inlineStr">
        <is>
          <t>Profile</t>
        </is>
      </c>
      <c r="C578" t="inlineStr">
        <is>
          <t>Bucket</t>
        </is>
      </c>
      <c r="D578" t="inlineStr">
        <is>
          <t>SE_Subject</t>
        </is>
      </c>
      <c r="E578" t="inlineStr">
        <is>
          <t>NIIT_Class</t>
        </is>
      </c>
      <c r="F578" t="inlineStr">
        <is>
          <t>QBI_Eligible</t>
        </is>
      </c>
      <c r="G578" t="inlineStr">
        <is>
          <t>Primary_Line</t>
        </is>
      </c>
      <c r="H578" t="inlineStr">
        <is>
          <t>Helper_Treatment</t>
        </is>
      </c>
      <c r="I578" t="inlineStr">
        <is>
          <t>Consider_Prompt</t>
        </is>
      </c>
      <c r="J578" t="inlineStr">
        <is>
          <t>Notes</t>
        </is>
      </c>
    </row>
    <row r="579">
      <c r="B579" t="inlineStr">
        <is>
          <t>SchC_Active</t>
        </is>
      </c>
      <c r="C579" t="inlineStr">
        <is>
          <t>Business Income</t>
        </is>
      </c>
      <c r="D579" t="inlineStr">
        <is>
          <t>Yes</t>
        </is>
      </c>
      <c r="E579" t="inlineStr">
        <is>
          <t>Active</t>
        </is>
      </c>
      <c r="F579" t="inlineStr">
        <is>
          <t>Yes</t>
        </is>
      </c>
      <c r="G579" t="n">
        <v>8</v>
      </c>
      <c r="H579" t="inlineStr">
        <is>
          <t>SE_INCOME</t>
        </is>
      </c>
      <c r="I579" t="inlineStr">
        <is>
          <t>SE earnings?</t>
        </is>
      </c>
      <c r="J579" t="inlineStr">
        <is>
          <t>Sole prop active SE</t>
        </is>
      </c>
    </row>
    <row r="580">
      <c r="B580" t="inlineStr">
        <is>
          <t>SchE_Rental</t>
        </is>
      </c>
      <c r="C580" t="inlineStr">
        <is>
          <t>Business Income</t>
        </is>
      </c>
      <c r="D580" t="inlineStr">
        <is>
          <t>No</t>
        </is>
      </c>
      <c r="E580" t="inlineStr">
        <is>
          <t>Passive</t>
        </is>
      </c>
      <c r="F580" t="inlineStr">
        <is>
          <t>No</t>
        </is>
      </c>
      <c r="G580" t="n">
        <v>8</v>
      </c>
      <c r="H580" t="inlineStr">
        <is>
          <t>PASSIVE</t>
        </is>
      </c>
      <c r="I580" t="inlineStr">
        <is>
          <t>short-term rental? RE Pro election?</t>
        </is>
      </c>
      <c r="J580" t="inlineStr">
        <is>
          <t>Rental real estate default passive</t>
        </is>
      </c>
    </row>
    <row r="581">
      <c r="B581" t="inlineStr">
        <is>
          <t>SchE_REPro</t>
        </is>
      </c>
      <c r="C581" t="inlineStr">
        <is>
          <t>Business Income</t>
        </is>
      </c>
      <c r="D581" t="inlineStr">
        <is>
          <t>No</t>
        </is>
      </c>
      <c r="E581" t="inlineStr">
        <is>
          <t>Active</t>
        </is>
      </c>
      <c r="F581" t="inlineStr">
        <is>
          <t>No</t>
        </is>
      </c>
      <c r="G581" t="n">
        <v>8</v>
      </c>
      <c r="H581" t="inlineStr">
        <is>
          <t>ACTIVE_RE</t>
        </is>
      </c>
      <c r="I581" t="inlineStr">
        <is>
          <t>meets 750hr / &gt;50% test?</t>
        </is>
      </c>
      <c r="J581" t="inlineStr">
        <is>
          <t>RE Pro election</t>
        </is>
      </c>
    </row>
    <row r="582">
      <c r="B582" t="inlineStr">
        <is>
          <t>SchF_Active</t>
        </is>
      </c>
      <c r="C582" t="inlineStr">
        <is>
          <t>Business Income</t>
        </is>
      </c>
      <c r="D582" t="inlineStr">
        <is>
          <t>Yes</t>
        </is>
      </c>
      <c r="E582" t="inlineStr">
        <is>
          <t>Active</t>
        </is>
      </c>
      <c r="F582" t="inlineStr">
        <is>
          <t>Yes</t>
        </is>
      </c>
      <c r="G582" t="n">
        <v>8</v>
      </c>
      <c r="H582" t="inlineStr">
        <is>
          <t>SE_INCOME</t>
        </is>
      </c>
      <c r="I582" t="inlineStr">
        <is>
          <t>farm income averaging?</t>
        </is>
      </c>
      <c r="J582" t="inlineStr">
        <is>
          <t>Farm income</t>
        </is>
      </c>
    </row>
    <row r="583">
      <c r="B583" t="inlineStr">
        <is>
          <t>K1_PTP_Active</t>
        </is>
      </c>
      <c r="C583" t="inlineStr">
        <is>
          <t>Business Income</t>
        </is>
      </c>
      <c r="D583" t="inlineStr">
        <is>
          <t>Yes</t>
        </is>
      </c>
      <c r="E583" t="inlineStr">
        <is>
          <t>Active</t>
        </is>
      </c>
      <c r="F583" t="inlineStr">
        <is>
          <t>Yes</t>
        </is>
      </c>
      <c r="G583" t="n">
        <v>8</v>
      </c>
      <c r="H583" t="inlineStr">
        <is>
          <t>K1_SPLIT</t>
        </is>
      </c>
      <c r="I583" t="inlineStr">
        <is>
          <t>active vs passive?</t>
        </is>
      </c>
      <c r="J583" t="inlineStr">
        <is>
          <t>Active partnership K-1</t>
        </is>
      </c>
    </row>
    <row r="584">
      <c r="B584" t="inlineStr">
        <is>
          <t>K1_PTP_Passive</t>
        </is>
      </c>
      <c r="C584" t="inlineStr">
        <is>
          <t>Business Income</t>
        </is>
      </c>
      <c r="D584" t="inlineStr">
        <is>
          <t>No</t>
        </is>
      </c>
      <c r="E584" t="inlineStr">
        <is>
          <t>Passive</t>
        </is>
      </c>
      <c r="F584" t="inlineStr">
        <is>
          <t>Yes</t>
        </is>
      </c>
      <c r="G584" t="n">
        <v>8</v>
      </c>
      <c r="H584" t="inlineStr">
        <is>
          <t>K1_SPLIT</t>
        </is>
      </c>
      <c r="I584" t="inlineStr">
        <is>
          <t>PAL limits?</t>
        </is>
      </c>
      <c r="J584" t="inlineStr">
        <is>
          <t>Passive partnership K-1</t>
        </is>
      </c>
    </row>
    <row r="585">
      <c r="B585" t="inlineStr">
        <is>
          <t>K1_SCorp_Active</t>
        </is>
      </c>
      <c r="C585" t="inlineStr">
        <is>
          <t>Business Income</t>
        </is>
      </c>
      <c r="D585" t="inlineStr">
        <is>
          <t>No</t>
        </is>
      </c>
      <c r="E585" t="inlineStr">
        <is>
          <t>Active</t>
        </is>
      </c>
      <c r="F585" t="inlineStr">
        <is>
          <t>Yes</t>
        </is>
      </c>
      <c r="G585" t="n">
        <v>8</v>
      </c>
      <c r="H585" t="inlineStr">
        <is>
          <t>K1_SPLIT</t>
        </is>
      </c>
      <c r="I585" t="inlineStr">
        <is>
          <t>active vs passive?</t>
        </is>
      </c>
      <c r="J585" t="inlineStr">
        <is>
          <t>Active S-Corp K-1</t>
        </is>
      </c>
    </row>
    <row r="586">
      <c r="B586" t="inlineStr">
        <is>
          <t>K1_SCorp_Passive</t>
        </is>
      </c>
      <c r="C586" t="inlineStr">
        <is>
          <t>Business Income</t>
        </is>
      </c>
      <c r="D586" t="inlineStr">
        <is>
          <t>No</t>
        </is>
      </c>
      <c r="E586" t="inlineStr">
        <is>
          <t>Passive</t>
        </is>
      </c>
      <c r="F586" t="inlineStr">
        <is>
          <t>Yes</t>
        </is>
      </c>
      <c r="G586" t="n">
        <v>8</v>
      </c>
      <c r="H586" t="inlineStr">
        <is>
          <t>K1_SPLIT</t>
        </is>
      </c>
      <c r="I586" t="inlineStr">
        <is>
          <t>rare — confirm</t>
        </is>
      </c>
      <c r="J586" t="inlineStr">
        <is>
          <t>Passive S-Corp K-1</t>
        </is>
      </c>
    </row>
    <row r="587">
      <c r="B587" t="inlineStr">
        <is>
          <t>Trust_K1</t>
        </is>
      </c>
      <c r="C587" t="inlineStr">
        <is>
          <t>Business Income</t>
        </is>
      </c>
      <c r="D587" t="inlineStr">
        <is>
          <t>No</t>
        </is>
      </c>
      <c r="E587" t="inlineStr">
        <is>
          <t>Portfolio</t>
        </is>
      </c>
      <c r="F587" t="inlineStr">
        <is>
          <t>No</t>
        </is>
      </c>
      <c r="G587" t="n">
        <v>8</v>
      </c>
      <c r="H587" t="inlineStr">
        <is>
          <t>TRUST_DIST</t>
        </is>
      </c>
      <c r="I587" t="inlineStr">
        <is>
          <t>character of distribution?</t>
        </is>
      </c>
      <c r="J587" t="inlineStr">
        <is>
          <t>Trust K-1</t>
        </is>
      </c>
    </row>
    <row r="588">
      <c r="B588" t="inlineStr">
        <is>
          <t>W2_Employee</t>
        </is>
      </c>
      <c r="C588" t="inlineStr">
        <is>
          <t>Wages</t>
        </is>
      </c>
      <c r="D588" t="inlineStr">
        <is>
          <t>No</t>
        </is>
      </c>
      <c r="E588" t="inlineStr">
        <is>
          <t>Active</t>
        </is>
      </c>
      <c r="F588" t="inlineStr">
        <is>
          <t>No</t>
        </is>
      </c>
      <c r="G588" t="inlineStr">
        <is>
          <t>1z</t>
        </is>
      </c>
      <c r="H588" t="inlineStr">
        <is>
          <t>NONE</t>
        </is>
      </c>
      <c r="I588" t="inlineStr">
        <is>
          <t>(n/a)</t>
        </is>
      </c>
      <c r="J588" t="inlineStr">
        <is>
          <t>Standard W-2 wages</t>
        </is>
      </c>
    </row>
    <row r="589">
      <c r="B589" t="inlineStr">
        <is>
          <t>W2_SCorpOwner</t>
        </is>
      </c>
      <c r="C589" t="inlineStr">
        <is>
          <t>Wages</t>
        </is>
      </c>
      <c r="D589" t="inlineStr">
        <is>
          <t>No</t>
        </is>
      </c>
      <c r="E589" t="inlineStr">
        <is>
          <t>Active</t>
        </is>
      </c>
      <c r="F589" t="inlineStr">
        <is>
          <t>No</t>
        </is>
      </c>
      <c r="G589" t="inlineStr">
        <is>
          <t>1z</t>
        </is>
      </c>
      <c r="H589" t="inlineStr">
        <is>
          <t>OWNER_PAY</t>
        </is>
      </c>
      <c r="I589" t="inlineStr">
        <is>
          <t>owner pay portion?</t>
        </is>
      </c>
      <c r="J589" t="inlineStr">
        <is>
          <t>S-Corp owner reasonable comp</t>
        </is>
      </c>
    </row>
    <row r="590">
      <c r="B590" t="inlineStr">
        <is>
          <t>Int_Taxable</t>
        </is>
      </c>
      <c r="C590" t="inlineStr">
        <is>
          <t>Investment Income</t>
        </is>
      </c>
      <c r="D590" t="inlineStr">
        <is>
          <t>No</t>
        </is>
      </c>
      <c r="E590" t="inlineStr">
        <is>
          <t>Portfolio</t>
        </is>
      </c>
      <c r="F590" t="inlineStr">
        <is>
          <t>No</t>
        </is>
      </c>
      <c r="G590" t="inlineStr">
        <is>
          <t>2b</t>
        </is>
      </c>
      <c r="H590" t="inlineStr">
        <is>
          <t>NONE</t>
        </is>
      </c>
      <c r="I590" t="inlineStr">
        <is>
          <t>tax-exempt portion?</t>
        </is>
      </c>
      <c r="J590" t="inlineStr">
        <is>
          <t>Taxable interest</t>
        </is>
      </c>
    </row>
    <row r="591">
      <c r="B591" t="inlineStr">
        <is>
          <t>Int_Exempt</t>
        </is>
      </c>
      <c r="C591" t="inlineStr">
        <is>
          <t>Investment Income</t>
        </is>
      </c>
      <c r="D591" t="inlineStr">
        <is>
          <t>No</t>
        </is>
      </c>
      <c r="E591" t="inlineStr">
        <is>
          <t>N/A</t>
        </is>
      </c>
      <c r="F591" t="inlineStr">
        <is>
          <t>No</t>
        </is>
      </c>
      <c r="G591" t="inlineStr">
        <is>
          <t>2a</t>
        </is>
      </c>
      <c r="H591" t="inlineStr">
        <is>
          <t>TAX_EXEMPT</t>
        </is>
      </c>
      <c r="I591" t="inlineStr">
        <is>
          <t>(all exempt)</t>
        </is>
      </c>
      <c r="J591" t="inlineStr">
        <is>
          <t>Tax-exempt interest</t>
        </is>
      </c>
    </row>
    <row r="592">
      <c r="B592" t="inlineStr">
        <is>
          <t>Div_Qualified</t>
        </is>
      </c>
      <c r="C592" t="inlineStr">
        <is>
          <t>Investment Income</t>
        </is>
      </c>
      <c r="D592" t="inlineStr">
        <is>
          <t>No</t>
        </is>
      </c>
      <c r="E592" t="inlineStr">
        <is>
          <t>Portfolio</t>
        </is>
      </c>
      <c r="F592" t="inlineStr">
        <is>
          <t>No</t>
        </is>
      </c>
      <c r="G592" t="inlineStr">
        <is>
          <t>3b</t>
        </is>
      </c>
      <c r="H592" t="inlineStr">
        <is>
          <t>QUAL_DIV</t>
        </is>
      </c>
      <c r="I592" t="inlineStr">
        <is>
          <t>qualified portion?</t>
        </is>
      </c>
      <c r="J592" t="inlineStr">
        <is>
          <t>All-qualified dividends (3b=3a). Helper = full amount. Do NOT also enter Div_Ordinary for same income.</t>
        </is>
      </c>
    </row>
    <row r="593">
      <c r="B593" t="inlineStr">
        <is>
          <t>Div_Ordinary</t>
        </is>
      </c>
      <c r="C593" t="inlineStr">
        <is>
          <t>Investment Income</t>
        </is>
      </c>
      <c r="D593" t="inlineStr">
        <is>
          <t>No</t>
        </is>
      </c>
      <c r="E593" t="inlineStr">
        <is>
          <t>Portfolio</t>
        </is>
      </c>
      <c r="F593" t="inlineStr">
        <is>
          <t>No</t>
        </is>
      </c>
      <c r="G593" t="inlineStr">
        <is>
          <t>3b</t>
        </is>
      </c>
      <c r="H593" t="inlineStr">
        <is>
          <t>QUAL_DIV</t>
        </is>
      </c>
      <c r="I593" t="inlineStr">
        <is>
          <t>qualified portion? (mutually exclusive with Div_Qualified)</t>
        </is>
      </c>
      <c r="J593" t="inlineStr">
        <is>
          <t>Total ordinary dividends (3b); Helper = qualified portion (3a). Do NOT also enter Div_Qualified for same income.</t>
        </is>
      </c>
    </row>
    <row r="594">
      <c r="B594" t="inlineStr">
        <is>
          <t>LTCG_Stock</t>
        </is>
      </c>
      <c r="C594" t="inlineStr">
        <is>
          <t>Capital Gains</t>
        </is>
      </c>
      <c r="D594" t="inlineStr">
        <is>
          <t>No</t>
        </is>
      </c>
      <c r="E594" t="inlineStr">
        <is>
          <t>Portfolio</t>
        </is>
      </c>
      <c r="F594" t="inlineStr">
        <is>
          <t>No</t>
        </is>
      </c>
      <c r="G594" t="n">
        <v>7</v>
      </c>
      <c r="H594" t="inlineStr">
        <is>
          <t>LTCG_SPLIT</t>
        </is>
      </c>
      <c r="I594" t="inlineStr">
        <is>
          <t>wash sales? carryover?</t>
        </is>
      </c>
      <c r="J594" t="inlineStr">
        <is>
          <t>LT cap gains</t>
        </is>
      </c>
    </row>
    <row r="595">
      <c r="B595" t="inlineStr">
        <is>
          <t>STCG_Stock</t>
        </is>
      </c>
      <c r="C595" t="inlineStr">
        <is>
          <t>Capital Gains</t>
        </is>
      </c>
      <c r="D595" t="inlineStr">
        <is>
          <t>No</t>
        </is>
      </c>
      <c r="E595" t="inlineStr">
        <is>
          <t>Portfolio</t>
        </is>
      </c>
      <c r="F595" t="inlineStr">
        <is>
          <t>No</t>
        </is>
      </c>
      <c r="G595" t="n">
        <v>7</v>
      </c>
      <c r="H595" t="inlineStr">
        <is>
          <t>LTCG_SPLIT</t>
        </is>
      </c>
      <c r="I595" t="inlineStr">
        <is>
          <t>wash sales? carryover?</t>
        </is>
      </c>
      <c r="J595" t="inlineStr">
        <is>
          <t>ST cap gains</t>
        </is>
      </c>
    </row>
    <row r="596">
      <c r="B596" t="inlineStr">
        <is>
          <t>LTCG_RE</t>
        </is>
      </c>
      <c r="C596" t="inlineStr">
        <is>
          <t>Capital Gains</t>
        </is>
      </c>
      <c r="D596" t="inlineStr">
        <is>
          <t>No</t>
        </is>
      </c>
      <c r="E596" t="inlineStr">
        <is>
          <t>Passive</t>
        </is>
      </c>
      <c r="F596" t="inlineStr">
        <is>
          <t>No</t>
        </is>
      </c>
      <c r="G596" t="n">
        <v>7</v>
      </c>
      <c r="H596" t="inlineStr">
        <is>
          <t>LTCG_SPLIT</t>
        </is>
      </c>
      <c r="I596" t="inlineStr">
        <is>
          <t>§1250 portion? §1031?</t>
        </is>
      </c>
      <c r="J596" t="inlineStr">
        <is>
          <t>LT cap gain on RE</t>
        </is>
      </c>
    </row>
    <row r="597">
      <c r="B597" t="inlineStr">
        <is>
          <t>Sec1250_Recap</t>
        </is>
      </c>
      <c r="C597" t="inlineStr">
        <is>
          <t>Capital Gains</t>
        </is>
      </c>
      <c r="D597" t="inlineStr">
        <is>
          <t>No</t>
        </is>
      </c>
      <c r="E597" t="inlineStr">
        <is>
          <t>Passive</t>
        </is>
      </c>
      <c r="F597" t="inlineStr">
        <is>
          <t>No</t>
        </is>
      </c>
      <c r="G597" t="n">
        <v>7</v>
      </c>
      <c r="H597" t="inlineStr">
        <is>
          <t>SEC1250</t>
        </is>
      </c>
      <c r="I597" t="inlineStr">
        <is>
          <t>capped at 25%</t>
        </is>
      </c>
      <c r="J597" t="inlineStr">
        <is>
          <t>§1250 recapture</t>
        </is>
      </c>
    </row>
    <row r="598">
      <c r="B598" t="inlineStr">
        <is>
          <t>LTCG_K1_Passthrough</t>
        </is>
      </c>
      <c r="C598" t="inlineStr">
        <is>
          <t>Capital Gains</t>
        </is>
      </c>
      <c r="D598" t="inlineStr">
        <is>
          <t>No</t>
        </is>
      </c>
      <c r="E598" t="inlineStr">
        <is>
          <t>Portfolio</t>
        </is>
      </c>
      <c r="F598" t="inlineStr">
        <is>
          <t>No</t>
        </is>
      </c>
      <c r="G598" t="n">
        <v>7</v>
      </c>
      <c r="H598" t="inlineStr">
        <is>
          <t>LTCG_SPLIT</t>
        </is>
      </c>
      <c r="I598" t="inlineStr">
        <is>
          <t>character per K-1 box?</t>
        </is>
      </c>
      <c r="J598" t="inlineStr">
        <is>
          <t>K-1 passthrough</t>
        </is>
      </c>
    </row>
    <row r="599">
      <c r="B599" t="inlineStr">
        <is>
          <t>Adj_HSA</t>
        </is>
      </c>
      <c r="C599" t="inlineStr">
        <is>
          <t>Adjustment</t>
        </is>
      </c>
      <c r="D599" t="inlineStr">
        <is>
          <t>No</t>
        </is>
      </c>
      <c r="E599" t="inlineStr">
        <is>
          <t>N/A</t>
        </is>
      </c>
      <c r="F599" t="inlineStr">
        <is>
          <t>No</t>
        </is>
      </c>
      <c r="G599" t="n">
        <v>10</v>
      </c>
      <c r="H599" t="inlineStr">
        <is>
          <t>HSA</t>
        </is>
      </c>
      <c r="I599" t="inlineStr">
        <is>
          <t>family vs self?</t>
        </is>
      </c>
      <c r="J599" t="inlineStr">
        <is>
          <t>HSA</t>
        </is>
      </c>
    </row>
    <row r="600">
      <c r="B600" t="inlineStr">
        <is>
          <t>Adj_IRA</t>
        </is>
      </c>
      <c r="C600" t="inlineStr">
        <is>
          <t>Adjustment</t>
        </is>
      </c>
      <c r="D600" t="inlineStr">
        <is>
          <t>No</t>
        </is>
      </c>
      <c r="E600" t="inlineStr">
        <is>
          <t>N/A</t>
        </is>
      </c>
      <c r="F600" t="inlineStr">
        <is>
          <t>No</t>
        </is>
      </c>
      <c r="G600" t="n">
        <v>10</v>
      </c>
      <c r="H600" t="inlineStr">
        <is>
          <t>IRA</t>
        </is>
      </c>
      <c r="I600" t="inlineStr">
        <is>
          <t>deductible portion?</t>
        </is>
      </c>
      <c r="J600" t="inlineStr">
        <is>
          <t>IRA</t>
        </is>
      </c>
    </row>
    <row r="601">
      <c r="B601" t="inlineStr">
        <is>
          <t>Adj_Retirement</t>
        </is>
      </c>
      <c r="C601" t="inlineStr">
        <is>
          <t>Adjustment</t>
        </is>
      </c>
      <c r="D601" t="inlineStr">
        <is>
          <t>No</t>
        </is>
      </c>
      <c r="E601" t="inlineStr">
        <is>
          <t>N/A</t>
        </is>
      </c>
      <c r="F601" t="inlineStr">
        <is>
          <t>No</t>
        </is>
      </c>
      <c r="G601" t="n">
        <v>10</v>
      </c>
      <c r="H601" t="inlineStr">
        <is>
          <t>RETIREMENT</t>
        </is>
      </c>
      <c r="I601" t="inlineStr">
        <is>
          <t>plan type / limit?</t>
        </is>
      </c>
      <c r="J601" t="inlineStr">
        <is>
          <t>Retirement plan</t>
        </is>
      </c>
    </row>
    <row r="602">
      <c r="B602" t="inlineStr">
        <is>
          <t>Adj_SEHealth</t>
        </is>
      </c>
      <c r="C602" t="inlineStr">
        <is>
          <t>Adjustment</t>
        </is>
      </c>
      <c r="D602" t="inlineStr">
        <is>
          <t>No</t>
        </is>
      </c>
      <c r="E602" t="inlineStr">
        <is>
          <t>N/A</t>
        </is>
      </c>
      <c r="F602" t="inlineStr">
        <is>
          <t>No</t>
        </is>
      </c>
      <c r="G602" t="n">
        <v>10</v>
      </c>
      <c r="H602" t="inlineStr">
        <is>
          <t>SE_HEALTH</t>
        </is>
      </c>
      <c r="I602" t="inlineStr">
        <is>
          <t>SE earnings cap?</t>
        </is>
      </c>
      <c r="J602" t="inlineStr">
        <is>
          <t>SE health insurance</t>
        </is>
      </c>
    </row>
    <row r="603">
      <c r="B603" t="inlineStr">
        <is>
          <t>Adj_StudentLoan</t>
        </is>
      </c>
      <c r="C603" t="inlineStr">
        <is>
          <t>Adjustment</t>
        </is>
      </c>
      <c r="D603" t="inlineStr">
        <is>
          <t>No</t>
        </is>
      </c>
      <c r="E603" t="inlineStr">
        <is>
          <t>N/A</t>
        </is>
      </c>
      <c r="F603" t="inlineStr">
        <is>
          <t>No</t>
        </is>
      </c>
      <c r="G603" t="n">
        <v>10</v>
      </c>
      <c r="H603" t="inlineStr">
        <is>
          <t>STUDENT_LOAN</t>
        </is>
      </c>
      <c r="I603" t="inlineStr">
        <is>
          <t>MAGI phase-out?</t>
        </is>
      </c>
      <c r="J603" t="inlineStr">
        <is>
          <t>Student loan interest</t>
        </is>
      </c>
    </row>
    <row r="604">
      <c r="B604" t="inlineStr">
        <is>
          <t>Itm_Medical</t>
        </is>
      </c>
      <c r="C604" t="inlineStr">
        <is>
          <t>Itemized</t>
        </is>
      </c>
      <c r="D604" t="inlineStr">
        <is>
          <t>No</t>
        </is>
      </c>
      <c r="E604" t="inlineStr">
        <is>
          <t>N/A</t>
        </is>
      </c>
      <c r="F604" t="inlineStr">
        <is>
          <t>No</t>
        </is>
      </c>
      <c r="G604" t="n">
        <v>12</v>
      </c>
      <c r="H604" t="inlineStr">
        <is>
          <t>MEDICAL</t>
        </is>
      </c>
      <c r="I604" t="inlineStr">
        <is>
          <t>7.5% AGI floor</t>
        </is>
      </c>
      <c r="J604" t="inlineStr">
        <is>
          <t>Medical</t>
        </is>
      </c>
    </row>
    <row r="605">
      <c r="B605" t="inlineStr">
        <is>
          <t>Itm_SALT</t>
        </is>
      </c>
      <c r="C605" t="inlineStr">
        <is>
          <t>Itemized</t>
        </is>
      </c>
      <c r="D605" t="inlineStr">
        <is>
          <t>No</t>
        </is>
      </c>
      <c r="E605" t="inlineStr">
        <is>
          <t>N/A</t>
        </is>
      </c>
      <c r="F605" t="inlineStr">
        <is>
          <t>No</t>
        </is>
      </c>
      <c r="G605" t="n">
        <v>12</v>
      </c>
      <c r="H605" t="inlineStr">
        <is>
          <t>SALT</t>
        </is>
      </c>
      <c r="I605" t="inlineStr">
        <is>
          <t>$10K cap</t>
        </is>
      </c>
      <c r="J605" t="inlineStr">
        <is>
          <t>SALT</t>
        </is>
      </c>
    </row>
    <row r="606">
      <c r="B606" t="inlineStr">
        <is>
          <t>Itm_Mortgage</t>
        </is>
      </c>
      <c r="C606" t="inlineStr">
        <is>
          <t>Itemized</t>
        </is>
      </c>
      <c r="D606" t="inlineStr">
        <is>
          <t>No</t>
        </is>
      </c>
      <c r="E606" t="inlineStr">
        <is>
          <t>N/A</t>
        </is>
      </c>
      <c r="F606" t="inlineStr">
        <is>
          <t>No</t>
        </is>
      </c>
      <c r="G606" t="n">
        <v>12</v>
      </c>
      <c r="H606" t="inlineStr">
        <is>
          <t>MORTGAGE</t>
        </is>
      </c>
      <c r="I606" t="inlineStr">
        <is>
          <t>principal cap by date</t>
        </is>
      </c>
      <c r="J606" t="inlineStr">
        <is>
          <t>Mortgage int</t>
        </is>
      </c>
    </row>
    <row r="607">
      <c r="B607" t="inlineStr">
        <is>
          <t>Itm_Charity</t>
        </is>
      </c>
      <c r="C607" t="inlineStr">
        <is>
          <t>Itemized</t>
        </is>
      </c>
      <c r="D607" t="inlineStr">
        <is>
          <t>No</t>
        </is>
      </c>
      <c r="E607" t="inlineStr">
        <is>
          <t>N/A</t>
        </is>
      </c>
      <c r="F607" t="inlineStr">
        <is>
          <t>No</t>
        </is>
      </c>
      <c r="G607" t="n">
        <v>12</v>
      </c>
      <c r="H607" t="inlineStr">
        <is>
          <t>CHARITY</t>
        </is>
      </c>
      <c r="I607" t="inlineStr">
        <is>
          <t>60% AGI cap</t>
        </is>
      </c>
      <c r="J607" t="inlineStr">
        <is>
          <t>Charity</t>
        </is>
      </c>
    </row>
    <row r="608">
      <c r="B608" t="inlineStr">
        <is>
          <t>Cr_CTC</t>
        </is>
      </c>
      <c r="C608" t="inlineStr">
        <is>
          <t>Credit</t>
        </is>
      </c>
      <c r="D608" t="inlineStr">
        <is>
          <t>No</t>
        </is>
      </c>
      <c r="E608" t="inlineStr">
        <is>
          <t>N/A</t>
        </is>
      </c>
      <c r="F608" t="inlineStr">
        <is>
          <t>No</t>
        </is>
      </c>
      <c r="G608" t="n">
        <v>19</v>
      </c>
      <c r="H608" t="inlineStr">
        <is>
          <t>CTC</t>
        </is>
      </c>
      <c r="I608" t="inlineStr">
        <is>
          <t>children under 17?</t>
        </is>
      </c>
      <c r="J608" t="inlineStr">
        <is>
          <t>CTC</t>
        </is>
      </c>
    </row>
    <row r="609">
      <c r="B609" t="inlineStr">
        <is>
          <t>Cr_Education</t>
        </is>
      </c>
      <c r="C609" t="inlineStr">
        <is>
          <t>Credit</t>
        </is>
      </c>
      <c r="D609" t="inlineStr">
        <is>
          <t>No</t>
        </is>
      </c>
      <c r="E609" t="inlineStr">
        <is>
          <t>N/A</t>
        </is>
      </c>
      <c r="F609" t="inlineStr">
        <is>
          <t>No</t>
        </is>
      </c>
      <c r="G609" t="n">
        <v>20</v>
      </c>
      <c r="H609" t="inlineStr">
        <is>
          <t>EDUCATION</t>
        </is>
      </c>
      <c r="I609" t="inlineStr">
        <is>
          <t>AOTC vs LLC?</t>
        </is>
      </c>
      <c r="J609" t="inlineStr">
        <is>
          <t>Education credits</t>
        </is>
      </c>
    </row>
    <row r="610">
      <c r="B610" t="inlineStr">
        <is>
          <t>Cr_FTC</t>
        </is>
      </c>
      <c r="C610" t="inlineStr">
        <is>
          <t>Credit</t>
        </is>
      </c>
      <c r="D610" t="inlineStr">
        <is>
          <t>No</t>
        </is>
      </c>
      <c r="E610" t="inlineStr">
        <is>
          <t>N/A</t>
        </is>
      </c>
      <c r="F610" t="inlineStr">
        <is>
          <t>No</t>
        </is>
      </c>
      <c r="G610" t="n">
        <v>20</v>
      </c>
      <c r="H610" t="inlineStr">
        <is>
          <t>FTC</t>
        </is>
      </c>
      <c r="I610" t="inlineStr">
        <is>
          <t>Form 1116 required?</t>
        </is>
      </c>
      <c r="J610" t="inlineStr">
        <is>
          <t>FTC</t>
        </is>
      </c>
    </row>
    <row r="611">
      <c r="B611" t="inlineStr">
        <is>
          <t>Pmt_Withholding</t>
        </is>
      </c>
      <c r="C611" t="inlineStr">
        <is>
          <t>Payment</t>
        </is>
      </c>
      <c r="D611" t="inlineStr">
        <is>
          <t>No</t>
        </is>
      </c>
      <c r="E611" t="inlineStr">
        <is>
          <t>N/A</t>
        </is>
      </c>
      <c r="F611" t="inlineStr">
        <is>
          <t>No</t>
        </is>
      </c>
      <c r="G611" t="n">
        <v>25</v>
      </c>
      <c r="H611" t="inlineStr">
        <is>
          <t>NONE</t>
        </is>
      </c>
      <c r="I611" t="inlineStr">
        <is>
          <t>(n/a)</t>
        </is>
      </c>
      <c r="J611" t="inlineStr">
        <is>
          <t>Withholding</t>
        </is>
      </c>
    </row>
    <row r="612">
      <c r="B612" t="inlineStr">
        <is>
          <t>Pmt_EstTax</t>
        </is>
      </c>
      <c r="C612" t="inlineStr">
        <is>
          <t>Payment</t>
        </is>
      </c>
      <c r="D612" t="inlineStr">
        <is>
          <t>No</t>
        </is>
      </c>
      <c r="E612" t="inlineStr">
        <is>
          <t>N/A</t>
        </is>
      </c>
      <c r="F612" t="inlineStr">
        <is>
          <t>No</t>
        </is>
      </c>
      <c r="G612" t="n">
        <v>26</v>
      </c>
      <c r="H612" t="inlineStr">
        <is>
          <t>NONE</t>
        </is>
      </c>
      <c r="I612" t="inlineStr">
        <is>
          <t>safe harbor met?</t>
        </is>
      </c>
      <c r="J612" t="inlineStr">
        <is>
          <t>Estimated tax</t>
        </is>
      </c>
    </row>
  </sheetData>
  <pageMargins left="0.7" right="0.7" top="0.75" bottom="0.75" header="0.3" footer="0.3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2.xml><?xml version="1.0" encoding="utf-8"?>
<worksheet xmlns="http://schemas.openxmlformats.org/spreadsheetml/2006/main">
  <sheetPr>
    <tabColor rgb="FFC00000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4.5"/>
  <cols>
    <col width="22" customWidth="1" style="19" min="1" max="12"/>
  </cols>
  <sheetData>
    <row r="1" ht="18.5" customHeight="1" s="19">
      <c r="A1" s="1" t="inlineStr">
        <is>
          <t>DROPDOWN LISTS — top-level + per-bucket cascade named ranges</t>
        </is>
      </c>
    </row>
    <row r="3">
      <c r="A3" s="10" t="inlineStr">
        <is>
          <t>Bucket</t>
        </is>
      </c>
      <c r="B3" s="10" t="inlineStr">
        <is>
          <t>Yes_No</t>
        </is>
      </c>
      <c r="C3" s="10" t="inlineStr">
        <is>
          <t>NIIT_Class</t>
        </is>
      </c>
      <c r="D3" s="10" t="inlineStr">
        <is>
          <t>Provenance</t>
        </is>
      </c>
      <c r="E3" s="10" t="inlineStr">
        <is>
          <t>Status</t>
        </is>
      </c>
      <c r="F3" s="10" t="inlineStr">
        <is>
          <t>TaxLines</t>
        </is>
      </c>
      <c r="G3" s="10" t="inlineStr">
        <is>
          <t>Activity_Type</t>
        </is>
      </c>
    </row>
    <row r="4">
      <c r="A4" t="inlineStr">
        <is>
          <t>Business Income</t>
        </is>
      </c>
      <c r="B4" t="inlineStr">
        <is>
          <t>Yes</t>
        </is>
      </c>
      <c r="C4" t="inlineStr">
        <is>
          <t>Active</t>
        </is>
      </c>
      <c r="D4" t="inlineStr">
        <is>
          <t>PY Rolled Forward</t>
        </is>
      </c>
      <c r="E4" t="inlineStr">
        <is>
          <t>Proposed</t>
        </is>
      </c>
      <c r="F4" t="inlineStr">
        <is>
          <t>1z</t>
        </is>
      </c>
      <c r="G4" t="inlineStr">
        <is>
          <t>Baseline</t>
        </is>
      </c>
    </row>
    <row r="5">
      <c r="A5" t="inlineStr">
        <is>
          <t>Wages</t>
        </is>
      </c>
      <c r="B5" t="inlineStr">
        <is>
          <t>No</t>
        </is>
      </c>
      <c r="C5" t="inlineStr">
        <is>
          <t>Passive</t>
        </is>
      </c>
      <c r="D5" t="inlineStr">
        <is>
          <t>PY Actuals</t>
        </is>
      </c>
      <c r="E5" t="inlineStr">
        <is>
          <t>Approved</t>
        </is>
      </c>
      <c r="F5" t="inlineStr">
        <is>
          <t>2a</t>
        </is>
      </c>
      <c r="G5" t="inlineStr">
        <is>
          <t>Strategy</t>
        </is>
      </c>
    </row>
    <row r="6">
      <c r="A6" t="inlineStr">
        <is>
          <t>Investment Income</t>
        </is>
      </c>
      <c r="C6" t="inlineStr">
        <is>
          <t>Portfolio</t>
        </is>
      </c>
      <c r="D6" t="inlineStr">
        <is>
          <t>Estimate - Preparer</t>
        </is>
      </c>
      <c r="E6" t="inlineStr">
        <is>
          <t>Committed</t>
        </is>
      </c>
      <c r="F6" t="inlineStr">
        <is>
          <t>2b</t>
        </is>
      </c>
    </row>
    <row r="7">
      <c r="A7" t="inlineStr">
        <is>
          <t>Capital Gains</t>
        </is>
      </c>
      <c r="C7" t="inlineStr">
        <is>
          <t>N/A</t>
        </is>
      </c>
      <c r="D7" t="inlineStr">
        <is>
          <t>Estimate - Client</t>
        </is>
      </c>
      <c r="E7" t="inlineStr">
        <is>
          <t>Implemented</t>
        </is>
      </c>
      <c r="F7" t="inlineStr">
        <is>
          <t>3a</t>
        </is>
      </c>
    </row>
    <row r="8">
      <c r="A8" t="inlineStr">
        <is>
          <t>Adjustment</t>
        </is>
      </c>
      <c r="D8" t="inlineStr">
        <is>
          <t>PBC - Requested</t>
        </is>
      </c>
      <c r="E8" t="inlineStr">
        <is>
          <t>Rejected</t>
        </is>
      </c>
      <c r="F8" t="inlineStr">
        <is>
          <t>3b</t>
        </is>
      </c>
    </row>
    <row r="9">
      <c r="A9" t="inlineStr">
        <is>
          <t>Itemized</t>
        </is>
      </c>
      <c r="D9" t="inlineStr">
        <is>
          <t>PBC - Received</t>
        </is>
      </c>
      <c r="F9" t="inlineStr">
        <is>
          <t>7</t>
        </is>
      </c>
    </row>
    <row r="10">
      <c r="A10" t="inlineStr">
        <is>
          <t>Credit</t>
        </is>
      </c>
      <c r="D10" t="inlineStr">
        <is>
          <t>PBC - Reviewed</t>
        </is>
      </c>
      <c r="F10" t="inlineStr">
        <is>
          <t>8</t>
        </is>
      </c>
    </row>
    <row r="11">
      <c r="A11" t="inlineStr">
        <is>
          <t>Payment</t>
        </is>
      </c>
      <c r="D11" t="inlineStr">
        <is>
          <t>Extraction - Imported</t>
        </is>
      </c>
      <c r="F11" t="inlineStr">
        <is>
          <t>10</t>
        </is>
      </c>
    </row>
    <row r="12">
      <c r="D12" t="inlineStr">
        <is>
          <t>Extraction - Tied</t>
        </is>
      </c>
      <c r="F12" t="inlineStr">
        <is>
          <t>12</t>
        </is>
      </c>
    </row>
    <row r="13">
      <c r="D13" t="inlineStr">
        <is>
          <t>System Calculated</t>
        </is>
      </c>
      <c r="F13" t="inlineStr">
        <is>
          <t>13</t>
        </is>
      </c>
    </row>
    <row r="17">
      <c r="A17" s="7" t="inlineStr">
        <is>
          <t>▸ PER-BUCKET TREATMENT_PROFILE LISTS</t>
        </is>
      </c>
    </row>
    <row r="18">
      <c r="A18" s="10" t="inlineStr">
        <is>
          <t>BusinessIncome_Profiles</t>
        </is>
      </c>
      <c r="B18" s="10" t="inlineStr">
        <is>
          <t>Wages_Profiles</t>
        </is>
      </c>
      <c r="C18" s="10" t="inlineStr">
        <is>
          <t>InvestmentIncome_Profiles</t>
        </is>
      </c>
      <c r="D18" s="10" t="inlineStr">
        <is>
          <t>CapitalGains_Profiles</t>
        </is>
      </c>
      <c r="E18" s="10" t="inlineStr">
        <is>
          <t>Adjustment_Profiles</t>
        </is>
      </c>
      <c r="F18" s="10" t="inlineStr">
        <is>
          <t>Itemized_Profiles</t>
        </is>
      </c>
      <c r="G18" s="10" t="inlineStr">
        <is>
          <t>Credit_Profiles</t>
        </is>
      </c>
      <c r="H18" s="10" t="inlineStr">
        <is>
          <t>Payment_Profiles</t>
        </is>
      </c>
    </row>
    <row r="19">
      <c r="A19" t="inlineStr">
        <is>
          <t>SchC_Active</t>
        </is>
      </c>
      <c r="B19" t="inlineStr">
        <is>
          <t>W2_Employee</t>
        </is>
      </c>
      <c r="C19" t="inlineStr">
        <is>
          <t>Int_Taxable</t>
        </is>
      </c>
      <c r="D19" t="inlineStr">
        <is>
          <t>LTCG_Stock</t>
        </is>
      </c>
      <c r="E19" t="inlineStr">
        <is>
          <t>Adj_HSA</t>
        </is>
      </c>
      <c r="F19" t="inlineStr">
        <is>
          <t>Itm_Medical</t>
        </is>
      </c>
      <c r="G19" t="inlineStr">
        <is>
          <t>Cr_CTC</t>
        </is>
      </c>
      <c r="H19" t="inlineStr">
        <is>
          <t>Pmt_Withholding</t>
        </is>
      </c>
    </row>
    <row r="20">
      <c r="A20" t="inlineStr">
        <is>
          <t>SchE_Rental</t>
        </is>
      </c>
      <c r="B20" t="inlineStr">
        <is>
          <t>W2_SCorpOwner</t>
        </is>
      </c>
      <c r="C20" t="inlineStr">
        <is>
          <t>Int_Exempt</t>
        </is>
      </c>
      <c r="D20" t="inlineStr">
        <is>
          <t>STCG_Stock</t>
        </is>
      </c>
      <c r="E20" t="inlineStr">
        <is>
          <t>Adj_IRA</t>
        </is>
      </c>
      <c r="F20" t="inlineStr">
        <is>
          <t>Itm_SALT</t>
        </is>
      </c>
      <c r="G20" t="inlineStr">
        <is>
          <t>Cr_Education</t>
        </is>
      </c>
      <c r="H20" t="inlineStr">
        <is>
          <t>Pmt_EstTax</t>
        </is>
      </c>
    </row>
    <row r="21">
      <c r="A21" t="inlineStr">
        <is>
          <t>SchE_REPro</t>
        </is>
      </c>
      <c r="C21" t="inlineStr">
        <is>
          <t>Div_Qualified</t>
        </is>
      </c>
      <c r="D21" t="inlineStr">
        <is>
          <t>LTCG_RE</t>
        </is>
      </c>
      <c r="E21" t="inlineStr">
        <is>
          <t>Adj_Retirement</t>
        </is>
      </c>
      <c r="F21" t="inlineStr">
        <is>
          <t>Itm_Mortgage</t>
        </is>
      </c>
      <c r="G21" t="inlineStr">
        <is>
          <t>Cr_FTC</t>
        </is>
      </c>
    </row>
    <row r="22">
      <c r="A22" t="inlineStr">
        <is>
          <t>SchF_Active</t>
        </is>
      </c>
      <c r="C22" t="inlineStr">
        <is>
          <t>Div_Ordinary</t>
        </is>
      </c>
      <c r="D22" t="inlineStr">
        <is>
          <t>Sec1250_Recap</t>
        </is>
      </c>
      <c r="E22" t="inlineStr">
        <is>
          <t>Adj_SEHealth</t>
        </is>
      </c>
      <c r="F22" t="inlineStr">
        <is>
          <t>Itm_Charity</t>
        </is>
      </c>
    </row>
    <row r="23">
      <c r="A23" t="inlineStr">
        <is>
          <t>K1_PTP_Active</t>
        </is>
      </c>
      <c r="D23" t="inlineStr">
        <is>
          <t>LTCG_K1_Passthrough</t>
        </is>
      </c>
      <c r="E23" t="inlineStr">
        <is>
          <t>Adj_StudentLoan</t>
        </is>
      </c>
    </row>
    <row r="24">
      <c r="A24" t="inlineStr">
        <is>
          <t>K1_PTP_Passive</t>
        </is>
      </c>
    </row>
    <row r="25">
      <c r="A25" t="inlineStr">
        <is>
          <t>K1_SCorp_Active</t>
        </is>
      </c>
    </row>
    <row r="26">
      <c r="A26" t="inlineStr">
        <is>
          <t>K1_SCorp_Passive</t>
        </is>
      </c>
    </row>
    <row r="27">
      <c r="A27" t="inlineStr">
        <is>
          <t>Trust_K1</t>
        </is>
      </c>
    </row>
    <row r="33">
      <c r="A33" s="7" t="inlineStr">
        <is>
          <t>▸ PER-BUCKET SOURCE_DOCUMENT LISTS</t>
        </is>
      </c>
    </row>
    <row r="34">
      <c r="A34" s="10" t="inlineStr">
        <is>
          <t>BusinessIncome_Docs</t>
        </is>
      </c>
      <c r="B34" s="10" t="inlineStr">
        <is>
          <t>Wages_Docs</t>
        </is>
      </c>
      <c r="C34" s="10" t="inlineStr">
        <is>
          <t>InvestmentIncome_Docs</t>
        </is>
      </c>
      <c r="D34" s="10" t="inlineStr">
        <is>
          <t>CapitalGains_Docs</t>
        </is>
      </c>
      <c r="E34" s="10" t="inlineStr">
        <is>
          <t>Adjustment_Docs</t>
        </is>
      </c>
      <c r="F34" s="10" t="inlineStr">
        <is>
          <t>Itemized_Docs</t>
        </is>
      </c>
      <c r="G34" s="10" t="inlineStr">
        <is>
          <t>Credit_Docs</t>
        </is>
      </c>
      <c r="H34" s="10" t="inlineStr">
        <is>
          <t>Payment_Docs</t>
        </is>
      </c>
    </row>
    <row r="35">
      <c r="A35" t="inlineStr">
        <is>
          <t>K-1</t>
        </is>
      </c>
      <c r="B35" t="inlineStr">
        <is>
          <t>W-2</t>
        </is>
      </c>
      <c r="C35" t="inlineStr">
        <is>
          <t>1099-INT</t>
        </is>
      </c>
      <c r="D35" t="inlineStr">
        <is>
          <t>1099-B</t>
        </is>
      </c>
      <c r="E35" t="inlineStr">
        <is>
          <t>HSA Stmt</t>
        </is>
      </c>
      <c r="F35" t="inlineStr">
        <is>
          <t>Charity Receipts</t>
        </is>
      </c>
      <c r="G35" t="inlineStr">
        <is>
          <t>CTC Verification</t>
        </is>
      </c>
      <c r="H35" t="inlineStr">
        <is>
          <t>Withholding Stmt</t>
        </is>
      </c>
    </row>
    <row r="36">
      <c r="A36" t="inlineStr">
        <is>
          <t>P&amp;L Statement</t>
        </is>
      </c>
      <c r="B36" t="inlineStr">
        <is>
          <t>Paystub Summary</t>
        </is>
      </c>
      <c r="C36" t="inlineStr">
        <is>
          <t>1099-DIV</t>
        </is>
      </c>
      <c r="D36" t="inlineStr">
        <is>
          <t>Settlement Statement</t>
        </is>
      </c>
      <c r="E36" t="inlineStr">
        <is>
          <t>IRA Receipt</t>
        </is>
      </c>
      <c r="F36" t="inlineStr">
        <is>
          <t>1098 Mortgage</t>
        </is>
      </c>
      <c r="G36" t="inlineStr">
        <is>
          <t>1098-T</t>
        </is>
      </c>
      <c r="H36" t="inlineStr">
        <is>
          <t>Est Tax Vouchers</t>
        </is>
      </c>
    </row>
    <row r="37">
      <c r="A37" t="inlineStr">
        <is>
          <t>QuickBooks Export</t>
        </is>
      </c>
      <c r="B37" t="inlineStr">
        <is>
          <t>S-Corp Officer Comp Wkpr</t>
        </is>
      </c>
      <c r="C37" t="inlineStr">
        <is>
          <t>Broker Year-End Stmt</t>
        </is>
      </c>
      <c r="D37" t="inlineStr">
        <is>
          <t>K-1 (passthrough)</t>
        </is>
      </c>
      <c r="E37" t="inlineStr">
        <is>
          <t>Retirement Plan Stmt</t>
        </is>
      </c>
      <c r="F37" t="inlineStr">
        <is>
          <t>Property Tax Receipt</t>
        </is>
      </c>
      <c r="G37" t="inlineStr">
        <is>
          <t>FTC Workpaper</t>
        </is>
      </c>
    </row>
    <row r="38">
      <c r="A38" t="inlineStr">
        <is>
          <t>Sch C Workpaper</t>
        </is>
      </c>
      <c r="D38" t="inlineStr">
        <is>
          <t>8949 detail</t>
        </is>
      </c>
      <c r="E38" t="inlineStr">
        <is>
          <t>1098-E</t>
        </is>
      </c>
      <c r="F38" t="inlineStr">
        <is>
          <t>Medical Receipts</t>
        </is>
      </c>
    </row>
    <row r="39">
      <c r="A39" t="inlineStr">
        <is>
          <t>Sch E Workpaper</t>
        </is>
      </c>
      <c r="E39" t="inlineStr">
        <is>
          <t>SE Health Premium</t>
        </is>
      </c>
    </row>
    <row r="40">
      <c r="A40" t="inlineStr">
        <is>
          <t>Sch F Workpaper</t>
        </is>
      </c>
    </row>
    <row r="41">
      <c r="A41" t="inlineStr">
        <is>
          <t>PY Return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C00000"/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4.5"/>
  <sheetData>
    <row r="1" ht="15.5" customHeight="1" s="19">
      <c r="A1" s="30" t="inlineStr">
        <is>
          <t>FRAMEWORK REFERENCE</t>
        </is>
      </c>
      <c r="B1" s="30" t="n"/>
      <c r="C1" s="30" t="n"/>
      <c r="D1" s="30" t="n"/>
      <c r="E1" s="30" t="n"/>
    </row>
    <row r="2">
      <c r="A2" t="inlineStr">
        <is>
          <t>Canon §3 (Wealth Architecture) · §4 (5 Core Strategies) · §5 (7 Supplemental) · §9 (Principles &amp; Guardrails)</t>
        </is>
      </c>
    </row>
    <row r="4">
      <c r="A4" t="inlineStr">
        <is>
          <t>SECTION A — THE WEALTH ARCHITECTURE PRINCIPLE</t>
        </is>
      </c>
    </row>
    <row r="6">
      <c r="A6" t="inlineStr">
        <is>
          <t>"Real estate is the thread."</t>
        </is>
      </c>
    </row>
    <row r="7">
      <c r="A7" t="inlineStr">
        <is>
          <t>Tax planning is offensive capital allocation, not defensive minimization. The framework aligns tax strategy with wealth strategy.</t>
        </is>
      </c>
    </row>
    <row r="9">
      <c r="A9" t="inlineStr">
        <is>
          <t>Direction A — Already investing in RE:</t>
        </is>
      </c>
    </row>
    <row r="10">
      <c r="A10" t="inlineStr">
        <is>
          <t>Tax strategy aligns with the wealth strategy the client is already executing.</t>
        </is>
      </c>
    </row>
    <row r="12">
      <c r="A12" t="inlineStr">
        <is>
          <t>Direction B — Not yet investing, but should be:</t>
        </is>
      </c>
    </row>
    <row r="13">
      <c r="A13" t="inlineStr">
        <is>
          <t>The operating business already supports holding properties with near-zero transactional friction. Framework points the way.</t>
        </is>
      </c>
    </row>
    <row r="16">
      <c r="A16" t="inlineStr">
        <is>
          <t>SECTION B — THE FIVE CORE STRATEGIES (Bucket A)</t>
        </is>
      </c>
    </row>
    <row r="17">
      <c r="A17" t="inlineStr">
        <is>
          <t>Dependency-ordered. #1 enables #2 (wage). #2 enables #3 (retirement caps). #4 and #5 parallel.</t>
        </is>
      </c>
    </row>
    <row r="19">
      <c r="A19" t="inlineStr">
        <is>
          <t>Strategy</t>
        </is>
      </c>
      <c r="B19" t="inlineStr">
        <is>
          <t>Why this strategy</t>
        </is>
      </c>
      <c r="C19" t="inlineStr">
        <is>
          <t>Mechanics</t>
        </is>
      </c>
      <c r="D19" t="inlineStr">
        <is>
          <t>Output</t>
        </is>
      </c>
      <c r="E19" t="inlineStr">
        <is>
          <t>Referral Trigger</t>
        </is>
      </c>
    </row>
    <row r="20">
      <c r="A20" t="inlineStr">
        <is>
          <t>#1 — Entity Structuring Optimization</t>
        </is>
      </c>
      <c r="B20" t="inlineStr">
        <is>
          <t>Foundation. Every downstream strategy depends on entity form. Can't optimize wages without an S-Corp; can't optimize retirement caps without wage placement.</t>
        </is>
      </c>
      <c r="C20" t="inlineStr">
        <is>
          <t>S-Corp placement (operating vs HoldCo over OpCo); QBI eligibility; §199A aggregation; §1.469-4 grouping for multi-property REPS.</t>
        </is>
      </c>
      <c r="D20" t="inlineStr">
        <is>
          <t>Org chart (current → target); Form 2553 plan; QBI calc; aggregation/grouping elections.</t>
        </is>
      </c>
      <c r="E20" t="inlineStr">
        <is>
          <t>FileForms (entity compliance)</t>
        </is>
      </c>
    </row>
    <row r="21">
      <c r="A21" t="inlineStr">
        <is>
          <t>#2 — Wage Optimization</t>
        </is>
      </c>
      <c r="B21" t="inlineStr">
        <is>
          <t>Level decision dependent on #1's placement. Wage drives #3 contribution caps and §199A wage-limit test.</t>
        </is>
      </c>
      <c r="C21" t="inlineStr">
        <is>
          <t>Soft FLOOR: 33% of total active income subject to SE tax. Soft CEILING: $150K per-business. Canon §4 v1.4.</t>
        </is>
      </c>
      <c r="D21" t="inlineStr">
        <is>
          <t>Recommended annual wage per business + aggregate; SE tax savings calc; wage capacity for retirement.</t>
        </is>
      </c>
      <c r="E21" t="inlineStr">
        <is>
          <t>—</t>
        </is>
      </c>
    </row>
    <row r="22">
      <c r="A22" t="inlineStr">
        <is>
          <t>#3 — Retirement Contribution Optimization</t>
        </is>
      </c>
      <c r="B22" t="inlineStr">
        <is>
          <t>Contribution caps are function of #2's wage. Solo 401(k) employer cap = 25% of W-2 wage.</t>
        </is>
      </c>
      <c r="C22" t="inlineStr">
        <is>
          <t>Default vehicle: Self-Directed Solo 401(k). Pre-tax employee deferral + 25% employer. HSA Family layer + age catch-ups.</t>
        </is>
      </c>
      <c r="D22" t="inlineStr">
        <is>
          <t>Recommended plan type; annual contribution plan; HSA tie-in; age-band catch-up surfacing.</t>
        </is>
      </c>
      <c r="E22" t="inlineStr">
        <is>
          <t>Self-Directed Solo 401(k) provider (Q3 2026 productization)</t>
        </is>
      </c>
    </row>
    <row r="23">
      <c r="A23" t="inlineStr">
        <is>
          <t>#4 — Bonus Depreciation Optimization</t>
        </is>
      </c>
      <c r="B23" t="inlineStr">
        <is>
          <t>Parallel to #2-#3. Primary lever for converting RE wealth into active loss offsets.</t>
        </is>
      </c>
      <c r="C23" t="inlineStr">
        <is>
          <t>REPS qualification (TP / Spouse / Both) + Cost Seg study. Canon §4 v1.4 default: 25% Y1 acceleration of total basis.</t>
        </is>
      </c>
      <c r="D23" t="inlineStr">
        <is>
          <t>Property-by-property cost seg recommendation; annual depreciation projection; absorption-sized property basis.</t>
        </is>
      </c>
      <c r="E23" t="inlineStr">
        <is>
          <t>Cost Seg partner</t>
        </is>
      </c>
    </row>
    <row r="24">
      <c r="A24" t="inlineStr">
        <is>
          <t>#5 — Low Hanging Fruit Optimization</t>
        </is>
      </c>
      <c r="B24" t="inlineStr">
        <is>
          <t>Parallel to #4. Operates independently of architectural decisions; absorbs ordinary business expense.</t>
        </is>
      </c>
      <c r="C24" t="inlineStr">
        <is>
          <t>Accountable Plan reimbursements + Augusta Rule (≤14 days) + Children Employment (kiddie standard deduction).</t>
        </is>
      </c>
      <c r="D24" t="inlineStr">
        <is>
          <t>LHF checklist with implementation deadlines; required documentation templates.</t>
        </is>
      </c>
      <c r="E24" t="inlineStr">
        <is>
          <t>—</t>
        </is>
      </c>
    </row>
    <row r="27">
      <c r="A27" t="inlineStr">
        <is>
          <t>SECTION C — SEVEN SUPPLEMENTAL STRATEGIES (Bucket B)</t>
        </is>
      </c>
    </row>
    <row r="28">
      <c r="A28" t="inlineStr">
        <is>
          <t>Code</t>
        </is>
      </c>
      <c r="B28" t="inlineStr">
        <is>
          <t>Strategy</t>
        </is>
      </c>
      <c r="C28" t="inlineStr">
        <is>
          <t>When It Applies</t>
        </is>
      </c>
      <c r="D28" t="inlineStr">
        <is>
          <t>Cadence</t>
        </is>
      </c>
      <c r="E28" t="inlineStr">
        <is>
          <t>Avatar Frequency</t>
        </is>
      </c>
    </row>
    <row r="29">
      <c r="A29" t="inlineStr">
        <is>
          <t>B1</t>
        </is>
      </c>
      <c r="B29" t="inlineStr">
        <is>
          <t>PTET (Pass-Through Entity Tax)</t>
        </is>
      </c>
      <c r="C29" t="inlineStr">
        <is>
          <t>Client lives/operates in PTET-enabled state with active business</t>
        </is>
      </c>
      <c r="D29" t="inlineStr">
        <is>
          <t>Annual election</t>
        </is>
      </c>
      <c r="E29" t="inlineStr">
        <is>
          <t>High in graduated states (CA, NY, NJ, MA, OR, MN, HI) — see GLOSSARY Section C</t>
        </is>
      </c>
    </row>
    <row r="30">
      <c r="A30" t="inlineStr">
        <is>
          <t>B2</t>
        </is>
      </c>
      <c r="B30" t="inlineStr">
        <is>
          <t>TAXLOSS (Tax Loss Harvesting)</t>
        </is>
      </c>
      <c r="C30" t="inlineStr">
        <is>
          <t>Client has taxable brokerage account</t>
        </is>
      </c>
      <c r="D30" t="inlineStr">
        <is>
          <t>Recurring annual (year-end)</t>
        </is>
      </c>
      <c r="E30" t="inlineStr">
        <is>
          <t>Moderate — most avatars have brokerage exposure</t>
        </is>
      </c>
    </row>
    <row r="31">
      <c r="A31" t="inlineStr">
        <is>
          <t>B3</t>
        </is>
      </c>
      <c r="B31" t="inlineStr">
        <is>
          <t>INCSHIFT (Income/Expense Shifting)</t>
        </is>
      </c>
      <c r="C31" t="inlineStr">
        <is>
          <t>Universal timing lever</t>
        </is>
      </c>
      <c r="D31" t="inlineStr">
        <is>
          <t>Year-end execution</t>
        </is>
      </c>
      <c r="E31" t="inlineStr">
        <is>
          <t>Universal — every active client</t>
        </is>
      </c>
    </row>
    <row r="32">
      <c r="A32" t="inlineStr">
        <is>
          <t>B4</t>
        </is>
      </c>
      <c r="B32" t="inlineStr">
        <is>
          <t>ROTH (Roth Conversions)</t>
        </is>
      </c>
      <c r="C32" t="inlineStr">
        <is>
          <t>Bracket-management (low-income year OR expected higher rates)</t>
        </is>
      </c>
      <c r="D32" t="inlineStr">
        <is>
          <t>As opportunities arise</t>
        </is>
      </c>
      <c r="E32" t="inlineStr">
        <is>
          <t>Situational — Year 1 transitions, NOL years</t>
        </is>
      </c>
    </row>
    <row r="33">
      <c r="A33" t="inlineStr">
        <is>
          <t>B5</t>
        </is>
      </c>
      <c r="B33" t="inlineStr">
        <is>
          <t>DAF (Donor-Advised Fund)</t>
        </is>
      </c>
      <c r="C33" t="inlineStr">
        <is>
          <t>Meaningful charitable contributions; bunching opportunity</t>
        </is>
      </c>
      <c r="D33" t="inlineStr">
        <is>
          <t>Recurring annual</t>
        </is>
      </c>
      <c r="E33" t="inlineStr">
        <is>
          <t>Moderate — typically $25K+ annual giving</t>
        </is>
      </c>
    </row>
    <row r="34">
      <c r="A34" t="inlineStr">
        <is>
          <t>B6</t>
        </is>
      </c>
      <c r="B34" t="inlineStr">
        <is>
          <t>EXCH1031 (1031 Exchange)</t>
        </is>
      </c>
      <c r="C34" t="inlineStr">
        <is>
          <t>Property sale transaction pending</t>
        </is>
      </c>
      <c r="D34" t="inlineStr">
        <is>
          <t>Transaction-triggered</t>
        </is>
      </c>
      <c r="E34" t="inlineStr">
        <is>
          <t>High for active RE — every disposition is a candidate</t>
        </is>
      </c>
    </row>
    <row r="35">
      <c r="A35" t="inlineStr">
        <is>
          <t>B7</t>
        </is>
      </c>
      <c r="B35" t="inlineStr">
        <is>
          <t>OPPZONE (Opportunity Zones)</t>
        </is>
      </c>
      <c r="C35" t="inlineStr">
        <is>
          <t>Capital gain event in 180-day window</t>
        </is>
      </c>
      <c r="D35" t="inlineStr">
        <is>
          <t>Gain-event triggered</t>
        </is>
      </c>
      <c r="E35" t="inlineStr">
        <is>
          <t>Low — gain-event-dependent</t>
        </is>
      </c>
    </row>
    <row r="38">
      <c r="A38" t="inlineStr">
        <is>
          <t>SECTION D — PRINCIPLES &amp; GUARDRAILS (Canon §9)</t>
        </is>
      </c>
    </row>
    <row r="40">
      <c r="A40" t="inlineStr">
        <is>
          <t>One framework, one ordering</t>
        </is>
      </c>
      <c r="B40" t="inlineStr">
        <is>
          <t>Dependency = engagement = canonical. Don't introduce alternative orderings.</t>
        </is>
      </c>
    </row>
    <row r="41">
      <c r="A41" t="inlineStr">
        <is>
          <t>Real estate is the thread</t>
        </is>
      </c>
      <c r="B41" t="inlineStr">
        <is>
          <t>Framework is real-estate-native. Direction A or Direction B; external articulation may vary but framework execution does not.</t>
        </is>
      </c>
    </row>
    <row r="42">
      <c r="A42" t="inlineStr">
        <is>
          <t>Plan Maturity is data-quality-driven, not calendar-driven</t>
        </is>
      </c>
      <c r="B42" t="inlineStr">
        <is>
          <t>Nov-signed client stays Standard Assumptions through mid-Q2. Normal.</t>
        </is>
      </c>
    </row>
    <row r="43">
      <c r="A43" t="inlineStr">
        <is>
          <t>Tax Plan asset is the recurring deliverable</t>
        </is>
      </c>
      <c r="B43" t="inlineStr">
        <is>
          <t>Same document Day 1 (Insights) → Day 365+ (Monitoring). Progressively sharpens.</t>
        </is>
      </c>
    </row>
    <row r="44">
      <c r="A44" t="inlineStr">
        <is>
          <t>Three-Number Headline</t>
        </is>
      </c>
      <c r="B44" t="inlineStr">
        <is>
          <t>Tax Without, Tax With, Take-Home Cash With. Third number is the family-alignment metric.</t>
        </is>
      </c>
    </row>
    <row r="45">
      <c r="A45" t="inlineStr">
        <is>
          <t>Strategy #2 has operating defaults, not absolutes</t>
        </is>
      </c>
      <c r="B45" t="inlineStr">
        <is>
          <t>33% SE wage floor; $150K per-business ceiling. Planner Advisory makes overrides explicit.</t>
        </is>
      </c>
    </row>
    <row r="46">
      <c r="A46" t="inlineStr">
        <is>
          <t>Strategy #1 stops at the recommendation</t>
        </is>
      </c>
      <c r="B46" t="inlineStr">
        <is>
          <t>Operating the entity = Back Office scope, not Tax Planning. Separate engagement.</t>
        </is>
      </c>
    </row>
    <row r="47">
      <c r="A47" t="inlineStr">
        <is>
          <t>Take-Home Cash Floor</t>
        </is>
      </c>
      <c r="B47" t="inlineStr">
        <is>
          <t>When plan's W/ take-home drops below ~60-70% of W/O baseline, flag for family alignment review.</t>
        </is>
      </c>
    </row>
    <row r="48">
      <c r="A48" t="inlineStr">
        <is>
          <t>§9 INTERNAL Flags Discipline</t>
        </is>
      </c>
      <c r="B48" t="inlineStr">
        <is>
          <t>Every plan ships with Strategist's internal flag list. Excluded from client deliverable, retained for plan review.</t>
        </is>
      </c>
    </row>
    <row r="49">
      <c r="A49" t="inlineStr">
        <is>
          <t>Cascade methodology</t>
        </is>
      </c>
      <c r="B49" t="inlineStr">
        <is>
          <t>Each strategy's marginal value computed by switching it OFF and recomputing. Plan Synergy captures interaction effects.</t>
        </is>
      </c>
    </row>
    <row r="50">
      <c r="A50" t="inlineStr">
        <is>
          <t>Plan Synergy line is mandatory</t>
        </is>
      </c>
      <c r="B50" t="inlineStr">
        <is>
          <t>Every artifact decomposing strategy savings must show Plan Synergy. Cannot collapse to single strategy.</t>
        </is>
      </c>
    </row>
    <row r="51">
      <c r="A51" t="inlineStr">
        <is>
          <t>Absorption Principle — Property basis is OUTPUT, not input</t>
        </is>
      </c>
      <c r="B51" t="inlineStr">
        <is>
          <t>Residual Capacity = AGI − Standard Deduction in S4-OFF scenario. Drives recommended property basis.</t>
        </is>
      </c>
    </row>
    <row r="52">
      <c r="A52" t="inlineStr">
        <is>
          <t>Scaling Test — Two-rule deal qualifier</t>
        </is>
      </c>
      <c r="B52" t="inlineStr">
        <is>
          <t>Deal qualifies only if: (1) DSCR ≥ 1.20 on stabilized debt service; (2) basis fits absorption capacity ±10%.</t>
        </is>
      </c>
    </row>
    <row r="55">
      <c r="A55" t="inlineStr">
        <is>
          <t>═══════════════════════════════════════════════════════</t>
        </is>
      </c>
    </row>
    <row r="56" ht="18.5" customHeight="1" s="19">
      <c r="A56" s="15" t="inlineStr">
        <is>
          <t>TAX COMPUTATION PECKING ORDER</t>
        </is>
      </c>
    </row>
    <row r="57">
      <c r="A57" t="inlineStr">
        <is>
          <t>The correct sequence for computing federal taxes</t>
        </is>
      </c>
    </row>
    <row r="59" ht="409.5" customHeight="1" s="19">
      <c r="A59" t="n">
        <v>1</v>
      </c>
      <c r="B59" t="inlineStr">
        <is>
          <t>CLASSIFY ALL INCOME</t>
        </is>
      </c>
      <c r="C59" s="58" t="inlineStr">
        <is>
          <t>Before computing anything, tag every dollar with:
- Character bucket: Ordinary, QD, LTCG, STCG, 1250, Collectibles, 1231
- NIIT/Activity bucket: Active, Passive, Portfolio, Exempt
This drives everything downstream.</t>
        </is>
      </c>
    </row>
    <row r="60" ht="275.5" customHeight="1" s="19">
      <c r="A60" t="n">
        <v>2</v>
      </c>
      <c r="B60" t="inlineStr">
        <is>
          <t>COMPUTE SE TAX EARLY</t>
        </is>
      </c>
      <c r="C60" s="58" t="inlineStr">
        <is>
          <t>SE tax is computed on net SE earnings × 92.35%
The 1/2 SE tax deduction reduces AGI
This affects MAGI for NIIT and many phaseouts</t>
        </is>
      </c>
    </row>
    <row r="61" ht="348" customHeight="1" s="19">
      <c r="A61" t="n">
        <v>3</v>
      </c>
      <c r="B61" t="inlineStr">
        <is>
          <t>BUILD AGI</t>
        </is>
      </c>
      <c r="C61" s="58" t="inlineStr">
        <is>
          <t>AGI = All taxable income - Above-the-line deductions
Includes: Wages, SE income, capital gains, dividends, interest
Minus: 1/2 SE tax, retirement contributions, HSA, etc.</t>
        </is>
      </c>
    </row>
    <row r="62" ht="159.5" customHeight="1" s="19">
      <c r="A62" t="n">
        <v>4</v>
      </c>
      <c r="B62" t="inlineStr">
        <is>
          <t>BUILD MAGI</t>
        </is>
      </c>
      <c r="C62" s="58" t="inlineStr">
        <is>
          <t>For NIIT: MAGI = AGI (for most people)
Note: QBI does NOT reduce AGI or MAGI</t>
        </is>
      </c>
    </row>
    <row r="63" ht="217.5" customHeight="1" s="19">
      <c r="A63" t="n">
        <v>5</v>
      </c>
      <c r="B63" t="inlineStr">
        <is>
          <t>BUILD TAXABLE INCOME (pre-QBI)</t>
        </is>
      </c>
      <c r="C63" s="58" t="inlineStr">
        <is>
          <t>Taxable Income = AGI - Standard/Itemized deduction
Compare: Standard vs Itemized, take the greater</t>
        </is>
      </c>
    </row>
    <row r="64" ht="275.5" customHeight="1" s="19">
      <c r="A64" t="n">
        <v>6</v>
      </c>
      <c r="B64" t="inlineStr">
        <is>
          <t>COMPUTE QBI DEDUCTION</t>
        </is>
      </c>
      <c r="C64" s="58" t="inlineStr">
        <is>
          <t>QBI deduction keys off taxable income (pre-QBI)
Needs: QBI amount, SSTB status, W-2 wages, UBIA
Limited to 20% of QBI or taxable income</t>
        </is>
      </c>
    </row>
    <row r="65" ht="246.5" customHeight="1" s="19">
      <c r="A65" t="n">
        <v>7</v>
      </c>
      <c r="B65" t="inlineStr">
        <is>
          <t>COMPUTE ORDINARY INCOME TAX</t>
        </is>
      </c>
      <c r="C65" s="58" t="inlineStr">
        <is>
          <t>Uses stacking: Ordinary income fills brackets first
Taxable Ordinary = Taxable Income - LTCG - QD
Apply progressive tax rates</t>
        </is>
      </c>
    </row>
    <row r="66" ht="319" customHeight="1" s="19">
      <c r="A66" t="n">
        <v>8</v>
      </c>
      <c r="B66" t="inlineStr">
        <is>
          <t>COMPUTE CAPITAL GAINS TAX</t>
        </is>
      </c>
      <c r="C66" s="58" t="inlineStr">
        <is>
          <t>LTCG + QD stack ON TOP of ordinary income
Apply 0%/15%/20% rates based on total taxable income
Special buckets: 1250 (25% max), Collectibles (28% max)</t>
        </is>
      </c>
    </row>
    <row r="67" ht="290" customHeight="1" s="19">
      <c r="A67" t="n">
        <v>9</v>
      </c>
      <c r="B67" t="inlineStr">
        <is>
          <t>COMPUTE NIIT</t>
        </is>
      </c>
      <c r="C67" s="58" t="inlineStr">
        <is>
          <t>NIIT = 3.8% × MIN(NII, MAGI - threshold)
NII includes: Interest, dividends, cap gains, passive income
Excludes: W-2 wages, active business income</t>
        </is>
      </c>
    </row>
    <row r="68" ht="246.5" customHeight="1" s="19">
      <c r="A68" t="n">
        <v>10</v>
      </c>
      <c r="B68" t="inlineStr">
        <is>
          <t>FINAL OVERLAYS</t>
        </is>
      </c>
      <c r="C68" s="58" t="inlineStr">
        <is>
          <t>Additional Medicare Tax (0.9%) on wages + SE over threshold
AMT if applicable
Credits, penalties, withholding</t>
        </is>
      </c>
    </row>
    <row r="72">
      <c r="A72" t="inlineStr">
        <is>
          <t>═══════════════════════════════════════════════════════</t>
        </is>
      </c>
    </row>
    <row r="73" ht="18.5" customHeight="1" s="19">
      <c r="A73" s="15" t="inlineStr">
        <is>
          <t>STRATEGY CATALOG</t>
        </is>
      </c>
    </row>
    <row r="74">
      <c r="A74" t="inlineStr">
        <is>
          <t>TAX PLANNING STRATEGIES</t>
        </is>
      </c>
    </row>
    <row r="76">
      <c r="A76" t="inlineStr">
        <is>
          <t>ID</t>
        </is>
      </c>
      <c r="B76" t="inlineStr">
        <is>
          <t>Group</t>
        </is>
      </c>
      <c r="C76" t="inlineStr">
        <is>
          <t>Strategy Name</t>
        </is>
      </c>
      <c r="D76" t="inlineStr">
        <is>
          <t>Description</t>
        </is>
      </c>
      <c r="E76" t="inlineStr">
        <is>
          <t>Impact Type</t>
        </is>
      </c>
      <c r="F76" t="inlineStr">
        <is>
          <t>Complexity</t>
        </is>
      </c>
      <c r="G76" t="inlineStr">
        <is>
          <t>Tax Lines Affected</t>
        </is>
      </c>
      <c r="H76" t="inlineStr">
        <is>
          <t>Est. Savings</t>
        </is>
      </c>
      <c r="I76" t="inlineStr">
        <is>
          <t>Status</t>
        </is>
      </c>
      <c r="J76" t="inlineStr">
        <is>
          <t>Notes</t>
        </is>
      </c>
    </row>
    <row r="77">
      <c r="A77" t="inlineStr">
        <is>
          <t>STD-001</t>
        </is>
      </c>
      <c r="B77" t="inlineStr">
        <is>
          <t>Low Hanging Fruit</t>
        </is>
      </c>
      <c r="C77" t="inlineStr">
        <is>
          <t>Retirement Plan Contributions</t>
        </is>
      </c>
      <c r="D77" t="inlineStr">
        <is>
          <t>Solo 401k, SEP IRA, or Cash Balance plan contributions reduce SE/business income</t>
        </is>
      </c>
      <c r="E77" t="inlineStr">
        <is>
          <t>Single</t>
        </is>
      </c>
      <c r="F77" t="inlineStr">
        <is>
          <t>Low</t>
        </is>
      </c>
      <c r="G77" t="inlineStr">
        <is>
          <t>Line 10 (Non-SE) ↓</t>
        </is>
      </c>
    </row>
    <row r="78">
      <c r="A78" t="inlineStr">
        <is>
          <t>STD-002</t>
        </is>
      </c>
      <c r="B78" t="inlineStr">
        <is>
          <t>Low Hanging Fruit</t>
        </is>
      </c>
      <c r="C78" t="inlineStr">
        <is>
          <t>Augusta Rule</t>
        </is>
      </c>
      <c r="D78" t="inlineStr">
        <is>
          <t>Rent home to business up to 14 days tax-free</t>
        </is>
      </c>
      <c r="E78" t="inlineStr">
        <is>
          <t>Single</t>
        </is>
      </c>
      <c r="F78" t="inlineStr">
        <is>
          <t>Low</t>
        </is>
      </c>
      <c r="G78" t="inlineStr">
        <is>
          <t>Line 10 (Non-SE) ↑</t>
        </is>
      </c>
    </row>
    <row r="79">
      <c r="A79" t="inlineStr">
        <is>
          <t>STD-003</t>
        </is>
      </c>
      <c r="B79" t="inlineStr">
        <is>
          <t>Low Hanging Fruit</t>
        </is>
      </c>
      <c r="C79" t="inlineStr">
        <is>
          <t>Accountable Plan</t>
        </is>
      </c>
      <c r="D79" t="inlineStr">
        <is>
          <t>Reimburse business expenses tax-free</t>
        </is>
      </c>
      <c r="E79" t="inlineStr">
        <is>
          <t>Single</t>
        </is>
      </c>
      <c r="F79" t="inlineStr">
        <is>
          <t>Low</t>
        </is>
      </c>
      <c r="G79" t="inlineStr">
        <is>
          <t>Line 10 (Non-SE) ↑</t>
        </is>
      </c>
    </row>
    <row r="80">
      <c r="A80" t="inlineStr">
        <is>
          <t>STD-004</t>
        </is>
      </c>
      <c r="B80" t="inlineStr">
        <is>
          <t>Low Hanging Fruit</t>
        </is>
      </c>
      <c r="C80" t="inlineStr">
        <is>
          <t>Employee Health/Fringe Benefits</t>
        </is>
      </c>
      <c r="D80" t="inlineStr">
        <is>
          <t>Health insurance and fringe benefits through business</t>
        </is>
      </c>
      <c r="E80" t="inlineStr">
        <is>
          <t>Single</t>
        </is>
      </c>
      <c r="F80" t="inlineStr">
        <is>
          <t>Low</t>
        </is>
      </c>
      <c r="G80" t="inlineStr">
        <is>
          <t>Line 10 (Non-SE) ↑</t>
        </is>
      </c>
    </row>
    <row r="81">
      <c r="A81" t="inlineStr">
        <is>
          <t>STD-005</t>
        </is>
      </c>
      <c r="B81" t="inlineStr">
        <is>
          <t>Low Hanging Fruit</t>
        </is>
      </c>
      <c r="C81" t="inlineStr">
        <is>
          <t>Hiring Children</t>
        </is>
      </c>
      <c r="D81" t="inlineStr">
        <is>
          <t>Pay children for legitimate work in business</t>
        </is>
      </c>
      <c r="E81" t="inlineStr">
        <is>
          <t>Single</t>
        </is>
      </c>
      <c r="F81" t="inlineStr">
        <is>
          <t>Medium</t>
        </is>
      </c>
      <c r="G81" t="inlineStr">
        <is>
          <t>Line 10 (Non-SE) ↑, Line 1 ↑</t>
        </is>
      </c>
    </row>
    <row r="82">
      <c r="A82" t="inlineStr">
        <is>
          <t>STD-006</t>
        </is>
      </c>
      <c r="B82" t="inlineStr">
        <is>
          <t>Low Hanging Fruit</t>
        </is>
      </c>
      <c r="C82" t="inlineStr">
        <is>
          <t>Income Timing</t>
        </is>
      </c>
      <c r="D82" t="inlineStr">
        <is>
          <t>Defer/accelerate income between tax years</t>
        </is>
      </c>
      <c r="E82" t="inlineStr">
        <is>
          <t>Single</t>
        </is>
      </c>
      <c r="F82" t="inlineStr">
        <is>
          <t>Low</t>
        </is>
      </c>
      <c r="G82" t="inlineStr">
        <is>
          <t>Various</t>
        </is>
      </c>
    </row>
    <row r="83">
      <c r="A83" t="inlineStr">
        <is>
          <t>STD-007</t>
        </is>
      </c>
      <c r="B83" t="inlineStr">
        <is>
          <t>SE Tax</t>
        </is>
      </c>
      <c r="C83" t="inlineStr">
        <is>
          <t>Entity Restructure (S-Corp)</t>
        </is>
      </c>
      <c r="D83" t="inlineStr">
        <is>
          <t>Convert Schedule C to S-Corp for wage/distribution split</t>
        </is>
      </c>
      <c r="E83" t="inlineStr">
        <is>
          <t>Multi</t>
        </is>
      </c>
      <c r="F83" t="inlineStr">
        <is>
          <t>High</t>
        </is>
      </c>
      <c r="G83" t="inlineStr">
        <is>
          <t>Line 9 ↓, Line 10 ↑, Line 1 ↑</t>
        </is>
      </c>
    </row>
    <row r="84">
      <c r="A84" t="inlineStr">
        <is>
          <t>STD-008</t>
        </is>
      </c>
      <c r="B84" t="inlineStr">
        <is>
          <t>SE Tax</t>
        </is>
      </c>
      <c r="C84" t="inlineStr">
        <is>
          <t>Wage Optimization</t>
        </is>
      </c>
      <c r="D84" t="inlineStr">
        <is>
          <t>Optimize S-Corp salary for SE tax vs QBI</t>
        </is>
      </c>
      <c r="E84" t="inlineStr">
        <is>
          <t>Multi</t>
        </is>
      </c>
      <c r="F84" t="inlineStr">
        <is>
          <t>Medium</t>
        </is>
      </c>
      <c r="G84" t="inlineStr">
        <is>
          <t>Line 1, Line 10</t>
        </is>
      </c>
    </row>
    <row r="85">
      <c r="A85" t="inlineStr">
        <is>
          <t>STD-009</t>
        </is>
      </c>
      <c r="B85" t="inlineStr">
        <is>
          <t>Cap Gain</t>
        </is>
      </c>
      <c r="C85" t="inlineStr">
        <is>
          <t>1031 Exchange</t>
        </is>
      </c>
      <c r="D85" t="inlineStr">
        <is>
          <t>Defer gains on real estate sale</t>
        </is>
      </c>
      <c r="E85" t="inlineStr">
        <is>
          <t>Single</t>
        </is>
      </c>
      <c r="F85" t="inlineStr">
        <is>
          <t>High</t>
        </is>
      </c>
      <c r="G85" t="inlineStr">
        <is>
          <t>Line 7 (LTCG) ↓</t>
        </is>
      </c>
    </row>
    <row r="86">
      <c r="A86" t="inlineStr">
        <is>
          <t>STD-010</t>
        </is>
      </c>
      <c r="B86" t="inlineStr">
        <is>
          <t>Cap Gain</t>
        </is>
      </c>
      <c r="C86" t="inlineStr">
        <is>
          <t>Opportunity Zone</t>
        </is>
      </c>
      <c r="D86" t="inlineStr">
        <is>
          <t>Invest gains in OZ for deferral/exclusion</t>
        </is>
      </c>
      <c r="E86" t="inlineStr">
        <is>
          <t>Single</t>
        </is>
      </c>
      <c r="F86" t="inlineStr">
        <is>
          <t>High</t>
        </is>
      </c>
      <c r="G86" t="inlineStr">
        <is>
          <t>Line 7 (LTCG) ↓</t>
        </is>
      </c>
    </row>
    <row r="87">
      <c r="A87" t="inlineStr">
        <is>
          <t>STD-011</t>
        </is>
      </c>
      <c r="B87" t="inlineStr">
        <is>
          <t>Cap Gain</t>
        </is>
      </c>
      <c r="C87" t="inlineStr">
        <is>
          <t>Tax Loss Harvesting</t>
        </is>
      </c>
      <c r="D87" t="inlineStr">
        <is>
          <t>Sell losers to offset gains</t>
        </is>
      </c>
      <c r="E87" t="inlineStr">
        <is>
          <t>Single</t>
        </is>
      </c>
      <c r="F87" t="inlineStr">
        <is>
          <t>Medium</t>
        </is>
      </c>
      <c r="G87" t="inlineStr">
        <is>
          <t>Line 7 ↓</t>
        </is>
      </c>
    </row>
    <row r="88">
      <c r="A88" t="inlineStr">
        <is>
          <t>STD-012</t>
        </is>
      </c>
      <c r="B88" t="inlineStr">
        <is>
          <t>CRE</t>
        </is>
      </c>
      <c r="C88" t="inlineStr">
        <is>
          <t>Cost Segregation</t>
        </is>
      </c>
      <c r="D88" t="inlineStr">
        <is>
          <t>Accelerate depreciation via cost seg study</t>
        </is>
      </c>
      <c r="E88" t="inlineStr">
        <is>
          <t>Single</t>
        </is>
      </c>
      <c r="F88" t="inlineStr">
        <is>
          <t>High</t>
        </is>
      </c>
      <c r="G88" t="inlineStr">
        <is>
          <t>Line 10 (Non-SE) ↓</t>
        </is>
      </c>
    </row>
    <row r="89">
      <c r="A89" t="inlineStr">
        <is>
          <t>STD-013</t>
        </is>
      </c>
      <c r="B89" t="inlineStr">
        <is>
          <t>CRE</t>
        </is>
      </c>
      <c r="C89" t="inlineStr">
        <is>
          <t>RE Professional Election</t>
        </is>
      </c>
      <c r="D89" t="inlineStr">
        <is>
          <t>Convert passive to active for loss utilization</t>
        </is>
      </c>
      <c r="E89" t="inlineStr">
        <is>
          <t>Multi</t>
        </is>
      </c>
      <c r="F89" t="inlineStr">
        <is>
          <t>High</t>
        </is>
      </c>
      <c r="G89" t="inlineStr">
        <is>
          <t>Line 14 → Line 10</t>
        </is>
      </c>
    </row>
    <row r="90">
      <c r="A90" t="inlineStr">
        <is>
          <t>STD-014</t>
        </is>
      </c>
      <c r="B90" t="inlineStr">
        <is>
          <t>CRE</t>
        </is>
      </c>
      <c r="C90" t="inlineStr">
        <is>
          <t>Section 179 Expensing</t>
        </is>
      </c>
      <c r="D90" t="inlineStr">
        <is>
          <t>Immediate expense vs depreciation</t>
        </is>
      </c>
      <c r="E90" t="inlineStr">
        <is>
          <t>Single</t>
        </is>
      </c>
      <c r="F90" t="inlineStr">
        <is>
          <t>Medium</t>
        </is>
      </c>
      <c r="G90" t="inlineStr">
        <is>
          <t>Line 10 (Non-SE) ↓</t>
        </is>
      </c>
    </row>
    <row r="91">
      <c r="A91" t="inlineStr">
        <is>
          <t>ADV-001</t>
        </is>
      </c>
      <c r="B91" t="inlineStr">
        <is>
          <t>Advanced</t>
        </is>
      </c>
      <c r="C91" t="inlineStr">
        <is>
          <t>Cash Balance Plan</t>
        </is>
      </c>
      <c r="D91" t="inlineStr">
        <is>
          <t>Defined benefit plan for high earners</t>
        </is>
      </c>
      <c r="E91" t="inlineStr">
        <is>
          <t>Single</t>
        </is>
      </c>
      <c r="F91" t="inlineStr">
        <is>
          <t>High</t>
        </is>
      </c>
      <c r="G91" t="inlineStr">
        <is>
          <t>Line 10 (Non-SE) ↓</t>
        </is>
      </c>
    </row>
    <row r="92">
      <c r="A92" t="inlineStr">
        <is>
          <t>ADV-002</t>
        </is>
      </c>
      <c r="B92" t="inlineStr">
        <is>
          <t>Advanced</t>
        </is>
      </c>
      <c r="C92" t="inlineStr">
        <is>
          <t>Charitable Strategies</t>
        </is>
      </c>
      <c r="D92" t="inlineStr">
        <is>
          <t>CRUT, CRAT, DAF for charitable deductions</t>
        </is>
      </c>
      <c r="E92" t="inlineStr">
        <is>
          <t>Single</t>
        </is>
      </c>
      <c r="F92" t="inlineStr">
        <is>
          <t>High</t>
        </is>
      </c>
      <c r="G92" t="inlineStr">
        <is>
          <t>Line 12 (Itemized) ↑</t>
        </is>
      </c>
    </row>
    <row r="93">
      <c r="A93" t="inlineStr">
        <is>
          <t>ADV-003</t>
        </is>
      </c>
      <c r="B93" t="inlineStr">
        <is>
          <t>Advanced</t>
        </is>
      </c>
      <c r="C93" t="inlineStr">
        <is>
          <t>QBI Optimization</t>
        </is>
      </c>
      <c r="D93" t="inlineStr">
        <is>
          <t>Grouping and aggregation elections</t>
        </is>
      </c>
      <c r="E93" t="inlineStr">
        <is>
          <t>Computed</t>
        </is>
      </c>
      <c r="F93" t="inlineStr">
        <is>
          <t>High</t>
        </is>
      </c>
      <c r="G93" t="inlineStr">
        <is>
          <t>QBI Deduction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rgb="FFC00000"/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4.5"/>
  <sheetData>
    <row r="1" ht="15.5" customHeight="1" s="19">
      <c r="A1" s="30" t="inlineStr">
        <is>
          <t>GLOSSARY &amp; MECHANICS</t>
        </is>
      </c>
      <c r="B1" s="30" t="n"/>
      <c r="C1" s="30" t="n"/>
      <c r="D1" s="30" t="n"/>
      <c r="E1" s="30" t="n"/>
    </row>
    <row r="2">
      <c r="A2" t="inlineStr">
        <is>
          <t>Plain-language definitions, multi-year reference data, and full PTET state table. Source: Accruity Tax Planning Framework Canon v1.4 + Tax Plan Asset v1.8.7.</t>
        </is>
      </c>
    </row>
    <row r="4">
      <c r="A4" t="inlineStr">
        <is>
          <t>SECTION A — GLOSSARY (in plain language)</t>
        </is>
      </c>
    </row>
    <row r="5">
      <c r="A5" t="inlineStr">
        <is>
          <t>Term</t>
        </is>
      </c>
      <c r="B5" t="inlineStr">
        <is>
          <t>What It Is</t>
        </is>
      </c>
      <c r="C5" t="inlineStr">
        <is>
          <t>Why It Matters Here</t>
        </is>
      </c>
    </row>
    <row r="6">
      <c r="A6" t="inlineStr">
        <is>
          <t>§1.469-4 Grouping Election</t>
        </is>
      </c>
      <c r="B6" t="inlineStr">
        <is>
          <t>Election under Treasury Reg §1.469-4 to treat multiple rental activities as a single activity for material-participation testing.</t>
        </is>
      </c>
      <c r="C6" t="inlineStr">
        <is>
          <t>Required for multi-property REPS — without it, taxpayer must materially participate in EACH property.</t>
        </is>
      </c>
    </row>
    <row r="7">
      <c r="A7" t="inlineStr">
        <is>
          <t>§199A (QBI)</t>
        </is>
      </c>
      <c r="B7" t="inlineStr">
        <is>
          <t>20% deduction for qualified business income from pass-through entities. Phases out for SSTBs above MFJ $394,600 (2025).</t>
        </is>
      </c>
      <c r="C7" t="inlineStr">
        <is>
          <t>Strategy #1 lever — entity structure determines QBI eligibility.</t>
        </is>
      </c>
    </row>
    <row r="8">
      <c r="A8" t="inlineStr">
        <is>
          <t>§280A (Augusta Rule)</t>
        </is>
      </c>
      <c r="B8" t="inlineStr">
        <is>
          <t>Allows homeowner to rent personal home for ≤14 days/yr tax-free; rent paid by S-Corp is deductible business expense.</t>
        </is>
      </c>
      <c r="C8" t="inlineStr">
        <is>
          <t>Strategy #5 — Low Hanging Fruit. Requires fair market rate + business purpose docs.</t>
        </is>
      </c>
    </row>
    <row r="9">
      <c r="A9" t="inlineStr">
        <is>
          <t>§460 Dealer Property</t>
        </is>
      </c>
      <c r="B9" t="inlineStr">
        <is>
          <t>Property held primarily for sale to customers in ordinary course of business — triggers dealer treatment, ordinary income, no §1031.</t>
        </is>
      </c>
      <c r="C9" t="inlineStr">
        <is>
          <t>Wholesale/flip-heavy businesses risk dealer classification — flag for Active Business Type.</t>
        </is>
      </c>
    </row>
    <row r="10">
      <c r="A10" t="inlineStr">
        <is>
          <t>Absorption Principle</t>
        </is>
      </c>
      <c r="B10" t="inlineStr">
        <is>
          <t>Canon v1.4 principle: property basis (cost seg target) is an OUTPUT of the plan, not an input. Right-size basis to absorb residual capacity.</t>
        </is>
      </c>
      <c r="C10" t="inlineStr">
        <is>
          <t>Drives Tab 1 §6 Absorption Diagnostics. Residual Capacity = AGI − Standard Deduction.</t>
        </is>
      </c>
    </row>
    <row r="11">
      <c r="A11" t="inlineStr">
        <is>
          <t>Accountable Plan</t>
        </is>
      </c>
      <c r="B11" t="inlineStr">
        <is>
          <t>Written reimbursement policy where S-Corp reimburses owner-employee for business expenses paid personally; reimbursements are NOT taxable wages.</t>
        </is>
      </c>
      <c r="C11" t="inlineStr">
        <is>
          <t>Strategy #5 LHF — must be adopted in writing BEFORE expenses incurred.</t>
        </is>
      </c>
    </row>
    <row r="12">
      <c r="A12" t="inlineStr">
        <is>
          <t>Bonus Depreciation</t>
        </is>
      </c>
      <c r="B12" t="inlineStr">
        <is>
          <t>Tax provision allowing accelerated depreciation of qualifying property (5/7/15-year). Phasing down: 60% in 2024, 40% in 2025, 20% in 2026.</t>
        </is>
      </c>
      <c r="C12" t="inlineStr">
        <is>
          <t>Strategy #4 lever — primary mechanism for converting RE wealth into active loss offsets.</t>
        </is>
      </c>
    </row>
    <row r="13">
      <c r="A13" t="inlineStr">
        <is>
          <t>BRRRR</t>
        </is>
      </c>
      <c r="B13" t="inlineStr">
        <is>
          <t>Buy-Rehab-Rent-Refinance-Repeat. RE investment strategy where forced appreciation via rehab funds the next acquisition.</t>
        </is>
      </c>
      <c r="C13" t="inlineStr">
        <is>
          <t>Common framework client model — cost seg + REPS multiplies BRRRR economics.</t>
        </is>
      </c>
    </row>
    <row r="14">
      <c r="A14" t="inlineStr">
        <is>
          <t>Cascade Methodology</t>
        </is>
      </c>
      <c r="B14" t="inlineStr">
        <is>
          <t>Canon v1.4 method for computing each strategy's marginal savings. Strategy turned OFF in isolation, then back on; the delta is its marginal.</t>
        </is>
      </c>
      <c r="C14" t="inlineStr">
        <is>
          <t>Required methodology for Strategy savings decomposition. Plan Synergy line captures residual.</t>
        </is>
      </c>
    </row>
    <row r="15">
      <c r="A15" t="inlineStr">
        <is>
          <t>Cost Segregation</t>
        </is>
      </c>
      <c r="B15" t="inlineStr">
        <is>
          <t>Engineering-based study reclassifying portions of a building from 27.5/39-year to 5/7/15-year personal property and land improvements.</t>
        </is>
      </c>
      <c r="C15" t="inlineStr">
        <is>
          <t>Strategy #4 enabler. Canon §4 v1.4 default: 25% Y1 acceleration of total basis.</t>
        </is>
      </c>
    </row>
    <row r="16">
      <c r="A16" t="inlineStr">
        <is>
          <t>Direction A / Direction B</t>
        </is>
      </c>
      <c r="B16" t="inlineStr">
        <is>
          <t>Canon §3 Wealth Architecture designations. A: client already invests in RE. B: not yet, but framework supports building toward it.</t>
        </is>
      </c>
      <c r="C16" t="inlineStr">
        <is>
          <t>Determines plan framing language and execution priority.</t>
        </is>
      </c>
    </row>
    <row r="17">
      <c r="A17" t="inlineStr">
        <is>
          <t>FICA</t>
        </is>
      </c>
      <c r="B17" t="inlineStr">
        <is>
          <t>Federal Insurance Contributions Act tax. 7.65% employee + 7.65% employer = 15.3% on wages up to SS wage base; 1.45% Medicare uncapped.</t>
        </is>
      </c>
      <c r="C17" t="inlineStr">
        <is>
          <t>Strategy #2 lever — S-Corp wage placement controls FICA exposure.</t>
        </is>
      </c>
    </row>
    <row r="18">
      <c r="A18" t="inlineStr">
        <is>
          <t>K-1</t>
        </is>
      </c>
      <c r="B18" t="inlineStr">
        <is>
          <t>Schedule K-1 reporting owner's share of pass-through entity income, deductions, credits, distributions.</t>
        </is>
      </c>
      <c r="C18" t="inlineStr">
        <is>
          <t>Active vs. passive K-1 distinction drives SE tax, NIIT, and §469 PAL treatment.</t>
        </is>
      </c>
    </row>
    <row r="19">
      <c r="A19" t="inlineStr">
        <is>
          <t>NIIT</t>
        </is>
      </c>
      <c r="B19" t="inlineStr">
        <is>
          <t>Net Investment Income Tax. 3.8% on net investment income for MAGI &gt; $250K MFJ / $200K Single. Thresholds NOT inflation-adjusted.</t>
        </is>
      </c>
      <c r="C19" t="inlineStr">
        <is>
          <t>Frozen since 2013. Reclassification of passive K-1s as active eliminates NIIT exposure.</t>
        </is>
      </c>
    </row>
    <row r="20">
      <c r="A20" t="inlineStr">
        <is>
          <t>Plan Maturity Stages</t>
        </is>
      </c>
      <c r="B20" t="inlineStr">
        <is>
          <t>Four-stage progression: Standard Assumptions → Assumption-Refined → Actuals-Driven → Optimized.</t>
        </is>
      </c>
      <c r="C20" t="inlineStr">
        <is>
          <t>Canon §7+§9 — data-quality-driven, NOT calendar-driven.</t>
        </is>
      </c>
    </row>
    <row r="21">
      <c r="A21" t="inlineStr">
        <is>
          <t>Plan Synergy</t>
        </is>
      </c>
      <c r="B21" t="inlineStr">
        <is>
          <t>Canon v1.4 line shown in every strategy decomposition. Difference between Σ(individual marginals) and Total Plan Savings.</t>
        </is>
      </c>
      <c r="C21" t="inlineStr">
        <is>
          <t>Captures interaction effects (e.g., #4 cost seg makes #3 retirement room go further).</t>
        </is>
      </c>
    </row>
    <row r="22">
      <c r="A22" t="inlineStr">
        <is>
          <t>PTET</t>
        </is>
      </c>
      <c r="B22" t="inlineStr">
        <is>
          <t>Pass-Through Entity Tax. Elective state-level workaround for $10K SALT cap. Entity pays state tax directly, owner claims federal deduction.</t>
        </is>
      </c>
      <c r="C22" t="inlineStr">
        <is>
          <t>Supplemental B1. 33 states have PTET regimes. CA at 9.3% is the headline lever.</t>
        </is>
      </c>
    </row>
    <row r="23">
      <c r="A23" t="inlineStr">
        <is>
          <t>QBI Aggregation (§199A-4)</t>
        </is>
      </c>
      <c r="B23" t="inlineStr">
        <is>
          <t>Election to combine multiple businesses into single trade/business for §199A wage+UBIA limits testing.</t>
        </is>
      </c>
      <c r="C23" t="inlineStr">
        <is>
          <t>Strategy #1 — required when multiple S-Corps share wage capacity.</t>
        </is>
      </c>
    </row>
    <row r="24">
      <c r="A24" t="inlineStr">
        <is>
          <t>QBI Overall Cap</t>
        </is>
      </c>
      <c r="B24" t="inlineStr">
        <is>
          <t>§199A 20% × Pre-QBI Taxable Income cap. As cost seg reduces TI, this cap reduces — interaction with Strategy #4.</t>
        </is>
      </c>
      <c r="C24" t="inlineStr">
        <is>
          <t>Why Plan Synergy line is needed: cost seg shrinks QBI deduction.</t>
        </is>
      </c>
    </row>
    <row r="25">
      <c r="A25" t="inlineStr">
        <is>
          <t>REPS</t>
        </is>
      </c>
      <c r="B25" t="inlineStr">
        <is>
          <t>Real Estate Professional Status. 750+ hours/yr in real property + &gt;50% of personal service hours. Reclassifies rental losses from passive to active.</t>
        </is>
      </c>
      <c r="C25" t="inlineStr">
        <is>
          <t>Strategy #4 prerequisite. Spouse can independently qualify.</t>
        </is>
      </c>
    </row>
    <row r="26">
      <c r="A26" t="inlineStr">
        <is>
          <t>REPS Substantiation</t>
        </is>
      </c>
      <c r="B26" t="inlineStr">
        <is>
          <t>Contemporaneous time-log documentation required to defend REPS. Quarterly substantiation log per Canon §4 v1.4.</t>
        </is>
      </c>
      <c r="C26" t="inlineStr">
        <is>
          <t>Audit-risk-driven; deficient logs are the #1 REPS denial reason.</t>
        </is>
      </c>
    </row>
    <row r="27">
      <c r="A27" t="inlineStr">
        <is>
          <t>Residual Capacity</t>
        </is>
      </c>
      <c r="B27" t="inlineStr">
        <is>
          <t>Canon v1.4 corrected — bonus depreciation required to drive Federal Income Tax to $0. Computes as AGI − Standard Deduction in S4-OFF scenario.</t>
        </is>
      </c>
      <c r="C27" t="inlineStr">
        <is>
          <t>Drives recommended property basis (right-sized cost seg target).</t>
        </is>
      </c>
    </row>
    <row r="28">
      <c r="A28" t="inlineStr">
        <is>
          <t>S-Corp Election</t>
        </is>
      </c>
      <c r="B28" t="inlineStr">
        <is>
          <t>IRS election (Form 2553) for LLC or corporation to be taxed as S-Corp. Allows wage/distribution split — Strategy #2 enabler.</t>
        </is>
      </c>
      <c r="C28" t="inlineStr">
        <is>
          <t>Deadline: 2 months 15 days from year start. Late-relief: Rev Proc 2013-30.</t>
        </is>
      </c>
    </row>
    <row r="29">
      <c r="A29" t="inlineStr">
        <is>
          <t>Scaling Test</t>
        </is>
      </c>
      <c r="B29" t="inlineStr">
        <is>
          <t>Canon v1.4 two-rule deal qualifier: (1) DSCR ≥ 1.20 on stabilized debt service; (2) basis fits absorption capacity ±10%.</t>
        </is>
      </c>
      <c r="C29" t="inlineStr">
        <is>
          <t>If deal fails either test, framework doesn't apply — escalate to specialized advisory.</t>
        </is>
      </c>
    </row>
    <row r="30">
      <c r="A30" t="inlineStr">
        <is>
          <t>SE Tax</t>
        </is>
      </c>
      <c r="B30" t="inlineStr">
        <is>
          <t>Self-Employment Tax. 15.3% (12.4% SS up to wage base + 2.9% Medicare uncapped) on net SE earnings × 92.35%.</t>
        </is>
      </c>
      <c r="C30" t="inlineStr">
        <is>
          <t>Strategy #2 reduces SE tax via S-Corp wage placement.</t>
        </is>
      </c>
    </row>
    <row r="31">
      <c r="A31" t="inlineStr">
        <is>
          <t>SS Wage Base</t>
        </is>
      </c>
      <c r="B31" t="inlineStr">
        <is>
          <t>Annual cap on Social Security tax base. 2024 $168,600 / 2025 $176,100 / 2026 $184,500. Medicare uncapped.</t>
        </is>
      </c>
      <c r="C31" t="inlineStr">
        <is>
          <t>SE tax 12.4% SS portion only applies up to this cap.</t>
        </is>
      </c>
    </row>
    <row r="32">
      <c r="A32" t="inlineStr">
        <is>
          <t>SSTB</t>
        </is>
      </c>
      <c r="B32" t="inlineStr">
        <is>
          <t>Specified Service Trade or Business — health, law, accounting, performing arts, consulting, athletics, financial services, investing, and 'reputation/skill of employees' businesses.</t>
        </is>
      </c>
      <c r="C32" t="inlineStr">
        <is>
          <t>QBI deduction phases out COMPLETELY above MFJ $494,600 (2025) for SSTBs; non-SSTBs only cap, not phase out.</t>
        </is>
      </c>
    </row>
    <row r="33">
      <c r="A33" t="inlineStr">
        <is>
          <t>Standard Deduction (MFJ)</t>
        </is>
      </c>
      <c r="B33" t="inlineStr">
        <is>
          <t>Default 1040 deduction. 2024 $29,200 / 2025 $30,000 / 2026 $30,750.</t>
        </is>
      </c>
      <c r="C33" t="inlineStr">
        <is>
          <t>Itemizing only helps when itemized total &gt; standard. Most avatars take standard.</t>
        </is>
      </c>
    </row>
    <row r="34">
      <c r="A34" t="inlineStr">
        <is>
          <t>STR Election (Short-Term Rental)</t>
        </is>
      </c>
      <c r="B34" t="inlineStr">
        <is>
          <t>Rentals with average stay ≤7 days OR ≤30 days with substantial services are NOT passive under §469. Material participation required.</t>
        </is>
      </c>
      <c r="C34" t="inlineStr">
        <is>
          <t>Alternative path to active loss treatment without REPS hours.</t>
        </is>
      </c>
    </row>
    <row r="35">
      <c r="A35" t="inlineStr">
        <is>
          <t>Take-Home Cash / Lifestyle Liquidity</t>
        </is>
      </c>
      <c r="B35" t="inlineStr">
        <is>
          <t>Lifestyle-spendable cash after taxes, retirement contributions, and HSA. The 'family alignment' number.</t>
        </is>
      </c>
      <c r="C35" t="inlineStr">
        <is>
          <t>Canon §3 — Three-Number Headline includes Take-Home Cash floor (~60-70% of W/O baseline).</t>
        </is>
      </c>
    </row>
    <row r="36">
      <c r="A36" t="inlineStr">
        <is>
          <t>Tie-Check</t>
        </is>
      </c>
      <c r="B36" t="inlineStr">
        <is>
          <t>Canon v1.4 hard reconciliation gate. Σ Strategy Marginals + Plan Synergy MUST = Total Plan Savings.</t>
        </is>
      </c>
      <c r="C36" t="inlineStr">
        <is>
          <t>Computed at Tab 2 Engine R221. Failure = recompute strategies.</t>
        </is>
      </c>
    </row>
    <row r="37">
      <c r="A37" t="inlineStr">
        <is>
          <t>Wealth Architecture Principle</t>
        </is>
      </c>
      <c r="B37" t="inlineStr">
        <is>
          <t>Accruity's core framing: tax planning is offensive capital allocation, not defensive minimization. Real estate is the thread.</t>
        </is>
      </c>
      <c r="C37" t="inlineStr">
        <is>
          <t>Canon §3 — drives all messaging and strategy ordering.</t>
        </is>
      </c>
    </row>
    <row r="40">
      <c r="A40" t="inlineStr">
        <is>
          <t>SECTION B — YEAR-BY-YEAR REFERENCE DATA</t>
        </is>
      </c>
    </row>
    <row r="42">
      <c r="A42" t="inlineStr">
        <is>
          <t>Federal Income Tax Brackets — MFJ (taxable income floor)</t>
        </is>
      </c>
    </row>
    <row r="43">
      <c r="A43" t="inlineStr">
        <is>
          <t>Bracket</t>
        </is>
      </c>
      <c r="B43" t="n">
        <v>2024</v>
      </c>
      <c r="C43" t="n">
        <v>2025</v>
      </c>
      <c r="D43" t="n">
        <v>2026</v>
      </c>
      <c r="E43" t="inlineStr">
        <is>
          <t>Rate</t>
        </is>
      </c>
    </row>
    <row r="44">
      <c r="A44" s="59" t="n">
        <v>0.1</v>
      </c>
      <c r="B44" t="n">
        <v>0</v>
      </c>
      <c r="C44" t="n">
        <v>0</v>
      </c>
      <c r="D44" t="n">
        <v>0</v>
      </c>
      <c r="E44" s="59" t="n">
        <v>0.1</v>
      </c>
    </row>
    <row r="45">
      <c r="A45" s="59" t="n">
        <v>0.12</v>
      </c>
      <c r="B45" t="n">
        <v>23200</v>
      </c>
      <c r="C45" t="n">
        <v>23850</v>
      </c>
      <c r="D45" t="n">
        <v>24500</v>
      </c>
      <c r="E45" s="59" t="n">
        <v>0.12</v>
      </c>
    </row>
    <row r="46">
      <c r="A46" s="59" t="n">
        <v>0.22</v>
      </c>
      <c r="B46" t="n">
        <v>94300</v>
      </c>
      <c r="C46" t="n">
        <v>96950</v>
      </c>
      <c r="D46" t="n">
        <v>99150</v>
      </c>
      <c r="E46" s="59" t="n">
        <v>0.22</v>
      </c>
    </row>
    <row r="47">
      <c r="A47" s="59" t="n">
        <v>0.24</v>
      </c>
      <c r="B47" t="n">
        <v>201050</v>
      </c>
      <c r="C47" t="n">
        <v>206700</v>
      </c>
      <c r="D47" t="n">
        <v>211450</v>
      </c>
      <c r="E47" s="59" t="n">
        <v>0.24</v>
      </c>
    </row>
    <row r="48">
      <c r="A48" s="59" t="n">
        <v>0.32</v>
      </c>
      <c r="B48" t="n">
        <v>383900</v>
      </c>
      <c r="C48" t="n">
        <v>394600</v>
      </c>
      <c r="D48" t="n">
        <v>403650</v>
      </c>
      <c r="E48" s="59" t="n">
        <v>0.32</v>
      </c>
    </row>
    <row r="49">
      <c r="A49" s="59" t="n">
        <v>0.35</v>
      </c>
      <c r="B49" t="n">
        <v>487450</v>
      </c>
      <c r="C49" t="n">
        <v>501050</v>
      </c>
      <c r="D49" t="n">
        <v>512600</v>
      </c>
      <c r="E49" s="59" t="n">
        <v>0.35</v>
      </c>
    </row>
    <row r="50">
      <c r="A50" s="59" t="n">
        <v>0.37</v>
      </c>
      <c r="B50" t="n">
        <v>731200</v>
      </c>
      <c r="C50" t="n">
        <v>751600</v>
      </c>
      <c r="D50" t="n">
        <v>768950</v>
      </c>
      <c r="E50" s="59" t="n">
        <v>0.37</v>
      </c>
    </row>
    <row r="53">
      <c r="A53" t="inlineStr">
        <is>
          <t>Key Limits &amp; Thresholds — MFJ (multi-year)</t>
        </is>
      </c>
    </row>
    <row r="54">
      <c r="A54" t="inlineStr">
        <is>
          <t>Item</t>
        </is>
      </c>
      <c r="B54" t="n">
        <v>2024</v>
      </c>
      <c r="C54" t="n">
        <v>2025</v>
      </c>
      <c r="D54" t="n">
        <v>2026</v>
      </c>
      <c r="E54" t="inlineStr">
        <is>
          <t>Note</t>
        </is>
      </c>
    </row>
    <row r="55">
      <c r="A55" t="inlineStr">
        <is>
          <t>Standard Deduction (MFJ)</t>
        </is>
      </c>
      <c r="B55" t="n">
        <v>29200</v>
      </c>
      <c r="C55" t="n">
        <v>30000</v>
      </c>
      <c r="D55" t="n">
        <v>30750</v>
      </c>
      <c r="E55" t="inlineStr">
        <is>
          <t>Default 1040 deduction</t>
        </is>
      </c>
    </row>
    <row r="56">
      <c r="A56" t="inlineStr">
        <is>
          <t>SS Wage Base</t>
        </is>
      </c>
      <c r="B56" t="n">
        <v>168600</v>
      </c>
      <c r="C56" t="n">
        <v>176100</v>
      </c>
      <c r="D56" t="n">
        <v>184500</v>
      </c>
      <c r="E56" t="inlineStr">
        <is>
          <t>SE tax 15.3% cap</t>
        </is>
      </c>
    </row>
    <row r="57">
      <c r="A57" t="inlineStr">
        <is>
          <t>Addl Medicare Threshold (MFJ)</t>
        </is>
      </c>
      <c r="B57" t="n">
        <v>250000</v>
      </c>
      <c r="C57" t="n">
        <v>250000</v>
      </c>
      <c r="D57" t="n">
        <v>250000</v>
      </c>
      <c r="E57" t="inlineStr">
        <is>
          <t>0.9% surcharge above</t>
        </is>
      </c>
    </row>
    <row r="58">
      <c r="A58" t="inlineStr">
        <is>
          <t>NIIT Threshold (MFJ)</t>
        </is>
      </c>
      <c r="B58" t="n">
        <v>250000</v>
      </c>
      <c r="C58" t="n">
        <v>250000</v>
      </c>
      <c r="D58" t="n">
        <v>250000</v>
      </c>
      <c r="E58" t="inlineStr">
        <is>
          <t>3.8% on net investment income</t>
        </is>
      </c>
    </row>
    <row r="59">
      <c r="A59" t="inlineStr">
        <is>
          <t>§199A Threshold Start (MFJ)</t>
        </is>
      </c>
      <c r="B59" t="n">
        <v>383900</v>
      </c>
      <c r="C59" t="n">
        <v>394600</v>
      </c>
      <c r="D59" t="n">
        <v>403650</v>
      </c>
      <c r="E59" t="inlineStr">
        <is>
          <t>QBI phase-in begin</t>
        </is>
      </c>
    </row>
    <row r="60">
      <c r="A60" t="inlineStr">
        <is>
          <t>§199A Threshold End (MFJ)</t>
        </is>
      </c>
      <c r="B60" t="n">
        <v>483900</v>
      </c>
      <c r="C60" t="n">
        <v>494600</v>
      </c>
      <c r="D60" t="n">
        <v>503650</v>
      </c>
      <c r="E60" t="inlineStr">
        <is>
          <t>QBI phase-in complete (SSTB cliff)</t>
        </is>
      </c>
    </row>
    <row r="61">
      <c r="A61" t="inlineStr">
        <is>
          <t>401(k) Employee Deferral</t>
        </is>
      </c>
      <c r="B61" t="n">
        <v>23000</v>
      </c>
      <c r="C61" t="n">
        <v>23500</v>
      </c>
      <c r="D61" t="n">
        <v>24000</v>
      </c>
      <c r="E61" t="inlineStr">
        <is>
          <t>Owner-employee contribution</t>
        </is>
      </c>
    </row>
    <row r="62">
      <c r="A62" t="inlineStr">
        <is>
          <t>401(k) Total Contribution Cap</t>
        </is>
      </c>
      <c r="B62" t="n">
        <v>69000</v>
      </c>
      <c r="C62" t="n">
        <v>70000</v>
      </c>
      <c r="D62" t="n">
        <v>71000</v>
      </c>
      <c r="E62" t="inlineStr">
        <is>
          <t>Employee + employer combined</t>
        </is>
      </c>
    </row>
    <row r="63">
      <c r="A63" t="inlineStr">
        <is>
          <t>HSA Family Limit</t>
        </is>
      </c>
      <c r="B63" t="n">
        <v>8300</v>
      </c>
      <c r="C63" t="n">
        <v>8550</v>
      </c>
      <c r="D63" t="n">
        <v>8800</v>
      </c>
      <c r="E63" t="inlineStr">
        <is>
          <t>Family HDHP coverage</t>
        </is>
      </c>
    </row>
    <row r="64">
      <c r="A64" t="inlineStr">
        <is>
          <t>Kiddie Standard Deduction</t>
        </is>
      </c>
      <c r="B64" t="n">
        <v>14600</v>
      </c>
      <c r="C64" t="n">
        <v>15000</v>
      </c>
      <c r="D64" t="n">
        <v>15400</v>
      </c>
      <c r="E64" t="inlineStr">
        <is>
          <t>Strategy #5 — Employing Children</t>
        </is>
      </c>
    </row>
    <row r="65">
      <c r="A65" t="inlineStr">
        <is>
          <t>Excess Business Loss MFJ (461(l))</t>
        </is>
      </c>
      <c r="B65" t="n">
        <v>610000</v>
      </c>
      <c r="C65" t="n">
        <v>626000</v>
      </c>
      <c r="D65" t="n">
        <v>644000</v>
      </c>
      <c r="E65" t="inlineStr">
        <is>
          <t>Loss above this becomes NOL</t>
        </is>
      </c>
    </row>
    <row r="68">
      <c r="A68" t="inlineStr">
        <is>
          <t>Retirement Catch-Up Provisions (SECURE 2.0)</t>
        </is>
      </c>
    </row>
    <row r="69">
      <c r="A69" t="inlineStr">
        <is>
          <t>Age 50-59</t>
        </is>
      </c>
      <c r="B69" t="inlineStr">
        <is>
          <t>$7,500 401(k) catch-up</t>
        </is>
      </c>
      <c r="C69" t="inlineStr">
        <is>
          <t>Standard catch-up</t>
        </is>
      </c>
    </row>
    <row r="70">
      <c r="A70" t="inlineStr">
        <is>
          <t>Age 60-63</t>
        </is>
      </c>
      <c r="B70" t="inlineStr">
        <is>
          <t>$11,250 401(k) enhanced catch-up</t>
        </is>
      </c>
      <c r="C70" t="inlineStr">
        <is>
          <t>SECURE 2.0 super catch-up</t>
        </is>
      </c>
    </row>
    <row r="71">
      <c r="A71" t="inlineStr">
        <is>
          <t>Age 64+</t>
        </is>
      </c>
      <c r="B71" t="inlineStr">
        <is>
          <t>$7,500 401(k) catch-up</t>
        </is>
      </c>
      <c r="C71" t="inlineStr">
        <is>
          <t>Reverts to standard</t>
        </is>
      </c>
    </row>
    <row r="72">
      <c r="A72" t="inlineStr">
        <is>
          <t>Age 55+ HSA</t>
        </is>
      </c>
      <c r="B72" t="inlineStr">
        <is>
          <t>$1,000 additional HSA</t>
        </is>
      </c>
      <c r="C72" t="inlineStr">
        <is>
          <t>Independent of 401(k) catch-up</t>
        </is>
      </c>
    </row>
    <row r="76">
      <c r="A76" t="inlineStr">
        <is>
          <t>SECTION C — PTET (Pass-Through Entity Tax) — 33-STATE REFERENCE</t>
        </is>
      </c>
    </row>
    <row r="77">
      <c r="A77" t="inlineStr">
        <is>
          <t>PTET workaround for $10K SALT cap. Pass-through pays state income tax directly; owner takes federal deduction.</t>
        </is>
      </c>
    </row>
    <row r="79">
      <c r="A79" t="inlineStr">
        <is>
          <t>State</t>
        </is>
      </c>
      <c r="B79" t="inlineStr">
        <is>
          <t>PTET Rate</t>
        </is>
      </c>
      <c r="C79" t="inlineStr">
        <is>
          <t>Status</t>
        </is>
      </c>
      <c r="D79" t="inlineStr">
        <is>
          <t>Materiality for Avatar</t>
        </is>
      </c>
      <c r="E79" t="inlineStr">
        <is>
          <t>Note</t>
        </is>
      </c>
    </row>
    <row r="80">
      <c r="A80" t="inlineStr">
        <is>
          <t>CA</t>
        </is>
      </c>
      <c r="B80" s="24" t="n">
        <v>0.093</v>
      </c>
      <c r="C80" t="inlineStr">
        <is>
          <t>Elective</t>
        </is>
      </c>
      <c r="D80" t="inlineStr">
        <is>
          <t>⭐⭐⭐ Highest</t>
        </is>
      </c>
      <c r="E80" t="inlineStr">
        <is>
          <t>Graduated to 13.3%, PTET at 9.3% qualified net income</t>
        </is>
      </c>
    </row>
    <row r="81">
      <c r="A81" t="inlineStr">
        <is>
          <t>NY</t>
        </is>
      </c>
      <c r="B81" s="24" t="n">
        <v>0.06850000000000001</v>
      </c>
      <c r="C81" t="inlineStr">
        <is>
          <t>Elective</t>
        </is>
      </c>
      <c r="D81" t="inlineStr">
        <is>
          <t>⭐⭐ Material</t>
        </is>
      </c>
      <c r="E81" t="inlineStr">
        <is>
          <t>Graduated; ~6.85% effective for avatar</t>
        </is>
      </c>
    </row>
    <row r="82">
      <c r="A82" t="inlineStr">
        <is>
          <t>NJ</t>
        </is>
      </c>
      <c r="B82" s="24" t="n">
        <v>0.0912</v>
      </c>
      <c r="C82" t="inlineStr">
        <is>
          <t>Elective</t>
        </is>
      </c>
      <c r="D82" t="inlineStr">
        <is>
          <t>⭐⭐ Material</t>
        </is>
      </c>
      <c r="E82" t="inlineStr">
        <is>
          <t>Graduated 5.675%-10.9%; 9.12% on $1M+</t>
        </is>
      </c>
    </row>
    <row r="83">
      <c r="A83" t="inlineStr">
        <is>
          <t>OR</t>
        </is>
      </c>
      <c r="B83" s="24" t="n">
        <v>0.09</v>
      </c>
      <c r="C83" t="inlineStr">
        <is>
          <t>Elective</t>
        </is>
      </c>
      <c r="D83" t="inlineStr">
        <is>
          <t>⭐⭐ Material</t>
        </is>
      </c>
      <c r="E83" t="inlineStr">
        <is>
          <t>High graduated rate state</t>
        </is>
      </c>
    </row>
    <row r="84">
      <c r="A84" t="inlineStr">
        <is>
          <t>MN</t>
        </is>
      </c>
      <c r="B84" s="24" t="n">
        <v>0.0985</v>
      </c>
      <c r="C84" t="inlineStr">
        <is>
          <t>Elective</t>
        </is>
      </c>
      <c r="D84" t="inlineStr">
        <is>
          <t>⭐⭐ Material</t>
        </is>
      </c>
      <c r="E84" t="inlineStr">
        <is>
          <t>High graduated rate state</t>
        </is>
      </c>
    </row>
    <row r="85">
      <c r="A85" t="inlineStr">
        <is>
          <t>HI</t>
        </is>
      </c>
      <c r="B85" s="24" t="n">
        <v>0.11</v>
      </c>
      <c r="C85" t="inlineStr">
        <is>
          <t>Elective</t>
        </is>
      </c>
      <c r="D85" t="inlineStr">
        <is>
          <t>⭐⭐ Material</t>
        </is>
      </c>
      <c r="E85" t="inlineStr">
        <is>
          <t>Highest top rate among PTET states</t>
        </is>
      </c>
    </row>
    <row r="86">
      <c r="A86" t="inlineStr">
        <is>
          <t>MA</t>
        </is>
      </c>
      <c r="B86" s="24" t="n">
        <v>0.05</v>
      </c>
      <c r="C86" t="inlineStr">
        <is>
          <t>Elective</t>
        </is>
      </c>
      <c r="D86" t="inlineStr">
        <is>
          <t>⭐ Material</t>
        </is>
      </c>
      <c r="E86" t="inlineStr">
        <is>
          <t>Flat 5% + millionaire surtax</t>
        </is>
      </c>
    </row>
    <row r="87">
      <c r="A87" t="inlineStr">
        <is>
          <t>VT</t>
        </is>
      </c>
      <c r="B87" s="24" t="n">
        <v>0.08749999999999999</v>
      </c>
      <c r="C87" t="inlineStr">
        <is>
          <t>Elective</t>
        </is>
      </c>
      <c r="D87" t="inlineStr">
        <is>
          <t>Moderate</t>
        </is>
      </c>
    </row>
    <row r="88">
      <c r="A88" t="inlineStr">
        <is>
          <t>MD</t>
        </is>
      </c>
      <c r="B88" s="24" t="n">
        <v>0.08</v>
      </c>
      <c r="C88" t="inlineStr">
        <is>
          <t>Elective</t>
        </is>
      </c>
      <c r="D88" t="inlineStr">
        <is>
          <t>Moderate</t>
        </is>
      </c>
      <c r="E88" t="inlineStr">
        <is>
          <t>~8% rate</t>
        </is>
      </c>
    </row>
    <row r="89">
      <c r="A89" t="inlineStr">
        <is>
          <t>CT</t>
        </is>
      </c>
      <c r="B89" s="24" t="n">
        <v>0.0699</v>
      </c>
      <c r="C89" t="inlineStr">
        <is>
          <t>MANDATORY</t>
        </is>
      </c>
      <c r="D89" t="inlineStr">
        <is>
          <t>Moderate</t>
        </is>
      </c>
      <c r="E89" t="inlineStr">
        <is>
          <t>Only mandatory PTET state</t>
        </is>
      </c>
    </row>
    <row r="90">
      <c r="A90" t="inlineStr">
        <is>
          <t>WI</t>
        </is>
      </c>
      <c r="B90" s="24" t="n">
        <v>0.0765</v>
      </c>
      <c r="C90" t="inlineStr">
        <is>
          <t>Elective</t>
        </is>
      </c>
      <c r="D90" t="inlineStr">
        <is>
          <t>Moderate</t>
        </is>
      </c>
    </row>
    <row r="91">
      <c r="A91" t="inlineStr">
        <is>
          <t>ME</t>
        </is>
      </c>
      <c r="B91" s="24" t="n">
        <v>0.07149999999999999</v>
      </c>
      <c r="C91" t="inlineStr">
        <is>
          <t>Elective</t>
        </is>
      </c>
      <c r="D91" t="inlineStr">
        <is>
          <t>Moderate</t>
        </is>
      </c>
    </row>
    <row r="92">
      <c r="A92" t="inlineStr">
        <is>
          <t>MT</t>
        </is>
      </c>
      <c r="B92" s="24" t="n">
        <v>0.0675</v>
      </c>
      <c r="C92" t="inlineStr">
        <is>
          <t>Elective</t>
        </is>
      </c>
      <c r="D92" t="inlineStr">
        <is>
          <t>Moderate</t>
        </is>
      </c>
    </row>
    <row r="93">
      <c r="A93" t="inlineStr">
        <is>
          <t>SC</t>
        </is>
      </c>
      <c r="B93" s="24" t="n">
        <v>0.064</v>
      </c>
      <c r="C93" t="inlineStr">
        <is>
          <t>Elective</t>
        </is>
      </c>
      <c r="D93" t="inlineStr">
        <is>
          <t>Moderate</t>
        </is>
      </c>
    </row>
    <row r="94">
      <c r="A94" t="inlineStr">
        <is>
          <t>DE</t>
        </is>
      </c>
      <c r="B94" s="24" t="n">
        <v>0.066</v>
      </c>
      <c r="C94" t="inlineStr">
        <is>
          <t>Elective</t>
        </is>
      </c>
      <c r="D94" t="inlineStr">
        <is>
          <t>Moderate</t>
        </is>
      </c>
    </row>
    <row r="95">
      <c r="A95" t="inlineStr">
        <is>
          <t>RI</t>
        </is>
      </c>
      <c r="B95" s="24" t="n">
        <v>0.0599</v>
      </c>
      <c r="C95" t="inlineStr">
        <is>
          <t>Elective</t>
        </is>
      </c>
      <c r="D95" t="inlineStr">
        <is>
          <t>Moderate</t>
        </is>
      </c>
    </row>
    <row r="96">
      <c r="A96" t="inlineStr">
        <is>
          <t>NE</t>
        </is>
      </c>
      <c r="B96" s="24" t="n">
        <v>0.0584</v>
      </c>
      <c r="C96" t="inlineStr">
        <is>
          <t>Elective</t>
        </is>
      </c>
      <c r="D96" t="inlineStr">
        <is>
          <t>Moderate</t>
        </is>
      </c>
    </row>
    <row r="97">
      <c r="A97" t="inlineStr">
        <is>
          <t>ID</t>
        </is>
      </c>
      <c r="B97" s="24" t="n">
        <v>0.058</v>
      </c>
      <c r="C97" t="inlineStr">
        <is>
          <t>Elective</t>
        </is>
      </c>
      <c r="D97" t="inlineStr">
        <is>
          <t>Moderate</t>
        </is>
      </c>
    </row>
    <row r="98">
      <c r="A98" t="inlineStr">
        <is>
          <t>VA</t>
        </is>
      </c>
      <c r="B98" s="24" t="n">
        <v>0.0575</v>
      </c>
      <c r="C98" t="inlineStr">
        <is>
          <t>Elective</t>
        </is>
      </c>
      <c r="D98" t="inlineStr">
        <is>
          <t>Moderate</t>
        </is>
      </c>
    </row>
    <row r="99">
      <c r="A99" t="inlineStr">
        <is>
          <t>IA</t>
        </is>
      </c>
      <c r="B99" s="24" t="n">
        <v>0.0575</v>
      </c>
      <c r="C99" t="inlineStr">
        <is>
          <t>Elective</t>
        </is>
      </c>
      <c r="D99" t="inlineStr">
        <is>
          <t>Moderate</t>
        </is>
      </c>
    </row>
    <row r="100">
      <c r="A100" t="inlineStr">
        <is>
          <t>KS</t>
        </is>
      </c>
      <c r="B100" s="24" t="n">
        <v>0.057</v>
      </c>
      <c r="C100" t="inlineStr">
        <is>
          <t>Elective</t>
        </is>
      </c>
      <c r="D100" t="inlineStr">
        <is>
          <t>Moderate</t>
        </is>
      </c>
    </row>
    <row r="101">
      <c r="A101" t="inlineStr">
        <is>
          <t>GA</t>
        </is>
      </c>
      <c r="B101" s="24" t="n">
        <v>0.0539</v>
      </c>
      <c r="C101" t="inlineStr">
        <is>
          <t>Elective</t>
        </is>
      </c>
      <c r="D101" t="inlineStr">
        <is>
          <t>Moderate</t>
        </is>
      </c>
    </row>
    <row r="102">
      <c r="A102" t="inlineStr">
        <is>
          <t>NM</t>
        </is>
      </c>
      <c r="B102" s="24" t="n">
        <v>0.059</v>
      </c>
      <c r="C102" t="inlineStr">
        <is>
          <t>Elective</t>
        </is>
      </c>
      <c r="D102" t="inlineStr">
        <is>
          <t>Moderate</t>
        </is>
      </c>
    </row>
    <row r="103">
      <c r="A103" t="inlineStr">
        <is>
          <t>AL</t>
        </is>
      </c>
      <c r="B103" s="24" t="n">
        <v>0.05</v>
      </c>
      <c r="C103" t="inlineStr">
        <is>
          <t>Elective</t>
        </is>
      </c>
      <c r="D103" t="inlineStr">
        <is>
          <t>Lower</t>
        </is>
      </c>
      <c r="E103" t="inlineStr">
        <is>
          <t>5% rate</t>
        </is>
      </c>
    </row>
    <row r="104">
      <c r="A104" t="inlineStr">
        <is>
          <t>OH</t>
        </is>
      </c>
      <c r="B104" s="24" t="n">
        <v>0.05</v>
      </c>
      <c r="C104" t="inlineStr">
        <is>
          <t>Elective</t>
        </is>
      </c>
      <c r="D104" t="inlineStr">
        <is>
          <t>Lower</t>
        </is>
      </c>
      <c r="E104" t="inlineStr">
        <is>
          <t>~5%</t>
        </is>
      </c>
    </row>
    <row r="105">
      <c r="A105" t="inlineStr">
        <is>
          <t>MS</t>
        </is>
      </c>
      <c r="B105" s="24" t="n">
        <v>0.05</v>
      </c>
      <c r="C105" t="inlineStr">
        <is>
          <t>Elective</t>
        </is>
      </c>
      <c r="D105" t="inlineStr">
        <is>
          <t>Lower</t>
        </is>
      </c>
    </row>
    <row r="106">
      <c r="A106" t="inlineStr">
        <is>
          <t>IL</t>
        </is>
      </c>
      <c r="B106" s="24" t="n">
        <v>0.0495</v>
      </c>
      <c r="C106" t="inlineStr">
        <is>
          <t>Elective</t>
        </is>
      </c>
      <c r="D106" t="inlineStr">
        <is>
          <t>Lower</t>
        </is>
      </c>
    </row>
    <row r="107">
      <c r="A107" t="inlineStr">
        <is>
          <t>WV</t>
        </is>
      </c>
      <c r="B107" s="24" t="n">
        <v>0.048</v>
      </c>
      <c r="C107" t="inlineStr">
        <is>
          <t>Elective</t>
        </is>
      </c>
      <c r="D107" t="inlineStr">
        <is>
          <t>Lower</t>
        </is>
      </c>
    </row>
    <row r="108">
      <c r="A108" t="inlineStr">
        <is>
          <t>OK</t>
        </is>
      </c>
      <c r="B108" s="24" t="n">
        <v>0.0475</v>
      </c>
      <c r="C108" t="inlineStr">
        <is>
          <t>Elective</t>
        </is>
      </c>
      <c r="D108" t="inlineStr">
        <is>
          <t>Lower</t>
        </is>
      </c>
    </row>
    <row r="109">
      <c r="A109" t="inlineStr">
        <is>
          <t>MO</t>
        </is>
      </c>
      <c r="B109" s="24" t="n">
        <v>0.047</v>
      </c>
      <c r="C109" t="inlineStr">
        <is>
          <t>Elective</t>
        </is>
      </c>
      <c r="D109" t="inlineStr">
        <is>
          <t>Lower</t>
        </is>
      </c>
    </row>
    <row r="110">
      <c r="A110" t="inlineStr">
        <is>
          <t>UT</t>
        </is>
      </c>
      <c r="B110" s="24" t="n">
        <v>0.0455</v>
      </c>
      <c r="C110" t="inlineStr">
        <is>
          <t>Elective</t>
        </is>
      </c>
      <c r="D110" t="inlineStr">
        <is>
          <t>Lower</t>
        </is>
      </c>
    </row>
    <row r="111">
      <c r="A111" t="inlineStr">
        <is>
          <t>MI</t>
        </is>
      </c>
      <c r="B111" s="24" t="n">
        <v>0.0425</v>
      </c>
      <c r="C111" t="inlineStr">
        <is>
          <t>Elective</t>
        </is>
      </c>
      <c r="D111" t="inlineStr">
        <is>
          <t>Lower</t>
        </is>
      </c>
      <c r="E111" t="inlineStr">
        <is>
          <t>Flat 4.25%</t>
        </is>
      </c>
    </row>
    <row r="112">
      <c r="A112" t="inlineStr">
        <is>
          <t>LA</t>
        </is>
      </c>
      <c r="B112" s="24" t="n">
        <v>0.0425</v>
      </c>
      <c r="C112" t="inlineStr">
        <is>
          <t>Elective</t>
        </is>
      </c>
      <c r="D112" t="inlineStr">
        <is>
          <t>Lower</t>
        </is>
      </c>
    </row>
    <row r="113">
      <c r="A113" t="inlineStr">
        <is>
          <t>NC</t>
        </is>
      </c>
      <c r="B113" s="24" t="n">
        <v>0.0425</v>
      </c>
      <c r="C113" t="inlineStr">
        <is>
          <t>Elective</t>
        </is>
      </c>
      <c r="D113" t="inlineStr">
        <is>
          <t>Lower</t>
        </is>
      </c>
    </row>
    <row r="114">
      <c r="A114" t="inlineStr">
        <is>
          <t>KY</t>
        </is>
      </c>
      <c r="B114" s="24" t="n">
        <v>0.04</v>
      </c>
      <c r="C114" t="inlineStr">
        <is>
          <t>Elective</t>
        </is>
      </c>
      <c r="D114" t="inlineStr">
        <is>
          <t>Lower</t>
        </is>
      </c>
    </row>
    <row r="115">
      <c r="A115" t="inlineStr">
        <is>
          <t>AR</t>
        </is>
      </c>
      <c r="B115" s="24" t="n">
        <v>0.039</v>
      </c>
      <c r="C115" t="inlineStr">
        <is>
          <t>Elective</t>
        </is>
      </c>
      <c r="D115" t="inlineStr">
        <is>
          <t>Lower</t>
        </is>
      </c>
    </row>
    <row r="116">
      <c r="A116" t="inlineStr">
        <is>
          <t>IN</t>
        </is>
      </c>
      <c r="B116" s="24" t="n">
        <v>0.0305</v>
      </c>
      <c r="C116" t="inlineStr">
        <is>
          <t>Elective</t>
        </is>
      </c>
      <c r="D116" t="inlineStr">
        <is>
          <t>Lower</t>
        </is>
      </c>
    </row>
    <row r="117">
      <c r="A117" t="inlineStr">
        <is>
          <t>AZ</t>
        </is>
      </c>
      <c r="B117" s="24" t="n">
        <v>0.025</v>
      </c>
      <c r="C117" t="inlineStr">
        <is>
          <t>Elective</t>
        </is>
      </c>
      <c r="D117" t="inlineStr">
        <is>
          <t>Lower</t>
        </is>
      </c>
      <c r="E117" t="inlineStr">
        <is>
          <t>Flat 2.5%</t>
        </is>
      </c>
    </row>
    <row r="118">
      <c r="A118" t="inlineStr">
        <is>
          <t>PA</t>
        </is>
      </c>
      <c r="B118" t="inlineStr">
        <is>
          <t>—</t>
        </is>
      </c>
      <c r="C118" t="inlineStr">
        <is>
          <t>No PTET</t>
        </is>
      </c>
      <c r="D118" t="inlineStr">
        <is>
          <t>N/A</t>
        </is>
      </c>
      <c r="E118" t="inlineStr">
        <is>
          <t>3.07% flat, no PTET</t>
        </is>
      </c>
    </row>
    <row r="119">
      <c r="A119" t="inlineStr">
        <is>
          <t>DC</t>
        </is>
      </c>
      <c r="B119" t="inlineStr">
        <is>
          <t>—</t>
        </is>
      </c>
      <c r="C119" t="inlineStr">
        <is>
          <t>No PTET</t>
        </is>
      </c>
      <c r="D119" t="inlineStr">
        <is>
          <t>N/A</t>
        </is>
      </c>
      <c r="E119" t="inlineStr">
        <is>
          <t>Graduated, no PTET</t>
        </is>
      </c>
    </row>
    <row r="120">
      <c r="A120" t="inlineStr">
        <is>
          <t>ND</t>
        </is>
      </c>
      <c r="B120" t="inlineStr">
        <is>
          <t>—</t>
        </is>
      </c>
      <c r="C120" t="inlineStr">
        <is>
          <t>No PTET</t>
        </is>
      </c>
      <c r="D120" t="inlineStr">
        <is>
          <t>N/A</t>
        </is>
      </c>
      <c r="E120" t="inlineStr">
        <is>
          <t>Has income tax, no PTET</t>
        </is>
      </c>
    </row>
    <row r="121">
      <c r="A121" t="inlineStr">
        <is>
          <t>FL</t>
        </is>
      </c>
      <c r="B121" t="inlineStr">
        <is>
          <t>—</t>
        </is>
      </c>
      <c r="C121" t="inlineStr">
        <is>
          <t>No state income tax</t>
        </is>
      </c>
      <c r="D121" t="inlineStr">
        <is>
          <t>N/A</t>
        </is>
      </c>
    </row>
    <row r="122">
      <c r="A122" t="inlineStr">
        <is>
          <t>TX</t>
        </is>
      </c>
      <c r="B122" t="inlineStr">
        <is>
          <t>—</t>
        </is>
      </c>
      <c r="C122" t="inlineStr">
        <is>
          <t>No state income tax</t>
        </is>
      </c>
      <c r="D122" t="inlineStr">
        <is>
          <t>N/A</t>
        </is>
      </c>
    </row>
    <row r="123">
      <c r="A123" t="inlineStr">
        <is>
          <t>WA</t>
        </is>
      </c>
      <c r="B123" t="inlineStr">
        <is>
          <t>—</t>
        </is>
      </c>
      <c r="C123" t="inlineStr">
        <is>
          <t>No state income tax</t>
        </is>
      </c>
      <c r="D123" t="inlineStr">
        <is>
          <t>N/A</t>
        </is>
      </c>
    </row>
    <row r="124">
      <c r="A124" t="inlineStr">
        <is>
          <t>NV</t>
        </is>
      </c>
      <c r="B124" t="inlineStr">
        <is>
          <t>—</t>
        </is>
      </c>
      <c r="C124" t="inlineStr">
        <is>
          <t>No state income tax</t>
        </is>
      </c>
      <c r="D124" t="inlineStr">
        <is>
          <t>N/A</t>
        </is>
      </c>
    </row>
    <row r="125">
      <c r="A125" t="inlineStr">
        <is>
          <t>WY</t>
        </is>
      </c>
      <c r="B125" t="inlineStr">
        <is>
          <t>—</t>
        </is>
      </c>
      <c r="C125" t="inlineStr">
        <is>
          <t>No state income tax</t>
        </is>
      </c>
      <c r="D125" t="inlineStr">
        <is>
          <t>N/A</t>
        </is>
      </c>
    </row>
    <row r="126">
      <c r="A126" t="inlineStr">
        <is>
          <t>SD</t>
        </is>
      </c>
      <c r="B126" t="inlineStr">
        <is>
          <t>—</t>
        </is>
      </c>
      <c r="C126" t="inlineStr">
        <is>
          <t>No state income tax</t>
        </is>
      </c>
      <c r="D126" t="inlineStr">
        <is>
          <t>N/A</t>
        </is>
      </c>
    </row>
    <row r="127">
      <c r="A127" t="inlineStr">
        <is>
          <t>AK</t>
        </is>
      </c>
      <c r="B127" t="inlineStr">
        <is>
          <t>—</t>
        </is>
      </c>
      <c r="C127" t="inlineStr">
        <is>
          <t>No state income tax</t>
        </is>
      </c>
      <c r="D127" t="inlineStr">
        <is>
          <t>N/A</t>
        </is>
      </c>
    </row>
    <row r="128">
      <c r="A128" t="inlineStr">
        <is>
          <t>TN</t>
        </is>
      </c>
      <c r="B128" t="inlineStr">
        <is>
          <t>—</t>
        </is>
      </c>
      <c r="C128" t="inlineStr">
        <is>
          <t>No state income tax</t>
        </is>
      </c>
      <c r="D128" t="inlineStr">
        <is>
          <t>N/A</t>
        </is>
      </c>
    </row>
    <row r="129">
      <c r="A129" t="inlineStr">
        <is>
          <t>NH</t>
        </is>
      </c>
      <c r="B129" t="inlineStr">
        <is>
          <t>—</t>
        </is>
      </c>
      <c r="C129" t="inlineStr">
        <is>
          <t>No state income tax</t>
        </is>
      </c>
      <c r="D129" t="inlineStr">
        <is>
          <t>N/A</t>
        </is>
      </c>
      <c r="E129" t="inlineStr">
        <is>
          <t>Taxes investment only</t>
        </is>
      </c>
    </row>
    <row r="132">
      <c r="A132" t="inlineStr">
        <is>
          <t>═══════════════════════════════════════════════════════</t>
        </is>
      </c>
    </row>
    <row r="133" ht="18.5" customHeight="1" s="19">
      <c r="A133" s="15" t="inlineStr">
        <is>
          <t>TAX LIMITATIONS REFERENCE</t>
        </is>
      </c>
    </row>
    <row r="134">
      <c r="A134" t="inlineStr">
        <is>
          <t>TAX LIMITATIONS TRACKER</t>
        </is>
      </c>
    </row>
    <row r="136">
      <c r="A136" t="inlineStr">
        <is>
          <t>1. PASSIVE ACTIVITY LOSS LIMITATIONS (IRC §469)</t>
        </is>
      </c>
    </row>
    <row r="138">
      <c r="A138" t="inlineStr">
        <is>
          <t>NIIT_Class Determination:</t>
        </is>
      </c>
    </row>
    <row r="139">
      <c r="A139" t="inlineStr">
        <is>
          <t>• Active = Taxpayer materially participates (no PAL limit applies)</t>
        </is>
      </c>
    </row>
    <row r="140">
      <c r="A140" t="inlineStr">
        <is>
          <t>• Passive = Rental activities OR business without material participation</t>
        </is>
      </c>
    </row>
    <row r="141">
      <c r="A141" t="inlineStr">
        <is>
          <t>• Portfolio = Interest, dividends, capital gains from investments</t>
        </is>
      </c>
    </row>
    <row r="142">
      <c r="A142" t="inlineStr">
        <is>
          <t>• N/A = Deductions, credits, payments (not subject to NIIT)</t>
        </is>
      </c>
    </row>
    <row r="144">
      <c r="A144" t="inlineStr">
        <is>
          <t>Passive Loss Limitation Rules:</t>
        </is>
      </c>
    </row>
    <row r="145">
      <c r="A145" t="inlineStr">
        <is>
          <t>• Passive losses can ONLY offset passive income</t>
        </is>
      </c>
    </row>
    <row r="146">
      <c r="A146" t="inlineStr">
        <is>
          <t>• Excess passive losses are suspended and carried forward indefinitely</t>
        </is>
      </c>
    </row>
    <row r="147">
      <c r="A147" t="inlineStr">
        <is>
          <t>• Released upon complete disposition of the passive activity</t>
        </is>
      </c>
    </row>
    <row r="148">
      <c r="A148" t="inlineStr">
        <is>
          <t>• $25,000 rental real estate exception (AGI phase-out $100k-$150k for active participants)</t>
        </is>
      </c>
    </row>
    <row r="149">
      <c r="A149" t="inlineStr">
        <is>
          <t>• Real estate professionals may treat rental activities as active (&gt;750 hrs + &gt;50% of personal services)</t>
        </is>
      </c>
    </row>
    <row r="151">
      <c r="A151" t="inlineStr">
        <is>
          <t>2. CAPITAL LOSS LIMITATIONS (IRC §1211)</t>
        </is>
      </c>
    </row>
    <row r="153">
      <c r="A153" t="inlineStr">
        <is>
          <t>Capital Loss Limitation Rules:</t>
        </is>
      </c>
    </row>
    <row r="154">
      <c r="A154" t="inlineStr">
        <is>
          <t>• Capital losses offset capital gains (STCG vs LTCG, then netting)</t>
        </is>
      </c>
    </row>
    <row r="155">
      <c r="A155" t="inlineStr">
        <is>
          <t>• Excess capital loss deduction limited to $3,000 per year ($1,500 MFS)</t>
        </is>
      </c>
    </row>
    <row r="156">
      <c r="A156" t="inlineStr">
        <is>
          <t>• Excess capital losses carried forward indefinitely (retain character as ST or LT)</t>
        </is>
      </c>
    </row>
    <row r="157">
      <c r="A157" t="inlineStr">
        <is>
          <t>• Wash sale rules (IRC §1091) - no loss if substantially identical security repurchased within 30 days</t>
        </is>
      </c>
    </row>
    <row r="159">
      <c r="A159" t="inlineStr">
        <is>
          <t>3. NET OPERATING LOSS (NOL) CARRYFORWARDS (IRC §172)</t>
        </is>
      </c>
    </row>
    <row r="161">
      <c r="A161" t="inlineStr">
        <is>
          <t>NOL Limitation Rules (TCJA 2017 onwards):</t>
        </is>
      </c>
    </row>
    <row r="162">
      <c r="A162" t="inlineStr">
        <is>
          <t>• NOL deduction limited to 80% of taxable income (for NOLs arising after 2017)</t>
        </is>
      </c>
    </row>
    <row r="163">
      <c r="A163" t="inlineStr">
        <is>
          <t>• NOLs carried forward indefinitely (no expiration)</t>
        </is>
      </c>
    </row>
    <row r="164">
      <c r="A164" t="inlineStr">
        <is>
          <t>• No carryback allowed (except 2018-2020 losses under CARES Act)</t>
        </is>
      </c>
    </row>
    <row r="165">
      <c r="A165" t="inlineStr">
        <is>
          <t>• Excess Business Loss limitation: $289,000 single / $578,000 MFJ (2023) - excess becomes NOL</t>
        </is>
      </c>
    </row>
    <row r="167">
      <c r="A167" t="inlineStr">
        <is>
          <t>4. PASSIVE LOSS TRACKING WORKSHEET</t>
        </is>
      </c>
    </row>
    <row r="169">
      <c r="A169" t="inlineStr">
        <is>
          <t>Activity</t>
        </is>
      </c>
      <c r="B169" t="inlineStr">
        <is>
          <t>Source_Type</t>
        </is>
      </c>
      <c r="C169" t="inlineStr">
        <is>
          <t>NIIT_Class</t>
        </is>
      </c>
      <c r="D169" t="inlineStr">
        <is>
          <t>Current Year Income/(Loss)</t>
        </is>
      </c>
      <c r="E169" t="inlineStr">
        <is>
          <t>Prior Year Suspended Loss</t>
        </is>
      </c>
    </row>
    <row r="170">
      <c r="A170" t="inlineStr">
        <is>
          <t>Example: Rental Property A</t>
        </is>
      </c>
      <c r="B170" t="inlineStr">
        <is>
          <t>Schedule E - Rental</t>
        </is>
      </c>
      <c r="C170" t="inlineStr">
        <is>
          <t>Passive</t>
        </is>
      </c>
      <c r="D170" t="n">
        <v>-15000</v>
      </c>
      <c r="E170" t="n">
        <v>-25000</v>
      </c>
    </row>
    <row r="171">
      <c r="A171" t="inlineStr">
        <is>
          <t>Example: Partnership B</t>
        </is>
      </c>
      <c r="B171" t="inlineStr">
        <is>
          <t>Partnership K-1</t>
        </is>
      </c>
      <c r="C171" t="inlineStr">
        <is>
          <t>Passive</t>
        </is>
      </c>
      <c r="D171" t="n">
        <v>-8000</v>
      </c>
    </row>
    <row r="173">
      <c r="A173" t="inlineStr">
        <is>
          <t>TOTALS:</t>
        </is>
      </c>
      <c r="D173" t="n">
        <v>-23000</v>
      </c>
      <c r="E173" t="n">
        <v>-25000</v>
      </c>
    </row>
    <row r="175">
      <c r="A175" t="inlineStr">
        <is>
          <t>5. CAPITAL LOSS TRACKING WORKSHEET</t>
        </is>
      </c>
    </row>
    <row r="177">
      <c r="A177" t="inlineStr">
        <is>
          <t>Type</t>
        </is>
      </c>
      <c r="B177" t="inlineStr">
        <is>
          <t>Current Year Gains/(Losses)</t>
        </is>
      </c>
      <c r="C177" t="inlineStr">
        <is>
          <t>Prior Year C/F</t>
        </is>
      </c>
      <c r="D177" t="inlineStr">
        <is>
          <t>Total Available</t>
        </is>
      </c>
      <c r="E177" t="inlineStr">
        <is>
          <t>Offset Against Gains</t>
        </is>
      </c>
    </row>
    <row r="178">
      <c r="A178" t="inlineStr">
        <is>
          <t>Short-term</t>
        </is>
      </c>
      <c r="B178" t="n">
        <v>5000</v>
      </c>
      <c r="C178" t="n">
        <v>-10000</v>
      </c>
      <c r="D178" t="n">
        <v>-5000</v>
      </c>
    </row>
    <row r="179">
      <c r="A179" t="inlineStr">
        <is>
          <t>Long-term</t>
        </is>
      </c>
      <c r="B179" t="n">
        <v>-8000</v>
      </c>
      <c r="C179" t="n">
        <v>-15000</v>
      </c>
      <c r="D179" t="n">
        <v>-23000</v>
      </c>
    </row>
    <row r="181">
      <c r="A181" t="inlineStr">
        <is>
          <t>Net Capital Gain/(Loss):</t>
        </is>
      </c>
    </row>
    <row r="182">
      <c r="A182" t="inlineStr">
        <is>
          <t>Ordinary Income Offset (max $3,000):</t>
        </is>
      </c>
    </row>
    <row r="183">
      <c r="A183" t="inlineStr">
        <is>
          <t>Capital Loss Carryforward:</t>
        </is>
      </c>
    </row>
    <row r="185">
      <c r="A185" t="inlineStr">
        <is>
          <t>6. NET OPERATING LOSS (NOL) TRACKING</t>
        </is>
      </c>
    </row>
    <row r="187">
      <c r="A187" t="inlineStr">
        <is>
          <t>Year</t>
        </is>
      </c>
      <c r="B187" t="inlineStr">
        <is>
          <t>NOL Generated</t>
        </is>
      </c>
      <c r="C187" t="inlineStr">
        <is>
          <t>Prior C/F Balance</t>
        </is>
      </c>
      <c r="D187" t="inlineStr">
        <is>
          <t>Total Available NOL</t>
        </is>
      </c>
      <c r="E187" t="inlineStr">
        <is>
          <t>Current Year TI (before NOL)</t>
        </is>
      </c>
    </row>
    <row r="188">
      <c r="A188" t="n">
        <v>2023</v>
      </c>
      <c r="C188" t="n">
        <v>-50000</v>
      </c>
      <c r="D188" t="n">
        <v>-50000</v>
      </c>
      <c r="E188" t="n">
        <v>100000</v>
      </c>
    </row>
    <row r="189">
      <c r="A189" t="n">
        <v>2024</v>
      </c>
      <c r="B189" t="n">
        <v>-20000</v>
      </c>
      <c r="D189" t="n">
        <v>-20000</v>
      </c>
      <c r="E189" t="n">
        <v>75000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FFC00000"/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4.5"/>
  <sheetData>
    <row r="1" ht="15.5" customHeight="1" s="19">
      <c r="A1" s="30" t="inlineStr">
        <is>
          <t>QUICK CARRYOVER CALCULATOR — Manual Entry</t>
        </is>
      </c>
      <c r="B1" s="30" t="n"/>
      <c r="C1" s="30" t="n"/>
      <c r="D1" s="30" t="n"/>
      <c r="E1" s="30" t="n"/>
      <c r="F1" s="30" t="n"/>
      <c r="G1" s="30" t="n"/>
    </row>
    <row r="2">
      <c r="A2" t="inlineStr">
        <is>
          <t>Simplified first-step inputs - calculates allowed amounts after limitations</t>
        </is>
      </c>
    </row>
    <row r="4">
      <c r="A4" t="inlineStr">
        <is>
          <t>A. CURRENT YEAR ACTIVITY</t>
        </is>
      </c>
      <c r="E4" t="inlineStr">
        <is>
          <t>B. ALLOWED AMOUNTS (After Limitations)</t>
        </is>
      </c>
    </row>
    <row r="5">
      <c r="A5" t="inlineStr">
        <is>
          <t>Description</t>
        </is>
      </c>
      <c r="B5" t="inlineStr">
        <is>
          <t>Amount</t>
        </is>
      </c>
      <c r="C5" t="inlineStr">
        <is>
          <t>Notes</t>
        </is>
      </c>
      <c r="E5" t="inlineStr">
        <is>
          <t>Item</t>
        </is>
      </c>
      <c r="F5" t="inlineStr">
        <is>
          <t>Allowed</t>
        </is>
      </c>
      <c r="G5" t="inlineStr">
        <is>
          <t>Rule Applied</t>
        </is>
      </c>
    </row>
    <row r="6">
      <c r="A6" t="inlineStr">
        <is>
          <t>CY Passive Activity Income/(Loss)</t>
        </is>
      </c>
      <c r="B6">
        <f t="array" ref="B6">INDIRECT("Y"&amp;Active_Year&amp;"!J28")</f>
        <v/>
      </c>
      <c r="C6" t="inlineStr">
        <is>
          <t>Enter positive for income, negative for loss</t>
        </is>
      </c>
      <c r="E6" t="inlineStr">
        <is>
          <t>Passive Loss Allowed</t>
        </is>
      </c>
      <c r="F6">
        <f>IF(B6&gt;=0, 0, B6)</f>
        <v/>
      </c>
      <c r="G6" t="inlineStr">
        <is>
          <t>PAL: Losses offset passive income only</t>
        </is>
      </c>
    </row>
    <row r="7">
      <c r="A7" t="inlineStr">
        <is>
          <t>CY Capital Gains/(Losses)</t>
        </is>
      </c>
      <c r="B7">
        <f t="array" ref="B7">INDIRECT("Y"&amp;Active_Year&amp;"!J31")+INDIRECT("Y"&amp;Active_Year&amp;"!J32")</f>
        <v/>
      </c>
      <c r="C7" t="inlineStr">
        <is>
          <t>Net capital gains (positive) or losses (negative)</t>
        </is>
      </c>
      <c r="E7" t="inlineStr">
        <is>
          <t>Capital Loss vs Ordinary</t>
        </is>
      </c>
      <c r="F7">
        <f>IF(B7&gt;=0, 0, MAX(B7, -3000))</f>
        <v/>
      </c>
      <c r="G7" t="inlineStr">
        <is>
          <t>CL: Max $3,000 deduction vs ordinary</t>
        </is>
      </c>
    </row>
    <row r="8">
      <c r="A8" t="inlineStr">
        <is>
          <t>CY Business Income/(Loss) - Non-Passive</t>
        </is>
      </c>
      <c r="B8">
        <f t="array" ref="B8">INDIRECT("Y"&amp;Active_Year&amp;"!J26")+INDIRECT("Y"&amp;Active_Year&amp;"!J27")</f>
        <v/>
      </c>
      <c r="C8" t="inlineStr">
        <is>
          <t>Schedule C, SE portion of K-1s, etc.</t>
        </is>
      </c>
      <c r="E8" t="inlineStr">
        <is>
          <t>Capital Gain to Tax</t>
        </is>
      </c>
      <c r="F8">
        <f>MAX(0, B7)</f>
        <v/>
      </c>
      <c r="G8" t="inlineStr">
        <is>
          <t>CG: Taxed at preferential rates</t>
        </is>
      </c>
    </row>
    <row r="9">
      <c r="A9" t="inlineStr">
        <is>
          <t>Prior Year Taxable Income</t>
        </is>
      </c>
      <c r="B9">
        <f t="array" ref="B9">IFERROR(INDIRECT("Y"&amp;(Active_Year-1)&amp;"!N18"),0)</f>
        <v/>
      </c>
      <c r="C9" t="inlineStr">
        <is>
          <t>For NOL 80% limitation calculation</t>
        </is>
      </c>
      <c r="E9" t="inlineStr">
        <is>
          <t>NOL Deduction Allowed</t>
        </is>
      </c>
      <c r="F9">
        <f>IF(B27&gt;0, MIN(B27, B9*0.8), 0)</f>
        <v/>
      </c>
      <c r="G9" t="inlineStr">
        <is>
          <t>NOL: Limited to 80% of taxable income</t>
        </is>
      </c>
    </row>
    <row r="11">
      <c r="A11" t="inlineStr">
        <is>
          <t>C. SUMMARY - ADJUSTMENT TO TAX CALCULATOR</t>
        </is>
      </c>
    </row>
    <row r="12">
      <c r="A12" t="inlineStr">
        <is>
          <t>Total Deductions Allowed</t>
        </is>
      </c>
      <c r="B12">
        <f>F6+F7+F9</f>
        <v/>
      </c>
      <c r="C12" t="inlineStr">
        <is>
          <t>Transfer to year sheet tax calculator (Section 7, row 129)</t>
        </is>
      </c>
    </row>
    <row r="13">
      <c r="A13" t="inlineStr">
        <is>
          <t>Capital Gains for CG Tax</t>
        </is>
      </c>
      <c r="B13">
        <f>F8</f>
        <v/>
      </c>
      <c r="C13" t="inlineStr">
        <is>
          <t>Enter in year sheet helpers (CG_LT at J31, CG_ST at J32)</t>
        </is>
      </c>
    </row>
    <row r="15">
      <c r="A15" t="inlineStr">
        <is>
          <t>Note: Enter values manually. Wire to year sheet helpers/tax calc inputs as needed.</t>
        </is>
      </c>
    </row>
    <row r="17">
      <c r="A17" t="inlineStr">
        <is>
          <t>LOSS CARRYOVERS &amp; LIMITATIONS</t>
        </is>
      </c>
    </row>
    <row r="18">
      <c r="A18" t="inlineStr">
        <is>
          <t>Track NOL, Capital Loss, and Passive Activity Loss carryforwards</t>
        </is>
      </c>
    </row>
    <row r="20">
      <c r="A20" t="inlineStr">
        <is>
          <t>SIMPLE CARRYOVER INPUTS</t>
        </is>
      </c>
    </row>
    <row r="21">
      <c r="A21" t="inlineStr">
        <is>
          <t>Enter prior year carryovers below. The detailed calculations are in sections 1-3.</t>
        </is>
      </c>
    </row>
    <row r="23">
      <c r="A23" t="inlineStr">
        <is>
          <t>Carryover Type</t>
        </is>
      </c>
      <c r="B23" t="inlineStr">
        <is>
          <t>Amount</t>
        </is>
      </c>
      <c r="C23" t="inlineStr">
        <is>
          <t>Year(s) of Loss</t>
        </is>
      </c>
      <c r="D23" t="inlineStr">
        <is>
          <t>Notes</t>
        </is>
      </c>
    </row>
    <row r="24">
      <c r="A24" t="inlineStr">
        <is>
          <t>STCL Carryforward</t>
        </is>
      </c>
      <c r="B24" t="n">
        <v>0</v>
      </c>
      <c r="D24" t="inlineStr">
        <is>
          <t>Short-term capital loss from prior year(s)</t>
        </is>
      </c>
    </row>
    <row r="25">
      <c r="A25" t="inlineStr">
        <is>
          <t>LTCL Carryforward</t>
        </is>
      </c>
      <c r="B25" t="n">
        <v>0</v>
      </c>
      <c r="D25" t="inlineStr">
        <is>
          <t>Long-term capital loss from prior year(s)</t>
        </is>
      </c>
    </row>
    <row r="26">
      <c r="A26" t="inlineStr">
        <is>
          <t>NOL Carryforward (Pre-2018)</t>
        </is>
      </c>
      <c r="B26" t="n">
        <v>0</v>
      </c>
      <c r="D26" t="inlineStr">
        <is>
          <t>Net operating loss (100% usable)</t>
        </is>
      </c>
    </row>
    <row r="27">
      <c r="A27" t="inlineStr">
        <is>
          <t>NOL Carryforward (Post-2017)</t>
        </is>
      </c>
      <c r="B27" t="n">
        <v>0</v>
      </c>
      <c r="D27" t="inlineStr">
        <is>
          <t>Net operating loss (80% limit)</t>
        </is>
      </c>
    </row>
    <row r="28">
      <c r="A28" t="inlineStr">
        <is>
          <t>Suspended PAL - Rental</t>
        </is>
      </c>
      <c r="B28" t="n">
        <v>0</v>
      </c>
      <c r="D28" t="inlineStr">
        <is>
          <t>Suspended passive losses from rentals</t>
        </is>
      </c>
    </row>
    <row r="29">
      <c r="A29" t="inlineStr">
        <is>
          <t>Suspended PAL - Other</t>
        </is>
      </c>
      <c r="B29" t="n">
        <v>0</v>
      </c>
      <c r="D29" t="inlineStr">
        <is>
          <t>Suspended passive losses from other activities</t>
        </is>
      </c>
    </row>
    <row r="30">
      <c r="A30" t="inlineStr">
        <is>
          <t>TOTAL CARRYOVERS</t>
        </is>
      </c>
      <c r="B30">
        <f>SUM(B24:B29)</f>
        <v/>
      </c>
    </row>
    <row r="32">
      <c r="A32" t="inlineStr">
        <is>
          <t>1. CAPITAL LOSS CARRYOVER</t>
        </is>
      </c>
    </row>
    <row r="33">
      <c r="A33" t="inlineStr">
        <is>
          <t>Description</t>
        </is>
      </c>
      <c r="B33" t="inlineStr">
        <is>
          <t>STCL</t>
        </is>
      </c>
      <c r="C33" t="inlineStr">
        <is>
          <t>LTCL</t>
        </is>
      </c>
      <c r="D33" t="inlineStr">
        <is>
          <t>Total</t>
        </is>
      </c>
      <c r="E33" t="inlineStr">
        <is>
          <t>Limit</t>
        </is>
      </c>
      <c r="F33" t="inlineStr">
        <is>
          <t>Used</t>
        </is>
      </c>
      <c r="G33" t="inlineStr">
        <is>
          <t>Notes</t>
        </is>
      </c>
    </row>
    <row r="34">
      <c r="A34" t="inlineStr">
        <is>
          <t>Prior Year STCL Carryover</t>
        </is>
      </c>
      <c r="B34" t="n">
        <v>0</v>
      </c>
      <c r="D34">
        <f>B34</f>
        <v/>
      </c>
      <c r="G34" t="inlineStr">
        <is>
          <t>Enter PY carryover from prior return</t>
        </is>
      </c>
    </row>
    <row r="35">
      <c r="A35" t="inlineStr">
        <is>
          <t>Prior Year LTCL Carryover</t>
        </is>
      </c>
      <c r="C35" t="n">
        <v>0</v>
      </c>
      <c r="D35">
        <f>C35</f>
        <v/>
      </c>
      <c r="G35" t="inlineStr">
        <is>
          <t>Enter PY carryover from prior return</t>
        </is>
      </c>
    </row>
    <row r="36">
      <c r="A36" t="inlineStr">
        <is>
          <t>Current Year Net CG/(CL)</t>
        </is>
      </c>
      <c r="B36" s="12">
        <f>MIN(0, INDIRECT("Y"&amp;Active_Year&amp;"!J32"))</f>
        <v/>
      </c>
      <c r="C36" s="12">
        <f>MIN(0, INDIRECT("Y"&amp;Active_Year&amp;"!J31"))</f>
        <v/>
      </c>
      <c r="D36" s="12">
        <f>B36+C36</f>
        <v/>
      </c>
      <c r="G36" t="inlineStr">
        <is>
          <t>From Tax Calculator (before carryover)</t>
        </is>
      </c>
    </row>
    <row r="37">
      <c r="A37" t="inlineStr">
        <is>
          <t>Net Capital Gain/(Loss)</t>
        </is>
      </c>
      <c r="B37" s="12">
        <f>B34+B36</f>
        <v/>
      </c>
      <c r="C37" s="12">
        <f>C35+C36</f>
        <v/>
      </c>
      <c r="D37" s="12">
        <f>B37+C37</f>
        <v/>
      </c>
      <c r="G37" t="inlineStr">
        <is>
          <t>Combined PY carryover + CY activity</t>
        </is>
      </c>
    </row>
    <row r="38">
      <c r="A38" t="inlineStr">
        <is>
          <t>Capital Loss Limitation</t>
        </is>
      </c>
      <c r="E38" t="n">
        <v>-3000</v>
      </c>
      <c r="G38" t="inlineStr">
        <is>
          <t>Max $3,000 CL vs ordinary income ($1,500 MFS)</t>
        </is>
      </c>
    </row>
    <row r="39">
      <c r="A39" t="inlineStr">
        <is>
          <t>CL Used Against Ordinary Income</t>
        </is>
      </c>
      <c r="F39" s="12">
        <f>IF(D37&gt;=0, 0, MAX(D37, -3000))</f>
        <v/>
      </c>
      <c r="G39" t="inlineStr">
        <is>
          <t>Limited to $3,000 or net loss if smaller</t>
        </is>
      </c>
    </row>
    <row r="40">
      <c r="A40" t="inlineStr">
        <is>
          <t>STCL Carryover to Next Year</t>
        </is>
      </c>
      <c r="B40" s="12">
        <f>IF(B37&lt;0, B37-F39, 0)</f>
        <v/>
      </c>
      <c r="G40" t="inlineStr">
        <is>
          <t>STCL carries forward indefinitely</t>
        </is>
      </c>
    </row>
    <row r="41">
      <c r="A41" t="inlineStr">
        <is>
          <t>LTCL Carryover to Next Year</t>
        </is>
      </c>
      <c r="C41" s="12">
        <f>IF(C37&lt;0, C37, 0)</f>
        <v/>
      </c>
      <c r="G41" t="inlineStr">
        <is>
          <t>LTCL carries forward indefinitely</t>
        </is>
      </c>
    </row>
    <row r="43">
      <c r="A43" t="inlineStr">
        <is>
          <t>2. NET OPERATING LOSS (NOL) CARRYOVER</t>
        </is>
      </c>
    </row>
    <row r="44">
      <c r="A44" t="inlineStr">
        <is>
          <t>Description</t>
        </is>
      </c>
      <c r="B44" t="inlineStr">
        <is>
          <t>Pre-2018 NOL</t>
        </is>
      </c>
      <c r="C44" t="inlineStr">
        <is>
          <t>Post-2017 NOL</t>
        </is>
      </c>
      <c r="D44" t="inlineStr">
        <is>
          <t>Total</t>
        </is>
      </c>
      <c r="E44" t="inlineStr">
        <is>
          <t>Limit</t>
        </is>
      </c>
      <c r="F44" t="inlineStr">
        <is>
          <t>Used</t>
        </is>
      </c>
      <c r="G44" t="inlineStr">
        <is>
          <t>Notes</t>
        </is>
      </c>
    </row>
    <row r="45">
      <c r="A45" t="inlineStr">
        <is>
          <t>Prior Year NOL Carryover (Pre-2018)</t>
        </is>
      </c>
      <c r="B45" t="n">
        <v>0</v>
      </c>
      <c r="G45" t="inlineStr">
        <is>
          <t>Pre-TCJA NOL (100% usable, 20-yr limit)</t>
        </is>
      </c>
    </row>
    <row r="46">
      <c r="A46" t="inlineStr">
        <is>
          <t>Prior Year NOL Carryover (Post-2017)</t>
        </is>
      </c>
      <c r="C46" t="n">
        <v>0</v>
      </c>
      <c r="G46" t="inlineStr">
        <is>
          <t>Post-TCJA NOL (80% limit, indefinite)</t>
        </is>
      </c>
    </row>
    <row r="47">
      <c r="A47" t="inlineStr">
        <is>
          <t>Total NOL Carryover Available</t>
        </is>
      </c>
      <c r="D47">
        <f>B45+C46</f>
        <v/>
      </c>
    </row>
    <row r="48">
      <c r="A48" t="inlineStr">
        <is>
          <t>Taxable Income (before NOL)</t>
        </is>
      </c>
      <c r="D48" s="12">
        <f t="array" ref="D48">INDIRECT("Y"&amp;Active_Year&amp;"!N18")</f>
        <v/>
      </c>
      <c r="G48" t="inlineStr">
        <is>
          <t>From Tax Calculator</t>
        </is>
      </c>
    </row>
    <row r="49">
      <c r="A49" t="inlineStr">
        <is>
          <t>80% Limitation (Post-2017 NOL)</t>
        </is>
      </c>
      <c r="E49" s="12">
        <f>IF(C46&gt;0, D48*0.8, 0)</f>
        <v/>
      </c>
      <c r="G49" t="inlineStr">
        <is>
          <t>Post-2017 NOL limited to 80% of TI</t>
        </is>
      </c>
    </row>
    <row r="50">
      <c r="A50" t="inlineStr">
        <is>
          <t>Pre-2018 NOL Used</t>
        </is>
      </c>
      <c r="F50" s="12">
        <f>MIN(B45, MAX(0, D48))</f>
        <v/>
      </c>
      <c r="G50" t="inlineStr">
        <is>
          <t>Use oldest NOL first (FIFO)</t>
        </is>
      </c>
    </row>
    <row r="51">
      <c r="A51" t="inlineStr">
        <is>
          <t>Post-2017 NOL Used</t>
        </is>
      </c>
      <c r="F51" s="12">
        <f>MIN(C46, MAX(0, E49))</f>
        <v/>
      </c>
      <c r="G51" t="inlineStr">
        <is>
          <t>Limited to 80% of remaining TI</t>
        </is>
      </c>
    </row>
    <row r="52">
      <c r="A52" t="inlineStr">
        <is>
          <t>Total NOL Deduction</t>
        </is>
      </c>
      <c r="F52" s="12">
        <f>F50+F51</f>
        <v/>
      </c>
    </row>
    <row r="53">
      <c r="A53" t="inlineStr">
        <is>
          <t>NOL Carryover to Next Year</t>
        </is>
      </c>
      <c r="B53" s="12">
        <f>MAX(0, B45-F50)</f>
        <v/>
      </c>
      <c r="C53" s="12">
        <f>MAX(0, C46-F51)</f>
        <v/>
      </c>
      <c r="D53" s="12">
        <f>B53+C53</f>
        <v/>
      </c>
      <c r="G53" t="inlineStr">
        <is>
          <t>Remaining NOL for future years</t>
        </is>
      </c>
    </row>
    <row r="55">
      <c r="A55" t="inlineStr">
        <is>
          <t>3. PASSIVE ACTIVITY LOSS (PAL) CARRYOVER</t>
        </is>
      </c>
    </row>
    <row r="56">
      <c r="A56" t="inlineStr">
        <is>
          <t>Description</t>
        </is>
      </c>
      <c r="B56" t="inlineStr">
        <is>
          <t>Rental RE</t>
        </is>
      </c>
      <c r="C56" t="inlineStr">
        <is>
          <t>Other Passive</t>
        </is>
      </c>
      <c r="D56" t="inlineStr">
        <is>
          <t>Total</t>
        </is>
      </c>
      <c r="E56" t="inlineStr">
        <is>
          <t>Limit</t>
        </is>
      </c>
      <c r="F56" t="inlineStr">
        <is>
          <t>Allowed</t>
        </is>
      </c>
      <c r="G56" t="inlineStr">
        <is>
          <t>Notes</t>
        </is>
      </c>
    </row>
    <row r="57">
      <c r="A57" t="inlineStr">
        <is>
          <t>Prior Year Suspended PAL - Rental</t>
        </is>
      </c>
      <c r="B57" t="n">
        <v>0</v>
      </c>
      <c r="G57" t="inlineStr">
        <is>
          <t>Enter PY suspended rental losses</t>
        </is>
      </c>
    </row>
    <row r="58">
      <c r="A58" t="inlineStr">
        <is>
          <t>Prior Year Suspended PAL - Other</t>
        </is>
      </c>
      <c r="C58" t="n">
        <v>0</v>
      </c>
      <c r="G58" t="inlineStr">
        <is>
          <t>Enter PY suspended passive losses</t>
        </is>
      </c>
    </row>
    <row r="59">
      <c r="A59" t="inlineStr">
        <is>
          <t>Current Year Passive Income/(Loss)</t>
        </is>
      </c>
      <c r="B59" s="12">
        <f t="array" ref="B59">INDIRECT("Y"&amp;Active_Year&amp;"!J28")</f>
        <v/>
      </c>
      <c r="D59" s="12">
        <f>B59+C58</f>
        <v/>
      </c>
      <c r="G59" t="inlineStr">
        <is>
          <t>From Tax Calculator (NIIT Passive)</t>
        </is>
      </c>
    </row>
    <row r="60">
      <c r="A60" t="inlineStr">
        <is>
          <t>Net Passive Activity</t>
        </is>
      </c>
      <c r="B60" s="12">
        <f>B57+B59</f>
        <v/>
      </c>
      <c r="C60">
        <f>C58</f>
        <v/>
      </c>
      <c r="D60" s="12">
        <f>B60+C60</f>
        <v/>
      </c>
      <c r="G60" t="inlineStr">
        <is>
          <t>PY carryover + CY activity</t>
        </is>
      </c>
    </row>
    <row r="61">
      <c r="A61" t="inlineStr">
        <is>
          <t>AGI for $25K Allowance Test</t>
        </is>
      </c>
      <c r="D61" s="12">
        <f t="array" ref="D61">INDIRECT("Y"&amp;Active_Year&amp;"!N15")</f>
        <v/>
      </c>
      <c r="G61" t="inlineStr">
        <is>
          <t>Phaseout starts at $100K AGI</t>
        </is>
      </c>
    </row>
    <row r="62">
      <c r="A62" t="inlineStr">
        <is>
          <t>$25K Rental RE Allowance</t>
        </is>
      </c>
      <c r="E62" s="12">
        <f>MAX(0, 25000-MAX(0,(D61-100000)*0.5))</f>
        <v/>
      </c>
      <c r="G62" t="inlineStr">
        <is>
          <t>$25K reduced by 50% of AGI over $100K</t>
        </is>
      </c>
    </row>
    <row r="63">
      <c r="A63" t="inlineStr">
        <is>
          <t>PAL Allowed - Rental RE</t>
        </is>
      </c>
      <c r="F63" s="12">
        <f>IF(B60&lt;0, MAX(B60, -E62), 0)</f>
        <v/>
      </c>
      <c r="G63" t="inlineStr">
        <is>
          <t>Limited by $25K allowance (if loss)</t>
        </is>
      </c>
    </row>
    <row r="64">
      <c r="A64" t="inlineStr">
        <is>
          <t>PAL Allowed - Other Passive</t>
        </is>
      </c>
      <c r="F64">
        <f>IF(C60&lt;0, MAX(C60, 0), 0)</f>
        <v/>
      </c>
      <c r="G64" t="inlineStr">
        <is>
          <t>Offset only against passive income</t>
        </is>
      </c>
    </row>
    <row r="65">
      <c r="A65" t="inlineStr">
        <is>
          <t>Total PAL Allowed</t>
        </is>
      </c>
      <c r="F65" s="12">
        <f>F63+F64</f>
        <v/>
      </c>
    </row>
    <row r="66">
      <c r="A66" t="inlineStr">
        <is>
          <t>Suspended PAL to Next Year - Rental</t>
        </is>
      </c>
      <c r="B66" s="12">
        <f>MIN(0, B60-F63)</f>
        <v/>
      </c>
      <c r="G66" t="inlineStr">
        <is>
          <t>Carryover until disposition or income</t>
        </is>
      </c>
    </row>
    <row r="67">
      <c r="A67" t="inlineStr">
        <is>
          <t>Suspended PAL to Next Year - Other</t>
        </is>
      </c>
      <c r="C67">
        <f>MIN(0, C60-F64)</f>
        <v/>
      </c>
    </row>
    <row r="69">
      <c r="A69" t="inlineStr">
        <is>
          <t>4. LIMITATION RULES REFERENCE</t>
        </is>
      </c>
    </row>
    <row r="71">
      <c r="A71" t="inlineStr">
        <is>
          <t>Capital Loss Limitation</t>
        </is>
      </c>
      <c r="B71" t="inlineStr">
        <is>
          <t>Max $3,000/yr against ordinary income ($1,500 MFS). Excess carries forward indefinitely. Use STCL first, then LTCL.</t>
        </is>
      </c>
    </row>
    <row r="72">
      <c r="A72" t="inlineStr">
        <is>
          <t>NOL (Pre-2018)</t>
        </is>
      </c>
      <c r="B72" t="inlineStr">
        <is>
          <t>100% usable against taxable income. 20-year carryforward limit (from year of loss). Use FIFO.</t>
        </is>
      </c>
    </row>
    <row r="73">
      <c r="A73" t="inlineStr">
        <is>
          <t>NOL (Post-2017)</t>
        </is>
      </c>
      <c r="B73" t="inlineStr">
        <is>
          <t>Limited to 80% of taxable income. Indefinite carryforward. No carryback (except farming).</t>
        </is>
      </c>
    </row>
    <row r="74">
      <c r="A74" t="inlineStr">
        <is>
          <t>Passive Activity Loss</t>
        </is>
      </c>
      <c r="B74" t="inlineStr">
        <is>
          <t>Only offsets passive income. $25K rental RE allowance (phases out $100K-$150K AGI). Fully allowed on disposition.</t>
        </is>
      </c>
    </row>
    <row r="75">
      <c r="A75" t="inlineStr">
        <is>
          <t>At-Risk Rules (§465)</t>
        </is>
      </c>
      <c r="B75" t="inlineStr">
        <is>
          <t>Losses limited to amount at risk. Applies before PAL rules. Track separately by activity.</t>
        </is>
      </c>
    </row>
    <row r="76">
      <c r="A76" t="inlineStr">
        <is>
          <t>Basis Limitation (S-Corp/Pship)</t>
        </is>
      </c>
      <c r="B76" t="inlineStr">
        <is>
          <t>Losses limited to basis in entity. Track stock/debt basis and AAA for S-corps.</t>
        </is>
      </c>
    </row>
    <row r="77">
      <c r="A77" t="inlineStr">
        <is>
          <t>Excess Business Loss</t>
        </is>
      </c>
      <c r="B77" t="inlineStr">
        <is>
          <t>$305,000 single / $610,000 MFJ limit (2025). Excess becomes NOL carryforward.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tabColor rgb="FFC00000"/>
    <outlinePr summaryBelow="1" summaryRight="1"/>
    <pageSetUpPr/>
  </sheetPr>
  <dimension ref="B1:I69"/>
  <sheetViews>
    <sheetView workbookViewId="0">
      <selection activeCell="A1" sqref="A1"/>
    </sheetView>
  </sheetViews>
  <sheetFormatPr baseColWidth="8" defaultRowHeight="14.5"/>
  <sheetData>
    <row r="1" ht="15.5" customHeight="1" s="19">
      <c r="B1" s="30" t="inlineStr">
        <is>
          <t>TAX STRATEGY QUESTIONNAIRE</t>
        </is>
      </c>
      <c r="C1" s="30" t="n"/>
      <c r="D1" s="30" t="n"/>
      <c r="E1" s="30" t="n"/>
      <c r="F1" s="30" t="n"/>
      <c r="G1" s="30" t="n"/>
      <c r="H1" s="30" t="n"/>
      <c r="I1" s="30" t="n"/>
    </row>
    <row r="2">
      <c r="B2" t="inlineStr">
        <is>
          <t>26 questions — Detection column (E) wired to dynamic named ranges (follows Active_Year).</t>
        </is>
      </c>
    </row>
    <row r="3">
      <c r="B3" t="inlineStr">
        <is>
          <t>#</t>
        </is>
      </c>
      <c r="C3" t="inlineStr">
        <is>
          <t>Category</t>
        </is>
      </c>
      <c r="D3" t="inlineStr">
        <is>
          <t>Question</t>
        </is>
      </c>
      <c r="E3" t="inlineStr">
        <is>
          <t>Detection (E)</t>
        </is>
      </c>
      <c r="F3" t="inlineStr">
        <is>
          <t>Flag (F)</t>
        </is>
      </c>
      <c r="G3" t="inlineStr">
        <is>
          <t>Recommendation</t>
        </is>
      </c>
      <c r="H3" t="inlineStr">
        <is>
          <t>Helper H (unused)</t>
        </is>
      </c>
      <c r="I3" t="inlineStr">
        <is>
          <t>Helper I (unused)</t>
        </is>
      </c>
    </row>
    <row r="4">
      <c r="B4" t="n">
        <v>1</v>
      </c>
      <c r="C4" t="inlineStr">
        <is>
          <t>Tax Rate</t>
        </is>
      </c>
      <c r="D4" t="inlineStr">
        <is>
          <t>Marginal tax bracket — at or above 24%?</t>
        </is>
      </c>
      <c r="E4">
        <f t="array" ref="E4">IF(OrdIncome&gt;=191950,"≥32% bracket",IF(OrdIncome&gt;=100525,"24% bracket",IF(OrdIncome&gt;=47150,"22% bracket",IF(OrdIncome&gt;0,"&lt;22% bracket","No income"))))</f>
        <v/>
      </c>
      <c r="F4" t="inlineStr">
        <is>
          <t>OK</t>
        </is>
      </c>
      <c r="G4" t="inlineStr">
        <is>
          <t>Income shifting / deferral; bracket-fill Roth conversions if room.</t>
        </is>
      </c>
    </row>
    <row r="5">
      <c r="B5" t="n">
        <v>2</v>
      </c>
      <c r="C5" t="inlineStr">
        <is>
          <t>Tax Rate</t>
        </is>
      </c>
      <c r="D5" t="inlineStr">
        <is>
          <t>Effective tax rate &gt; 15%?</t>
        </is>
      </c>
      <c r="E5">
        <f t="array" ref="E5">IF(IFERROR(INDIRECT("Y"&amp;Active_Year&amp;"!I130"),0)&gt;0.15,TEXT(INDIRECT("Y"&amp;Active_Year&amp;"!I130"),"0.0%")&amp;" — above 15%",TEXT(IFERROR(INDIRECT("Y"&amp;Active_Year&amp;"!I130"),0),"0.0%")&amp;" effective rate")</f>
        <v/>
      </c>
      <c r="F5" t="inlineStr">
        <is>
          <t>OK</t>
        </is>
      </c>
      <c r="G5" t="inlineStr">
        <is>
          <t>High effective rate = optimization opportunity. Review structural levers.</t>
        </is>
      </c>
    </row>
    <row r="6">
      <c r="B6" t="n">
        <v>3</v>
      </c>
      <c r="C6" t="inlineStr">
        <is>
          <t>QBI</t>
        </is>
      </c>
      <c r="D6" t="inlineStr">
        <is>
          <t>QBI Deduction (§199A) — taken or missed?</t>
        </is>
      </c>
      <c r="E6">
        <f t="array" ref="E6">IF(QBI_Income&gt;0, IF(QBI_Deduction&lt;&gt;0, "QBI Deduction: "&amp;TEXT(QBI_Deduction,"$#,##0"), "⚠️ QBI eligible but $0 deduction"), "No QBI-eligible income")</f>
        <v/>
      </c>
      <c r="F6" t="inlineStr">
        <is>
          <t>—</t>
        </is>
      </c>
      <c r="G6" t="inlineStr">
        <is>
          <t>Verify QBI: SSTB status, W-2 wage / UBIA limits, taxable income phase-in.</t>
        </is>
      </c>
    </row>
    <row r="7">
      <c r="B7" t="n">
        <v>4</v>
      </c>
      <c r="C7" t="inlineStr">
        <is>
          <t>AMT</t>
        </is>
      </c>
      <c r="D7" t="inlineStr">
        <is>
          <t>AMT triggered?</t>
        </is>
      </c>
      <c r="E7">
        <f t="array" ref="E7">IF(AND(AGI&gt;250000,StdItemDed&lt;0),"High income + itemized — AMT risk","Low AMT risk")</f>
        <v/>
      </c>
      <c r="F7" t="inlineStr">
        <is>
          <t>OK</t>
        </is>
      </c>
      <c r="G7" t="inlineStr">
        <is>
          <t>Review ISO exercise, large SALT, private-activity muni interest.</t>
        </is>
      </c>
    </row>
    <row r="8">
      <c r="B8" t="n">
        <v>5</v>
      </c>
      <c r="C8" t="inlineStr">
        <is>
          <t>SE Tax</t>
        </is>
      </c>
      <c r="D8" t="inlineStr">
        <is>
          <t>Self-Employment tax — S-Corp candidate?</t>
        </is>
      </c>
      <c r="E8">
        <f t="array" ref="E8">IF(BI_SE_SUBJECT&gt;0,"SE income: "&amp;TEXT(BI_SE_SUBJECT,"$#,##0")&amp;" — S-Corp candidate?",IF(BI_SE_SUBJECT&lt;0,"SE loss: "&amp;TEXT(BI_SE_SUBJECT,"$#,##0"),"No SE income"))</f>
        <v/>
      </c>
      <c r="F8" t="inlineStr">
        <is>
          <t>OK</t>
        </is>
      </c>
      <c r="G8" t="inlineStr">
        <is>
          <t>Evaluate S-Corp election; reasonable comp vs distribution split.</t>
        </is>
      </c>
    </row>
    <row r="9">
      <c r="B9" t="n">
        <v>6</v>
      </c>
      <c r="C9" t="inlineStr">
        <is>
          <t>Business</t>
        </is>
      </c>
      <c r="D9" t="inlineStr">
        <is>
          <t>How many business entities (Sch C + K-1s)?</t>
        </is>
      </c>
      <c r="E9">
        <f t="array" ref="E9">IF(BI_SE_SUBJECT+BI_ACTIVE_NONSE+BI_PASSIVE&lt;&gt;0, "Business income detected", "No business income")</f>
        <v/>
      </c>
      <c r="F9" t="inlineStr">
        <is>
          <t>Each entity is a planning surface — see year sheet strategies table.</t>
        </is>
      </c>
      <c r="G9" t="inlineStr">
        <is>
          <t>Each entity is a planning surface — see STRATEGY_INPUTS.</t>
        </is>
      </c>
    </row>
    <row r="10">
      <c r="B10" t="n">
        <v>7</v>
      </c>
      <c r="C10" t="inlineStr">
        <is>
          <t>Entity Structure</t>
        </is>
      </c>
      <c r="D10" t="inlineStr">
        <is>
          <t>Any Partnership K-1s eligible for S-Corp election?</t>
        </is>
      </c>
      <c r="E10">
        <f t="array" ref="E10">IF(BI_SE_SUBJECT&gt;0, "SE income: "&amp;TEXT(BI_SE_SUBJECT,"$#,##0")&amp;" — S-Corp candidate", "No SE income")</f>
        <v/>
      </c>
      <c r="F10" t="inlineStr">
        <is>
          <t>—</t>
        </is>
      </c>
      <c r="G10" t="inlineStr">
        <is>
          <t>S-Corp election may save SE tax via wage/distribution split.</t>
        </is>
      </c>
    </row>
    <row r="11">
      <c r="B11" t="n">
        <v>8</v>
      </c>
      <c r="C11" t="inlineStr">
        <is>
          <t>Passive Losses</t>
        </is>
      </c>
      <c r="D11" t="inlineStr">
        <is>
          <t>Suspended passive losses?</t>
        </is>
      </c>
      <c r="E11">
        <f t="array" ref="E11">IF(BI_PASSIVE&lt;0, "Passive loss: "&amp;TEXT(BI_PASSIVE,"$#,##0"), "No passive losses")</f>
        <v/>
      </c>
      <c r="F11" t="inlineStr">
        <is>
          <t>—</t>
        </is>
      </c>
      <c r="G11" t="inlineStr">
        <is>
          <t>Review Form 8582; grouping elections, REPS, disposition timing.</t>
        </is>
      </c>
    </row>
    <row r="12">
      <c r="B12" t="n">
        <v>9</v>
      </c>
      <c r="C12" t="inlineStr">
        <is>
          <t>Real Estate</t>
        </is>
      </c>
      <c r="D12" t="inlineStr">
        <is>
          <t>Rental real estate present?</t>
        </is>
      </c>
      <c r="E12">
        <f t="array" ref="E12">IF(BI_PASSIVE&lt;&gt;0, "Passive activity: "&amp;TEXT(BI_PASSIVE,"$#,##0"), "No passive activity")</f>
        <v/>
      </c>
      <c r="F12" t="inlineStr">
        <is>
          <t>—</t>
        </is>
      </c>
      <c r="G12" t="inlineStr">
        <is>
          <t>Evaluate REPS, short-term rental loophole, cost seg, 1031 timing.</t>
        </is>
      </c>
    </row>
    <row r="13">
      <c r="B13" t="n">
        <v>10</v>
      </c>
      <c r="C13" t="inlineStr">
        <is>
          <t>Cost Seg</t>
        </is>
      </c>
      <c r="D13" t="inlineStr">
        <is>
          <t>Cost segregation opportunity?</t>
        </is>
      </c>
      <c r="E13">
        <f t="array" ref="E13">IF(BI_PASSIVE&lt;&gt;0, "Rental/passive present — evaluate cost seg", "No rental property detected")</f>
        <v/>
      </c>
      <c r="F13" t="inlineStr">
        <is>
          <t>—</t>
        </is>
      </c>
      <c r="G13" t="inlineStr">
        <is>
          <t>Cost seg study on $500K+ basis properties not yet segregated; bonus dep window.</t>
        </is>
      </c>
    </row>
    <row r="14">
      <c r="B14" t="n">
        <v>11</v>
      </c>
      <c r="C14" t="inlineStr">
        <is>
          <t>Dispositions</t>
        </is>
      </c>
      <c r="D14" t="inlineStr">
        <is>
          <t>Property dispositions in current year?</t>
        </is>
      </c>
      <c r="E14" t="inlineStr">
        <is>
          <t>No</t>
        </is>
      </c>
      <c r="F14" t="inlineStr">
        <is>
          <t>OK</t>
        </is>
      </c>
      <c r="G14" t="inlineStr">
        <is>
          <t>1031 exchange? Installment sale? Opp Zone deferral if gain.</t>
        </is>
      </c>
    </row>
    <row r="15">
      <c r="B15" t="n">
        <v>12</v>
      </c>
      <c r="C15" t="inlineStr">
        <is>
          <t>Capital Gains</t>
        </is>
      </c>
      <c r="D15" t="inlineStr">
        <is>
          <t>Positive capital gains?</t>
        </is>
      </c>
      <c r="E15">
        <f t="array" ref="E15">IF(CG_LT+CG_ST&gt;0,"Net gains: "&amp;TEXT(CG_LT+CG_ST,"$#,##0"),IF(CG_LT+CG_ST&lt;0,"Net losses: "&amp;TEXT(CG_LT+CG_ST,"$#,##0"),"No capital activity"))</f>
        <v/>
      </c>
      <c r="F15" t="inlineStr">
        <is>
          <t>OK</t>
        </is>
      </c>
      <c r="G15" t="inlineStr">
        <is>
          <t>Tax loss harvesting; tax-gain harvesting in low-bracket year.</t>
        </is>
      </c>
    </row>
    <row r="16">
      <c r="B16" t="n">
        <v>13</v>
      </c>
      <c r="C16" t="inlineStr">
        <is>
          <t>Charitable</t>
        </is>
      </c>
      <c r="D16" t="inlineStr">
        <is>
          <t>Charitable contributions claimed?</t>
        </is>
      </c>
      <c r="E16">
        <f>IF(SUMIFS(tblMaster_Inputs[Baseline_Amount],tblMaster_Inputs[Year],Active_Year,tblMaster_Inputs[Treatment_Profile],"Itm_Charity")&lt;&gt;0,TEXT(SUMIFS(tblMaster_Inputs[Baseline_Amount],tblMaster_Inputs[Year],Active_Year,tblMaster_Inputs[Treatment_Profile],"Itm_Charity"),"$#,##0")&amp;" charitable","None detected — bunching opportunity?")</f>
        <v/>
      </c>
      <c r="F16" t="inlineStr">
        <is>
          <t>OK</t>
        </is>
      </c>
      <c r="G16" t="inlineStr">
        <is>
          <t>DAF bunching; QCD from IRA at age 70½+; LTCG property donations.</t>
        </is>
      </c>
    </row>
    <row r="17">
      <c r="B17" t="n">
        <v>14</v>
      </c>
      <c r="C17" t="inlineStr">
        <is>
          <t>SALT</t>
        </is>
      </c>
      <c r="D17" t="inlineStr">
        <is>
          <t>SALT cap impact?</t>
        </is>
      </c>
      <c r="E17">
        <f>IF(SUMIFS(tblMaster_Inputs[Baseline_Amount],tblMaster_Inputs[Year],Active_Year,tblMaster_Inputs[Treatment_Profile],"Itm_SALT")&lt;&gt;0,"SALT: "&amp;TEXT(ABS(SUMIFS(tblMaster_Inputs[Baseline_Amount],tblMaster_Inputs[Year],Active_Year,tblMaster_Inputs[Treatment_Profile],"Itm_SALT")),"$#,##0")&amp;" (cap $10K)","No SALT detected")</f>
        <v/>
      </c>
      <c r="F17" t="inlineStr">
        <is>
          <t>N/A</t>
        </is>
      </c>
      <c r="G17" t="inlineStr">
        <is>
          <t>PTET election (state-level workaround) may unlock above-cap SALT.</t>
        </is>
      </c>
    </row>
    <row r="18">
      <c r="B18" t="n">
        <v>15</v>
      </c>
      <c r="C18" t="inlineStr">
        <is>
          <t>Retirement</t>
        </is>
      </c>
      <c r="D18" t="inlineStr">
        <is>
          <t>Retirement contributions made?</t>
        </is>
      </c>
      <c r="E18">
        <f>IF(SUMIFS(tblMaster_Inputs[Baseline_Amount],tblMaster_Inputs[Year],Active_Year,tblMaster_Inputs[Bucket],"Adjustments")&lt;&gt;0,"Adjustments: "&amp;TEXT(SUMIFS(tblMaster_Inputs[Baseline_Amount],tblMaster_Inputs[Year],Active_Year,tblMaster_Inputs[Bucket],"Adjustments"),"$#,##0"),"No retirement/adj detected")</f>
        <v/>
      </c>
      <c r="F18" t="inlineStr">
        <is>
          <t>NO</t>
        </is>
      </c>
      <c r="G18" t="inlineStr">
        <is>
          <t>Max 401(k), SEP-IRA, Solo 401(k), DB plan; mega backdoor Roth.</t>
        </is>
      </c>
    </row>
    <row r="19">
      <c r="B19" t="n">
        <v>16</v>
      </c>
      <c r="C19" t="inlineStr">
        <is>
          <t>HSA</t>
        </is>
      </c>
      <c r="D19" t="inlineStr">
        <is>
          <t>HSA contributions made?</t>
        </is>
      </c>
      <c r="E19" t="inlineStr">
        <is>
          <t>$0 - No HSA visible</t>
        </is>
      </c>
      <c r="F19" t="inlineStr">
        <is>
          <t>NO</t>
        </is>
      </c>
      <c r="G19" t="inlineStr">
        <is>
          <t>Max HSA family contribution ($8,550 in 2025; +$1,000 age 55+).</t>
        </is>
      </c>
    </row>
    <row r="20">
      <c r="B20" t="n">
        <v>17</v>
      </c>
      <c r="C20" t="inlineStr">
        <is>
          <t>Family</t>
        </is>
      </c>
      <c r="D20" t="inlineStr">
        <is>
          <t>Hiring children opportunity?</t>
        </is>
      </c>
      <c r="E20">
        <f>IF(Control_Panel!C19&gt;0,Control_Panel!C19&amp;" dependents — hiring children?","No dependents")</f>
        <v/>
      </c>
      <c r="F20" t="inlineStr">
        <is>
          <t>OK</t>
        </is>
      </c>
      <c r="G20" t="inlineStr">
        <is>
          <t>Strategy #5 LHF — kiddie standard deduction ~$15K/child, no FICA under 18.</t>
        </is>
      </c>
    </row>
    <row r="21">
      <c r="B21" t="n">
        <v>18</v>
      </c>
      <c r="C21" t="inlineStr">
        <is>
          <t>Augusta Rule</t>
        </is>
      </c>
      <c r="D21" t="inlineStr">
        <is>
          <t>Augusta Rule (§280A) opportunity?</t>
        </is>
      </c>
      <c r="E21">
        <f t="array" ref="E21">IF(BI_SE_SUBJECT+BI_ACTIVE_NONSE&gt;0, "Business income present — Augusta eligible", "No business income")</f>
        <v/>
      </c>
      <c r="F21" t="inlineStr">
        <is>
          <t>—</t>
        </is>
      </c>
      <c r="G21" t="inlineStr">
        <is>
          <t>≤14 days home rental to S-Corp at fair market rate; tax-free to homeowner.</t>
        </is>
      </c>
    </row>
    <row r="22">
      <c r="B22" t="n">
        <v>19</v>
      </c>
      <c r="C22" t="inlineStr">
        <is>
          <t>Accountable Plan</t>
        </is>
      </c>
      <c r="D22" t="inlineStr">
        <is>
          <t>Accountable Plan needed?</t>
        </is>
      </c>
      <c r="E22">
        <f t="array" ref="E22">IF(W2_OWNER&gt;0, "S-Corp owner comp: "&amp;TEXT(W2_OWNER,"$#,##0")&amp;" — accountable plan eligible", "No S-Corp owner comp")</f>
        <v/>
      </c>
      <c r="F22" t="inlineStr">
        <is>
          <t>—</t>
        </is>
      </c>
      <c r="G22" t="inlineStr">
        <is>
          <t>Written reimbursement plan must be adopted BEFORE expenses incurred.</t>
        </is>
      </c>
    </row>
    <row r="23">
      <c r="B23" t="n">
        <v>20</v>
      </c>
      <c r="C23" t="inlineStr">
        <is>
          <t>NIIT</t>
        </is>
      </c>
      <c r="D23" t="inlineStr">
        <is>
          <t>NIIT (3.8%) exposure?</t>
        </is>
      </c>
      <c r="E23">
        <f t="array" ref="E23">IF(AND(MAGI&gt;250000,NII&gt;0),"⚠️ NIIT exposure: MAGI "&amp;TEXT(MAGI,"$#,##0")&amp;", NII "&amp;TEXT(NII,"$#,##0"),IF(MAGI&gt;250000,"MAGI above threshold but NII≤0","AGI "&amp;TEXT(AGI,"$#,##0")&amp;" under $250K MFJ"))</f>
        <v/>
      </c>
      <c r="F23" t="inlineStr">
        <is>
          <t>OK</t>
        </is>
      </c>
      <c r="G23" t="inlineStr">
        <is>
          <t>Reclassify passive K-1s as active; muni bonds; defer investment income.</t>
        </is>
      </c>
    </row>
    <row r="24">
      <c r="B24" t="n">
        <v>21</v>
      </c>
      <c r="C24" t="inlineStr">
        <is>
          <t>Withholding</t>
        </is>
      </c>
      <c r="D24" t="inlineStr">
        <is>
          <t>Over-withholding?</t>
        </is>
      </c>
      <c r="E24" t="inlineStr">
        <is>
          <t>OK</t>
        </is>
      </c>
      <c r="F24" t="inlineStr">
        <is>
          <t>OK</t>
        </is>
      </c>
      <c r="G24" t="inlineStr">
        <is>
          <t>Adjust W-4 to reduce over-withholding (interest-free loan to IRS).</t>
        </is>
      </c>
    </row>
    <row r="25">
      <c r="B25" t="n">
        <v>22</v>
      </c>
      <c r="C25" t="inlineStr">
        <is>
          <t>International</t>
        </is>
      </c>
      <c r="D25" t="inlineStr">
        <is>
          <t>Foreign income / FBAR / 8938?</t>
        </is>
      </c>
      <c r="E25" t="inlineStr">
        <is>
          <t>Requires client inquiry — FBAR / Form 8938</t>
        </is>
      </c>
      <c r="F25" t="inlineStr">
        <is>
          <t>UNKNOWN</t>
        </is>
      </c>
      <c r="G25" t="inlineStr">
        <is>
          <t>Ask client about foreign accounts, foreign income, foreign entities.</t>
        </is>
      </c>
    </row>
    <row r="26">
      <c r="B26" t="n">
        <v>23</v>
      </c>
      <c r="C26" t="inlineStr">
        <is>
          <t>Life Changes</t>
        </is>
      </c>
      <c r="D26" t="inlineStr">
        <is>
          <t>Marriage / divorce / new baby / move?</t>
        </is>
      </c>
      <c r="E26" t="inlineStr">
        <is>
          <t>Requires client inquiry — marriage / divorce / birth / move</t>
        </is>
      </c>
      <c r="F26" t="inlineStr">
        <is>
          <t>UNKNOWN</t>
        </is>
      </c>
      <c r="G26" t="inlineStr">
        <is>
          <t>Major life events drive filing status, dependents, and state residency.</t>
        </is>
      </c>
    </row>
    <row r="27">
      <c r="B27" t="n">
        <v>24</v>
      </c>
      <c r="C27" t="inlineStr">
        <is>
          <t>Estate</t>
        </is>
      </c>
      <c r="D27" t="inlineStr">
        <is>
          <t>Estate planning needs?</t>
        </is>
      </c>
      <c r="E27" t="inlineStr">
        <is>
          <t>Requires client inquiry — estate / gifts / trusts</t>
        </is>
      </c>
      <c r="F27" t="inlineStr">
        <is>
          <t>UNKNOWN</t>
        </is>
      </c>
      <c r="G27" t="inlineStr">
        <is>
          <t>$13.99M federal exemption (2025) but state thresholds far lower.</t>
        </is>
      </c>
    </row>
    <row r="28">
      <c r="B28" t="n">
        <v>25</v>
      </c>
      <c r="C28" t="inlineStr">
        <is>
          <t>Credits</t>
        </is>
      </c>
      <c r="D28" t="inlineStr">
        <is>
          <t>Child Tax Credit claimed?</t>
        </is>
      </c>
      <c r="E28">
        <f>IF(Control_Panel!C19&gt;0,Control_Panel!C19&amp;" dependents — verify CTC claimed","No dependents — N/A")</f>
        <v/>
      </c>
      <c r="F28" t="inlineStr">
        <is>
          <t>INFO</t>
        </is>
      </c>
      <c r="G28" t="inlineStr">
        <is>
          <t>$2,000/child (2025); refundable portion via ACTC; phase-out &gt; $400K MFJ.</t>
        </is>
      </c>
    </row>
    <row r="29">
      <c r="B29" t="n">
        <v>26</v>
      </c>
      <c r="C29" t="inlineStr">
        <is>
          <t>Reasonable Comp</t>
        </is>
      </c>
      <c r="D29" t="inlineStr">
        <is>
          <t>Reasonable comp / wages-to-income ratio?</t>
        </is>
      </c>
      <c r="E29">
        <f t="array" ref="E29">IF(W2_OWNER&gt;0, "W-2: "&amp;TEXT(W2_OWNER,"$#,##0")&amp;" vs K-1: "&amp;TEXT(BI_ACTIVE_NONSE,"$#,##0")&amp;" ("&amp;TEXT(IFERROR(W2_OWNER/(W2_OWNER+BI_ACTIVE_NONSE),0),"0%")&amp;")", "No S-Corp owner comp")</f>
        <v/>
      </c>
      <c r="F29" t="inlineStr">
        <is>
          <t>—</t>
        </is>
      </c>
      <c r="G29" t="inlineStr">
        <is>
          <t>If wages &gt; 30%: lower comp + raise distribution. If $0: reasonable comp risk.</t>
        </is>
      </c>
    </row>
    <row r="31">
      <c r="B31" t="inlineStr">
        <is>
          <t>PRIORITY SUMMARY</t>
        </is>
      </c>
    </row>
    <row r="32">
      <c r="B32" t="inlineStr">
        <is>
          <t>Action Items (NO):</t>
        </is>
      </c>
      <c r="C32" t="n">
        <v>2</v>
      </c>
      <c r="D32" t="inlineStr">
        <is>
          <t>Review Items:</t>
        </is>
      </c>
      <c r="E32" t="n">
        <v>0</v>
      </c>
      <c r="F32" t="inlineStr">
        <is>
          <t>OK Items:</t>
        </is>
      </c>
      <c r="G32" t="n">
        <v>11</v>
      </c>
    </row>
    <row r="34">
      <c r="B34" t="inlineStr">
        <is>
          <t>🚨 HIGH PRIORITY (Action Required)</t>
        </is>
      </c>
    </row>
    <row r="35">
      <c r="B35" t="inlineStr">
        <is>
          <t>Q15</t>
        </is>
      </c>
      <c r="C35" t="inlineStr">
        <is>
          <t>Retirement</t>
        </is>
      </c>
      <c r="D35" t="inlineStr">
        <is>
          <t>Retirement contributions made?</t>
        </is>
      </c>
      <c r="E35" t="inlineStr">
        <is>
          <t>$0 - No retirement contributions visible</t>
        </is>
      </c>
      <c r="F35" t="inlineStr">
        <is>
          <t>NO</t>
        </is>
      </c>
      <c r="G35" t="inlineStr">
        <is>
          <t>Max 401(k), SEP-IRA, Solo 401(k), DB plan; mega backdoor Roth.</t>
        </is>
      </c>
    </row>
    <row r="36">
      <c r="B36" t="inlineStr">
        <is>
          <t>Q16</t>
        </is>
      </c>
      <c r="C36" t="inlineStr">
        <is>
          <t>HSA</t>
        </is>
      </c>
      <c r="D36" t="inlineStr">
        <is>
          <t>HSA contributions made?</t>
        </is>
      </c>
      <c r="E36" t="inlineStr">
        <is>
          <t>$0 - No HSA visible</t>
        </is>
      </c>
      <c r="F36" t="inlineStr">
        <is>
          <t>NO</t>
        </is>
      </c>
      <c r="G36" t="inlineStr">
        <is>
          <t>Max HSA family contribution ($8,550 in 2025; +$1,000 age 55+).</t>
        </is>
      </c>
    </row>
    <row r="37">
      <c r="B37" t="inlineStr">
        <is>
          <t>Q25</t>
        </is>
      </c>
      <c r="C37" t="inlineStr">
        <is>
          <t>Credits</t>
        </is>
      </c>
      <c r="D37" t="inlineStr">
        <is>
          <t>Child Tax Credit claimed?</t>
        </is>
      </c>
      <c r="E37" t="inlineStr">
        <is>
          <t>No CTC visible</t>
        </is>
      </c>
      <c r="F37" t="inlineStr">
        <is>
          <t>INFO</t>
        </is>
      </c>
      <c r="G37" t="inlineStr">
        <is>
          <t>$2,000/child (2025); refundable portion via ACTC; phase-out &gt; $400K MFJ.</t>
        </is>
      </c>
    </row>
    <row r="39">
      <c r="B39" t="inlineStr">
        <is>
          <t>⚠️ MEDIUM PRIORITY (Planning Opportunity)</t>
        </is>
      </c>
    </row>
    <row r="40">
      <c r="B40" t="inlineStr">
        <is>
          <t>Q3</t>
        </is>
      </c>
      <c r="C40" t="inlineStr">
        <is>
          <t>QBI</t>
        </is>
      </c>
      <c r="D40" t="inlineStr">
        <is>
          <t>QBI Deduction (§199A) — taken or missed?</t>
        </is>
      </c>
      <c r="E40">
        <f>E6</f>
        <v/>
      </c>
      <c r="F40" t="inlineStr">
        <is>
          <t>—</t>
        </is>
      </c>
      <c r="G40" t="inlineStr">
        <is>
          <t>Verify QBI: SSTB status, W-2 wage / UBIA limits, taxable income phase-in.</t>
        </is>
      </c>
    </row>
    <row r="41">
      <c r="B41" t="inlineStr">
        <is>
          <t>Q6</t>
        </is>
      </c>
      <c r="C41" t="inlineStr">
        <is>
          <t>Business</t>
        </is>
      </c>
      <c r="D41" t="inlineStr">
        <is>
          <t>How many business entities (Sch C + K-1s)?</t>
        </is>
      </c>
      <c r="E41">
        <f>E9</f>
        <v/>
      </c>
      <c r="F41" t="inlineStr">
        <is>
          <t>Each entity is a planning surface — see year sheet strategies table.</t>
        </is>
      </c>
      <c r="G41" t="inlineStr">
        <is>
          <t>Each entity is a planning surface — see STRATEGY_INPUTS.</t>
        </is>
      </c>
    </row>
    <row r="42">
      <c r="B42" t="inlineStr">
        <is>
          <t>Q7</t>
        </is>
      </c>
      <c r="C42" t="inlineStr">
        <is>
          <t>Entity Structure</t>
        </is>
      </c>
      <c r="D42" t="inlineStr">
        <is>
          <t>Any Partnership K-1s eligible for S-Corp election?</t>
        </is>
      </c>
      <c r="E42">
        <f>E10</f>
        <v/>
      </c>
      <c r="F42" t="inlineStr">
        <is>
          <t>—</t>
        </is>
      </c>
      <c r="G42" t="inlineStr">
        <is>
          <t>S-Corp election may save SE tax via wage/distribution split.</t>
        </is>
      </c>
    </row>
    <row r="43">
      <c r="B43" t="inlineStr">
        <is>
          <t>Q9</t>
        </is>
      </c>
      <c r="C43" t="inlineStr">
        <is>
          <t>Real Estate</t>
        </is>
      </c>
      <c r="D43" t="inlineStr">
        <is>
          <t>Rental real estate present?</t>
        </is>
      </c>
      <c r="E43">
        <f>E12</f>
        <v/>
      </c>
      <c r="F43" t="inlineStr">
        <is>
          <t>—</t>
        </is>
      </c>
      <c r="G43" t="inlineStr">
        <is>
          <t>Evaluate REPS, short-term rental loophole, cost seg, 1031 timing.</t>
        </is>
      </c>
    </row>
    <row r="44">
      <c r="B44" t="inlineStr">
        <is>
          <t>Q10</t>
        </is>
      </c>
      <c r="C44" t="inlineStr">
        <is>
          <t>Cost Seg</t>
        </is>
      </c>
      <c r="D44" t="inlineStr">
        <is>
          <t>Cost segregation opportunity?</t>
        </is>
      </c>
      <c r="E44">
        <f>E13</f>
        <v/>
      </c>
      <c r="F44" t="inlineStr">
        <is>
          <t>—</t>
        </is>
      </c>
      <c r="G44" t="inlineStr">
        <is>
          <t>Cost seg study on $500K+ basis properties not yet segregated; bonus dep window.</t>
        </is>
      </c>
    </row>
    <row r="45">
      <c r="B45" t="inlineStr">
        <is>
          <t>Q18</t>
        </is>
      </c>
      <c r="C45" t="inlineStr">
        <is>
          <t>Augusta Rule</t>
        </is>
      </c>
      <c r="D45" t="inlineStr">
        <is>
          <t>Augusta Rule (§280A) opportunity?</t>
        </is>
      </c>
      <c r="E45">
        <f>E21</f>
        <v/>
      </c>
      <c r="F45" t="inlineStr">
        <is>
          <t>—</t>
        </is>
      </c>
      <c r="G45" t="inlineStr">
        <is>
          <t>≤14 days home rental to S-Corp at fair market rate; tax-free to homeowner.</t>
        </is>
      </c>
    </row>
    <row r="46">
      <c r="B46" t="inlineStr">
        <is>
          <t>Q26</t>
        </is>
      </c>
      <c r="C46" t="inlineStr">
        <is>
          <t>Reasonable Comp</t>
        </is>
      </c>
      <c r="D46" t="inlineStr">
        <is>
          <t>Reasonable comp / wages-to-income ratio?</t>
        </is>
      </c>
      <c r="E46">
        <f>E29</f>
        <v/>
      </c>
      <c r="F46" t="inlineStr">
        <is>
          <t>—</t>
        </is>
      </c>
      <c r="G46" t="inlineStr">
        <is>
          <t>If wages &gt; 30%: lower comp + raise distribution. If $0: reasonable comp risk.</t>
        </is>
      </c>
    </row>
    <row r="48">
      <c r="B48" t="inlineStr">
        <is>
          <t>ℹ️ INFO (Requires Client Inquiry)</t>
        </is>
      </c>
    </row>
    <row r="49">
      <c r="B49" t="inlineStr">
        <is>
          <t>Q22</t>
        </is>
      </c>
      <c r="C49" t="inlineStr">
        <is>
          <t>International</t>
        </is>
      </c>
      <c r="D49" t="inlineStr">
        <is>
          <t>Foreign income / FBAR / 8938?</t>
        </is>
      </c>
      <c r="E49" t="inlineStr">
        <is>
          <t>Requires client inquiry — FBAR / Form 8938</t>
        </is>
      </c>
      <c r="F49" t="inlineStr">
        <is>
          <t>UNKNOWN</t>
        </is>
      </c>
      <c r="G49" t="inlineStr">
        <is>
          <t>Ask client about foreign accounts, foreign income, foreign entities.</t>
        </is>
      </c>
    </row>
    <row r="50">
      <c r="B50" t="inlineStr">
        <is>
          <t>Q23</t>
        </is>
      </c>
      <c r="C50" t="inlineStr">
        <is>
          <t>Life Changes</t>
        </is>
      </c>
      <c r="D50" t="inlineStr">
        <is>
          <t>Marriage / divorce / new baby / move?</t>
        </is>
      </c>
      <c r="E50" t="inlineStr">
        <is>
          <t>Requires client inquiry — marriage / divorce / birth / move</t>
        </is>
      </c>
      <c r="F50" t="inlineStr">
        <is>
          <t>UNKNOWN</t>
        </is>
      </c>
      <c r="G50" t="inlineStr">
        <is>
          <t>Major life events drive filing status, dependents, and state residency.</t>
        </is>
      </c>
    </row>
    <row r="51">
      <c r="B51" t="inlineStr">
        <is>
          <t>Q24</t>
        </is>
      </c>
      <c r="C51" t="inlineStr">
        <is>
          <t>Estate</t>
        </is>
      </c>
      <c r="D51" t="inlineStr">
        <is>
          <t>Estate planning needs?</t>
        </is>
      </c>
      <c r="E51" t="inlineStr">
        <is>
          <t>Requires client inquiry — estate / gifts / trusts</t>
        </is>
      </c>
      <c r="F51" t="inlineStr">
        <is>
          <t>UNKNOWN</t>
        </is>
      </c>
      <c r="G51" t="inlineStr">
        <is>
          <t>$13.99M federal exemption (2025) but state thresholds far lower.</t>
        </is>
      </c>
    </row>
    <row r="53">
      <c r="B53" t="inlineStr">
        <is>
          <t>✓ OK (No Issue Detected)</t>
        </is>
      </c>
    </row>
    <row r="54">
      <c r="B54" t="inlineStr">
        <is>
          <t>Q1</t>
        </is>
      </c>
      <c r="C54" t="inlineStr">
        <is>
          <t>Tax Rate</t>
        </is>
      </c>
      <c r="D54" t="inlineStr">
        <is>
          <t>Marginal tax bracket — at or above 24%?</t>
        </is>
      </c>
      <c r="E54">
        <f>E4</f>
        <v/>
      </c>
      <c r="F54" t="inlineStr">
        <is>
          <t>OK</t>
        </is>
      </c>
      <c r="G54" t="inlineStr">
        <is>
          <t>Income shifting / deferral; bracket-fill Roth conversions if room.</t>
        </is>
      </c>
    </row>
    <row r="55">
      <c r="B55" t="inlineStr">
        <is>
          <t>Q2</t>
        </is>
      </c>
      <c r="C55" t="inlineStr">
        <is>
          <t>Tax Rate</t>
        </is>
      </c>
      <c r="D55" t="inlineStr">
        <is>
          <t>Effective tax rate &gt; 15%?</t>
        </is>
      </c>
      <c r="E55">
        <f>E5</f>
        <v/>
      </c>
      <c r="F55" t="inlineStr">
        <is>
          <t>OK</t>
        </is>
      </c>
      <c r="G55" t="inlineStr">
        <is>
          <t>High effective rate = optimization opportunity. Review structural levers.</t>
        </is>
      </c>
    </row>
    <row r="56">
      <c r="B56" t="inlineStr">
        <is>
          <t>Q4</t>
        </is>
      </c>
      <c r="C56" t="inlineStr">
        <is>
          <t>AMT</t>
        </is>
      </c>
      <c r="D56" t="inlineStr">
        <is>
          <t>AMT triggered?</t>
        </is>
      </c>
      <c r="E56">
        <f>E7</f>
        <v/>
      </c>
      <c r="F56" t="inlineStr">
        <is>
          <t>OK</t>
        </is>
      </c>
      <c r="G56" t="inlineStr">
        <is>
          <t>Review ISO exercise, large SALT, private-activity muni interest.</t>
        </is>
      </c>
    </row>
    <row r="57">
      <c r="B57" t="inlineStr">
        <is>
          <t>Q5</t>
        </is>
      </c>
      <c r="C57" t="inlineStr">
        <is>
          <t>SE Tax</t>
        </is>
      </c>
      <c r="D57" t="inlineStr">
        <is>
          <t>Self-Employment tax — S-Corp candidate?</t>
        </is>
      </c>
      <c r="E57">
        <f>E8</f>
        <v/>
      </c>
      <c r="F57" t="inlineStr">
        <is>
          <t>OK</t>
        </is>
      </c>
      <c r="G57" t="inlineStr">
        <is>
          <t>Evaluate S-Corp election; reasonable comp vs distribution split.</t>
        </is>
      </c>
    </row>
    <row r="58">
      <c r="B58" t="inlineStr">
        <is>
          <t>Q8</t>
        </is>
      </c>
      <c r="C58" t="inlineStr">
        <is>
          <t>Passive Losses</t>
        </is>
      </c>
      <c r="D58" t="inlineStr">
        <is>
          <t>Suspended passive losses?</t>
        </is>
      </c>
      <c r="E58">
        <f>E11</f>
        <v/>
      </c>
      <c r="F58" t="inlineStr">
        <is>
          <t>—</t>
        </is>
      </c>
      <c r="G58" t="inlineStr">
        <is>
          <t>Review Form 8582; grouping elections, REPS, disposition timing.</t>
        </is>
      </c>
    </row>
    <row r="59">
      <c r="B59" t="inlineStr">
        <is>
          <t>Q11</t>
        </is>
      </c>
      <c r="C59" t="inlineStr">
        <is>
          <t>Dispositions</t>
        </is>
      </c>
      <c r="D59" t="inlineStr">
        <is>
          <t>Property dispositions in current year?</t>
        </is>
      </c>
      <c r="E59" t="inlineStr">
        <is>
          <t>No</t>
        </is>
      </c>
      <c r="F59" t="inlineStr">
        <is>
          <t>OK</t>
        </is>
      </c>
      <c r="G59" t="inlineStr">
        <is>
          <t>1031 exchange? Installment sale? Opp Zone deferral if gain.</t>
        </is>
      </c>
    </row>
    <row r="60">
      <c r="B60" t="inlineStr">
        <is>
          <t>Q12</t>
        </is>
      </c>
      <c r="C60" t="inlineStr">
        <is>
          <t>Capital Gains</t>
        </is>
      </c>
      <c r="D60" t="inlineStr">
        <is>
          <t>Positive capital gains?</t>
        </is>
      </c>
      <c r="E60">
        <f>E15</f>
        <v/>
      </c>
      <c r="F60" t="inlineStr">
        <is>
          <t>OK</t>
        </is>
      </c>
      <c r="G60" t="inlineStr">
        <is>
          <t>Tax loss harvesting; tax-gain harvesting in low-bracket year.</t>
        </is>
      </c>
    </row>
    <row r="61">
      <c r="B61" t="inlineStr">
        <is>
          <t>Q13</t>
        </is>
      </c>
      <c r="C61" t="inlineStr">
        <is>
          <t>Charitable</t>
        </is>
      </c>
      <c r="D61" t="inlineStr">
        <is>
          <t>Charitable contributions claimed?</t>
        </is>
      </c>
      <c r="E61">
        <f>E16</f>
        <v/>
      </c>
      <c r="F61" t="inlineStr">
        <is>
          <t>OK</t>
        </is>
      </c>
      <c r="G61" t="inlineStr">
        <is>
          <t>DAF bunching; QCD from IRA at age 70½+; LTCG property donations.</t>
        </is>
      </c>
    </row>
    <row r="62">
      <c r="B62" t="inlineStr">
        <is>
          <t>Q14</t>
        </is>
      </c>
      <c r="C62" t="inlineStr">
        <is>
          <t>SALT</t>
        </is>
      </c>
      <c r="D62" t="inlineStr">
        <is>
          <t>SALT cap impact?</t>
        </is>
      </c>
      <c r="E62">
        <f>E17</f>
        <v/>
      </c>
      <c r="F62" t="inlineStr">
        <is>
          <t>N/A</t>
        </is>
      </c>
      <c r="G62" t="inlineStr">
        <is>
          <t>PTET election (state-level workaround) may unlock above-cap SALT.</t>
        </is>
      </c>
    </row>
    <row r="63">
      <c r="B63" t="inlineStr">
        <is>
          <t>Q17</t>
        </is>
      </c>
      <c r="C63" t="inlineStr">
        <is>
          <t>Family</t>
        </is>
      </c>
      <c r="D63" t="inlineStr">
        <is>
          <t>Hiring children opportunity?</t>
        </is>
      </c>
      <c r="E63">
        <f>E20</f>
        <v/>
      </c>
      <c r="F63" t="inlineStr">
        <is>
          <t>OK</t>
        </is>
      </c>
      <c r="G63" t="inlineStr">
        <is>
          <t>Strategy #5 LHF — kiddie standard deduction ~$15K/child, no FICA under 18.</t>
        </is>
      </c>
    </row>
    <row r="64">
      <c r="B64" t="inlineStr">
        <is>
          <t>Q19</t>
        </is>
      </c>
      <c r="C64" t="inlineStr">
        <is>
          <t>Accountable Plan</t>
        </is>
      </c>
      <c r="D64" t="inlineStr">
        <is>
          <t>Accountable Plan needed?</t>
        </is>
      </c>
      <c r="E64">
        <f>E22</f>
        <v/>
      </c>
      <c r="F64" t="inlineStr">
        <is>
          <t>—</t>
        </is>
      </c>
      <c r="G64" t="inlineStr">
        <is>
          <t>Written reimbursement plan must be adopted BEFORE expenses incurred.</t>
        </is>
      </c>
    </row>
    <row r="65">
      <c r="B65" t="inlineStr">
        <is>
          <t>Q20</t>
        </is>
      </c>
      <c r="C65" t="inlineStr">
        <is>
          <t>NIIT</t>
        </is>
      </c>
      <c r="D65" t="inlineStr">
        <is>
          <t>NIIT (3.8%) exposure?</t>
        </is>
      </c>
      <c r="E65">
        <f>E23</f>
        <v/>
      </c>
      <c r="F65" t="inlineStr">
        <is>
          <t>OK</t>
        </is>
      </c>
      <c r="G65" t="inlineStr">
        <is>
          <t>Reclassify passive K-1s as active; muni bonds; defer investment income.</t>
        </is>
      </c>
    </row>
    <row r="66">
      <c r="B66" t="inlineStr">
        <is>
          <t>Q21</t>
        </is>
      </c>
      <c r="C66" t="inlineStr">
        <is>
          <t>Withholding</t>
        </is>
      </c>
      <c r="D66" t="inlineStr">
        <is>
          <t>Over-withholding?</t>
        </is>
      </c>
      <c r="E66" t="inlineStr">
        <is>
          <t>OK</t>
        </is>
      </c>
      <c r="F66" t="inlineStr">
        <is>
          <t>OK</t>
        </is>
      </c>
      <c r="G66" t="inlineStr">
        <is>
          <t>Adjust W-4 to reduce over-withholding (interest-free loan to IRS).</t>
        </is>
      </c>
    </row>
    <row r="69">
      <c r="B69" t="inlineStr">
        <is>
          <t>Source: SKILL_Questionnaire_Logic.md (LET-free for openpyxl/Excel compat)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FFC0000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.5"/>
  <sheetData>
    <row r="1" ht="15.5" customHeight="1" s="19">
      <c r="A1" s="30" t="inlineStr">
        <is>
          <t>FILE CONNECTIONS — Extraction Integration</t>
        </is>
      </c>
      <c r="B1" s="30" t="n"/>
      <c r="C1" s="30" t="n"/>
      <c r="D1" s="30" t="n"/>
      <c r="E1" s="30" t="n"/>
      <c r="F1" s="30" t="n"/>
    </row>
    <row r="2">
      <c r="A2" t="inlineStr">
        <is>
          <t>Maps extraction source files → target sheets in this workbook. Set file paths below, then use import macro to pull data.</t>
        </is>
      </c>
    </row>
    <row r="4">
      <c r="A4" s="17" t="inlineStr">
        <is>
          <t>SECTION 1 — EXTRACTION FILE PATHS</t>
        </is>
      </c>
    </row>
    <row r="5">
      <c r="A5" t="inlineStr">
        <is>
          <t>Slot</t>
        </is>
      </c>
      <c r="B5" t="inlineStr">
        <is>
          <t>Year</t>
        </is>
      </c>
      <c r="C5" t="inlineStr">
        <is>
          <t>File Path (enter here)</t>
        </is>
      </c>
      <c r="D5" t="inlineStr">
        <is>
          <t>Named Range</t>
        </is>
      </c>
      <c r="E5" t="inlineStr">
        <is>
          <t>What It Fills</t>
        </is>
      </c>
    </row>
    <row r="6">
      <c r="A6" t="inlineStr">
        <is>
          <t>Current Year</t>
        </is>
      </c>
      <c r="B6">
        <f>Active_Year</f>
        <v/>
      </c>
      <c r="D6" t="inlineStr">
        <is>
          <t>CurrentYearExtractionPath</t>
        </is>
      </c>
      <c r="E6" t="inlineStr">
        <is>
          <t>Fills Master_Inputs rows for current year + AsFiled</t>
        </is>
      </c>
    </row>
    <row r="7">
      <c r="A7" t="inlineStr">
        <is>
          <t>Prior Year 1</t>
        </is>
      </c>
      <c r="B7">
        <f>Active_Year-1</f>
        <v/>
      </c>
      <c r="D7" t="inlineStr">
        <is>
          <t>PriorYear1ExtractionPath</t>
        </is>
      </c>
      <c r="E7" t="inlineStr">
        <is>
          <t>Fills AsFiled rows for prior year</t>
        </is>
      </c>
    </row>
    <row r="8">
      <c r="A8" t="inlineStr">
        <is>
          <t>Prior Year 2</t>
        </is>
      </c>
      <c r="B8">
        <f>Active_Year-2</f>
        <v/>
      </c>
      <c r="D8" t="inlineStr">
        <is>
          <t>PriorYear2ExtractionPath</t>
        </is>
      </c>
      <c r="E8" t="inlineStr">
        <is>
          <t>Fills AsFiled rows for PY-2</t>
        </is>
      </c>
    </row>
    <row r="11">
      <c r="A11" s="17" t="inlineStr">
        <is>
          <t>SECTION 2 — SHEET MAPPING (Extraction → This Workbook)</t>
        </is>
      </c>
    </row>
    <row r="12">
      <c r="A12" t="inlineStr">
        <is>
          <t>Extraction Sheet</t>
        </is>
      </c>
      <c r="B12" t="inlineStr">
        <is>
          <t>Target Sheet</t>
        </is>
      </c>
      <c r="C12" t="inlineStr">
        <is>
          <t>How It Maps</t>
        </is>
      </c>
      <c r="D12" t="inlineStr">
        <is>
          <t>Notes</t>
        </is>
      </c>
    </row>
    <row r="13">
      <c r="A13" t="inlineStr">
        <is>
          <t>Form_1040_Summary</t>
        </is>
      </c>
      <c r="B13" t="inlineStr">
        <is>
          <t>Master_Inputs + AsFiled</t>
        </is>
      </c>
      <c r="C13" t="inlineStr">
        <is>
          <t>Line items → rows in tblMaster_Inputs (Baseline_Amount) and tblAsFiled (Filed_Amount)</t>
        </is>
      </c>
      <c r="D13" t="inlineStr">
        <is>
          <t>Year column determines which year's data</t>
        </is>
      </c>
    </row>
    <row r="14">
      <c r="A14" t="inlineStr">
        <is>
          <t>Activity_Detail</t>
        </is>
      </c>
      <c r="B14" t="inlineStr">
        <is>
          <t>Master_Inputs</t>
        </is>
      </c>
      <c r="C14" t="inlineStr">
        <is>
          <t>K-1s, Sch C/E/F → individual rows with Treatment_Profile classification</t>
        </is>
      </c>
      <c r="D14" t="inlineStr">
        <is>
          <t>Use Treatment_Profile_Map for classification</t>
        </is>
      </c>
    </row>
    <row r="15">
      <c r="A15" t="inlineStr">
        <is>
          <t>Deductions_and_Adjustments</t>
        </is>
      </c>
      <c r="B15" t="inlineStr">
        <is>
          <t>Master_Inputs</t>
        </is>
      </c>
      <c r="C15" t="inlineStr">
        <is>
          <t>Above-line adjustments and itemized deductions → rows with Bucket=Adjustment/Itemized</t>
        </is>
      </c>
      <c r="D15" t="inlineStr">
        <is>
          <t>Primary_Line = 10 or 12</t>
        </is>
      </c>
    </row>
    <row r="16">
      <c r="A16" t="inlineStr">
        <is>
          <t>PBC_Checklist</t>
        </is>
      </c>
      <c r="B16" t="inlineStr">
        <is>
          <t>AsFiled</t>
        </is>
      </c>
      <c r="C16" t="inlineStr">
        <is>
          <t>Document status tracking → Provenance column in tblAsFiled</t>
        </is>
      </c>
      <c r="D16" t="inlineStr">
        <is>
          <t>Status = Filed Return</t>
        </is>
      </c>
    </row>
    <row r="17">
      <c r="A17" t="inlineStr">
        <is>
          <t>Tax Strategy Questionnaire</t>
        </is>
      </c>
      <c r="B17" t="inlineStr">
        <is>
          <t>Questionnaire</t>
        </is>
      </c>
      <c r="C17" t="inlineStr">
        <is>
          <t>Pre-answered questions → Detection column</t>
        </is>
      </c>
      <c r="D17" t="inlineStr">
        <is>
          <t>Wire to our named ranges</t>
        </is>
      </c>
    </row>
    <row r="19">
      <c r="A19" s="17" t="inlineStr">
        <is>
          <t>SECTION 3 — OUR WORKBOOK ARCHITECTURE</t>
        </is>
      </c>
    </row>
    <row r="20">
      <c r="A20" t="inlineStr">
        <is>
          <t>Sheet</t>
        </is>
      </c>
      <c r="B20" t="inlineStr">
        <is>
          <t>Purpose</t>
        </is>
      </c>
      <c r="C20" t="inlineStr">
        <is>
          <t>Key Table/Range</t>
        </is>
      </c>
    </row>
    <row r="21">
      <c r="A21" t="inlineStr">
        <is>
          <t>Master_Inputs</t>
        </is>
      </c>
      <c r="B21" t="inlineStr">
        <is>
          <t>Central fact table — all income/deduction items</t>
        </is>
      </c>
      <c r="C21" t="inlineStr">
        <is>
          <t>tblMaster_Inputs (A4:S15+)</t>
        </is>
      </c>
    </row>
    <row r="22">
      <c r="A22" t="inlineStr">
        <is>
          <t>AsFiled</t>
        </is>
      </c>
      <c r="B22" t="inlineStr">
        <is>
          <t>Filed return data by year for PY reconciliation</t>
        </is>
      </c>
      <c r="C22" t="inlineStr">
        <is>
          <t>tblAsFiled (B5:O14+)</t>
        </is>
      </c>
    </row>
    <row r="23">
      <c r="A23" t="inlineStr">
        <is>
          <t>Y2023-Y2028</t>
        </is>
      </c>
      <c r="B23" t="inlineStr">
        <is>
          <t>Year sandboxes with strategies + 7-calculator</t>
        </is>
      </c>
      <c r="C23" t="inlineStr">
        <is>
          <t>tblY{YEAR}_Strategies + rollup H5:O18 + calc H65:K132</t>
        </is>
      </c>
    </row>
    <row r="24">
      <c r="A24" t="inlineStr">
        <is>
          <t>Tax_Ref</t>
        </is>
      </c>
      <c r="B24" t="inlineStr">
        <is>
          <t>Rate tables: FIT, LTCG, StdDed, Thresholds</t>
        </is>
      </c>
      <c r="C24" t="inlineStr">
        <is>
          <t>4 tables (B8:G573)</t>
        </is>
      </c>
    </row>
    <row r="25">
      <c r="A25" t="inlineStr">
        <is>
          <t>Treatment_Profile_Map</t>
        </is>
      </c>
      <c r="B25" t="inlineStr">
        <is>
          <t>Profile → SE/NIIT/QBI/Line/Helper mapping</t>
        </is>
      </c>
      <c r="C25" t="inlineStr">
        <is>
          <t>tblTreatmentProfileMap (A4:I38)</t>
        </is>
      </c>
    </row>
    <row r="26">
      <c r="A26" t="inlineStr">
        <is>
          <t>Plan_Settings</t>
        </is>
      </c>
      <c r="B26" t="inlineStr">
        <is>
          <t>Engagement config (year, client, filing status)</t>
        </is>
      </c>
      <c r="C26" t="inlineStr">
        <is>
          <t>Named ranges: Active_Year, Active_Client, Filing_Status</t>
        </is>
      </c>
    </row>
    <row r="27">
      <c r="A27" t="inlineStr">
        <is>
          <t>Pivot_Summary/Medium/Detailed/Helpers</t>
        </is>
      </c>
      <c r="B27" t="inlineStr">
        <is>
          <t>SUMIFS grids feeding named ranges</t>
        </is>
      </c>
      <c r="C27" t="inlineStr">
        <is>
          <t>DO NOT MODIFY</t>
        </is>
      </c>
    </row>
    <row r="28">
      <c r="A28" t="inlineStr">
        <is>
          <t>Visual_Pivot_*</t>
        </is>
      </c>
      <c r="B28" t="inlineStr">
        <is>
          <t>PivotTables feeding Pivot_GPD via GETPIVOTDATA</t>
        </is>
      </c>
      <c r="C28" t="inlineStr">
        <is>
          <t>4 pivot sheets</t>
        </is>
      </c>
    </row>
    <row r="30">
      <c r="A30" s="17" t="inlineStr">
        <is>
          <t>SECTION 4 — IMPORT WORKFLOW</t>
        </is>
      </c>
    </row>
    <row r="31">
      <c r="A31" t="inlineStr">
        <is>
          <t>1. Set extraction file paths in Section 1 above</t>
        </is>
      </c>
    </row>
    <row r="32">
      <c r="A32" t="inlineStr">
        <is>
          <t>2. Run import macro (VBA) or manually paste data</t>
        </is>
      </c>
    </row>
    <row r="33">
      <c r="A33" t="inlineStr">
        <is>
          <t>3. Classify rows using Treatment_Profile_Map</t>
        </is>
      </c>
    </row>
    <row r="34">
      <c r="A34" t="inlineStr">
        <is>
          <t>4. Verify via PY_Recon (baseline vs AsFiled)</t>
        </is>
      </c>
    </row>
    <row r="35">
      <c r="A35" t="inlineStr">
        <is>
          <t>5. Review year sheet calculators for tax impact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FFC00000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4.5"/>
  <sheetData>
    <row r="1" ht="15.5" customHeight="1" s="19">
      <c r="A1" s="30" t="inlineStr">
        <is>
          <t>PROJECTION HISTORY — Track projection accuracy over time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</row>
    <row r="2">
      <c r="A2" t="inlineStr">
        <is>
          <t>Populated by year-end rollover. One row per (Year × Line). Compare against Pivot_Summary and year sheet calculators.</t>
        </is>
      </c>
    </row>
    <row r="4">
      <c r="A4" t="inlineStr">
        <is>
          <t>Year</t>
        </is>
      </c>
      <c r="B4" t="inlineStr">
        <is>
          <t>Line</t>
        </is>
      </c>
      <c r="C4" t="inlineStr">
        <is>
          <t>Description</t>
        </is>
      </c>
      <c r="D4" t="inlineStr">
        <is>
          <t>Projected (when made)</t>
        </is>
      </c>
      <c r="E4" t="inlineStr">
        <is>
          <t>Filed (actual)</t>
        </is>
      </c>
      <c r="F4" t="inlineStr">
        <is>
          <t>Variance $</t>
        </is>
      </c>
      <c r="G4" t="inlineStr">
        <is>
          <t>Variance %</t>
        </is>
      </c>
      <c r="H4" t="inlineStr">
        <is>
          <t>Accuracy Grade</t>
        </is>
      </c>
      <c r="I4" t="inlineStr">
        <is>
          <t>Notes</t>
        </is>
      </c>
    </row>
    <row r="12">
      <c r="A12" t="inlineStr">
        <is>
          <t>HOW TO USE THIS SHEET</t>
        </is>
      </c>
    </row>
    <row r="14">
      <c r="A14" t="inlineStr">
        <is>
          <t>1. The year-end rollover macro (modRollover.ExecuteRollover) automatically appends rows when TaxYear increments.</t>
        </is>
      </c>
    </row>
    <row r="15">
      <c r="A15" t="inlineStr">
        <is>
          <t>2. BEFORE incrementing TaxYear, the macro snapshots the current 'TaxYear+1 PROJECTION' column.</t>
        </is>
      </c>
    </row>
    <row r="16">
      <c r="A16" t="inlineStr">
        <is>
          <t>3. AFTER filing, the actual 'TaxYear Adjusted' values get written into the 'Filed' column.</t>
        </is>
      </c>
    </row>
    <row r="17">
      <c r="A17" t="inlineStr">
        <is>
          <t>4. The 'Variance' and 'Accuracy Grade' columns auto-calculate.</t>
        </is>
      </c>
    </row>
    <row r="18">
      <c r="A18" t="inlineStr">
        <is>
          <t>5. TAX_SUMMARY column 'PY Projected' uses XLOOKUP against this sheet to show prior-year projections.</t>
        </is>
      </c>
    </row>
    <row r="20">
      <c r="A20" t="inlineStr">
        <is>
          <t>ACCURACY GRADES</t>
        </is>
      </c>
    </row>
    <row r="21">
      <c r="A21" t="inlineStr">
        <is>
          <t xml:space="preserve">  A = within 5% of projection</t>
        </is>
      </c>
    </row>
    <row r="22">
      <c r="A22" t="inlineStr">
        <is>
          <t xml:space="preserve">  B = within 10%</t>
        </is>
      </c>
    </row>
    <row r="23">
      <c r="A23" t="inlineStr">
        <is>
          <t xml:space="preserve">  C = within 20%</t>
        </is>
      </c>
    </row>
    <row r="24">
      <c r="A24" t="inlineStr">
        <is>
          <t xml:space="preserve">  D = &gt; 20% variance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tabColor rgb="FFC0000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4.5"/>
  <sheetData>
    <row r="1" ht="15.5" customHeight="1" s="19">
      <c r="A1" s="30" t="inlineStr">
        <is>
          <t>CHANGE LOG</t>
        </is>
      </c>
      <c r="B1" s="30" t="n"/>
      <c r="C1" s="30" t="n"/>
      <c r="D1" s="30" t="n"/>
      <c r="E1" s="30" t="n"/>
      <c r="F1" s="30" t="n"/>
      <c r="G1" s="30" t="n"/>
    </row>
    <row r="2">
      <c r="A2" t="inlineStr">
        <is>
          <t>Track all changes made to inputs for audit trail</t>
        </is>
      </c>
    </row>
    <row r="4">
      <c r="A4" t="inlineStr">
        <is>
          <t>Timestamp</t>
        </is>
      </c>
      <c r="B4" t="inlineStr">
        <is>
          <t>User</t>
        </is>
      </c>
      <c r="C4" t="inlineStr">
        <is>
          <t>Sheet</t>
        </is>
      </c>
      <c r="D4" t="inlineStr">
        <is>
          <t>Cell</t>
        </is>
      </c>
      <c r="E4" t="inlineStr">
        <is>
          <t>Old Value</t>
        </is>
      </c>
      <c r="F4" t="inlineStr">
        <is>
          <t>New Value</t>
        </is>
      </c>
      <c r="G4" t="inlineStr">
        <is>
          <t>Notes</t>
        </is>
      </c>
    </row>
    <row r="5">
      <c r="A5" s="74" t="n"/>
      <c r="F5" s="73" t="n"/>
    </row>
    <row r="6">
      <c r="A6" s="74" t="n"/>
    </row>
    <row r="7">
      <c r="A7" s="74" t="n"/>
    </row>
    <row r="8">
      <c r="A8" s="74" t="n"/>
    </row>
    <row r="9">
      <c r="A9" s="74" t="n"/>
    </row>
    <row r="10">
      <c r="A10" s="74" t="n"/>
      <c r="F10" s="73" t="n"/>
    </row>
    <row r="11">
      <c r="A11" s="74" t="n"/>
    </row>
    <row r="12">
      <c r="A12" s="74" t="n"/>
    </row>
    <row r="13">
      <c r="A13" s="74" t="n"/>
    </row>
    <row r="14">
      <c r="A14" s="74" t="n"/>
    </row>
    <row r="15">
      <c r="A15" s="74" t="n"/>
    </row>
    <row r="16">
      <c r="A16" s="74" t="n"/>
    </row>
    <row r="17">
      <c r="A17" s="74" t="n"/>
    </row>
    <row r="18">
      <c r="A18" s="74" t="n"/>
      <c r="F18" s="12" t="n"/>
    </row>
    <row r="19">
      <c r="A19" s="74" t="n"/>
    </row>
    <row r="22" ht="15.5" customHeight="1" s="19">
      <c r="A22" s="99" t="n"/>
    </row>
    <row r="23">
      <c r="A23" s="71" t="n"/>
      <c r="B23" s="71" t="n"/>
      <c r="C23" s="71" t="n"/>
    </row>
    <row r="24">
      <c r="B24" s="72" t="n"/>
    </row>
    <row r="25">
      <c r="B25" s="72" t="n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FFC00000"/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4.5"/>
  <sheetData>
    <row r="1" ht="18.5" customHeight="1" s="19">
      <c r="A1" s="14" t="inlineStr">
        <is>
          <t>SETUP GUIDE — Master_Pivot_Framework</t>
        </is>
      </c>
      <c r="B1" s="30" t="n"/>
      <c r="C1" s="30" t="n"/>
      <c r="D1" s="30" t="n"/>
      <c r="E1" s="30" t="n"/>
    </row>
    <row r="2">
      <c r="A2" t="inlineStr">
        <is>
          <t>Quick reference for workbook architecture, data entry, and configuration.</t>
        </is>
      </c>
    </row>
    <row r="4">
      <c r="A4" s="17" t="inlineStr">
        <is>
          <t>1. GETTING STARTED</t>
        </is>
      </c>
    </row>
    <row r="5">
      <c r="A5" t="inlineStr">
        <is>
          <t>• Set Plan Year, Client, Filing Status in Plan_Settings (B6, B9, B13)</t>
        </is>
      </c>
    </row>
    <row r="6">
      <c r="A6" t="inlineStr">
        <is>
          <t>• These drive named ranges (Active_Year, Active_Client, Filing_Status) used throughout</t>
        </is>
      </c>
    </row>
    <row r="7">
      <c r="A7" t="inlineStr">
        <is>
          <t>• Strategy elections (S-Corp, SSTB, REPS, etc.) are also on Plan_Settings</t>
        </is>
      </c>
    </row>
    <row r="9">
      <c r="A9" s="17" t="inlineStr">
        <is>
          <t>2. DATA ENTRY</t>
        </is>
      </c>
    </row>
    <row r="10">
      <c r="A10" t="inlineStr">
        <is>
          <t>Master_Inputs (tblMaster_Inputs):</t>
        </is>
      </c>
    </row>
    <row r="11">
      <c r="A11" t="inlineStr">
        <is>
          <t xml:space="preserve">  • Each row = one income/deduction item from source documents</t>
        </is>
      </c>
    </row>
    <row r="12">
      <c r="A12" t="inlineStr">
        <is>
          <t xml:space="preserve">  • Column F: Treatment_Profile (maps to Treatment_Profile_Map for auto-classification)</t>
        </is>
      </c>
    </row>
    <row r="13">
      <c r="A13" t="inlineStr">
        <is>
          <t xml:space="preserve">  • Column K: Baseline_Amount (the dollar amount)</t>
        </is>
      </c>
    </row>
    <row r="14">
      <c r="A14" t="inlineStr">
        <is>
          <t xml:space="preserve">  • Column L-M: Helper_Amount + Helper_Treatment (for carve-outs: QUAL_DIV, TAX_EXEMPT, SEC1250)</t>
        </is>
      </c>
    </row>
    <row r="15">
      <c r="A15" t="inlineStr">
        <is>
          <t xml:space="preserve">  • Column N-P: SE_Subject, NIIT_Class, QBI_Eligible (tax classification)</t>
        </is>
      </c>
    </row>
    <row r="16">
      <c r="A16" t="inlineStr">
        <is>
          <t xml:space="preserve">  • Column Q: Primary_Line (1040 line: 1z, 2b, 3b, 7, 8, 10, 12)</t>
        </is>
      </c>
    </row>
    <row r="17">
      <c r="A17" t="inlineStr">
        <is>
          <t xml:space="preserve">  • See Input_Table_Mods sheet for full column documentation</t>
        </is>
      </c>
    </row>
    <row r="19">
      <c r="A19" t="inlineStr">
        <is>
          <t>AsFiled (tblAsFiled):</t>
        </is>
      </c>
    </row>
    <row r="20">
      <c r="A20" t="inlineStr">
        <is>
          <t xml:space="preserve">  • Filed return data for PY reconciliation</t>
        </is>
      </c>
    </row>
    <row r="21">
      <c r="A21" t="inlineStr">
        <is>
          <t xml:space="preserve">  • One section per year — use Year column filter</t>
        </is>
      </c>
    </row>
    <row r="22">
      <c r="A22" t="inlineStr">
        <is>
          <t xml:space="preserve">  • PY_Recon compares Master_Inputs baseline vs AsFiled via SUMIFS</t>
        </is>
      </c>
    </row>
    <row r="24">
      <c r="A24" s="17" t="inlineStr">
        <is>
          <t>3. YEAR SHEET SANDBOXES (Y2023-Y2028)</t>
        </is>
      </c>
    </row>
    <row r="25">
      <c r="A25" t="inlineStr">
        <is>
          <t xml:space="preserve">  • Each year sheet = independent planning sandbox</t>
        </is>
      </c>
    </row>
    <row r="26">
      <c r="A26" t="inlineStr">
        <is>
          <t xml:space="preserve">  • Strategies table (A5:F): add sandbox what-if strategies</t>
        </is>
      </c>
    </row>
    <row r="27">
      <c r="A27" t="inlineStr">
        <is>
          <t xml:space="preserve">  • Rollup (H5:O18): 1040 line summary with Baseline, PY?, Override, Strategies, Effective</t>
        </is>
      </c>
    </row>
    <row r="28">
      <c r="A28" t="inlineStr">
        <is>
          <t xml:space="preserve">  • Helpers (H22:K33): tax classification breakdowns (W2, SE, passive, etc.)</t>
        </is>
      </c>
    </row>
    <row r="29">
      <c r="A29" t="inlineStr">
        <is>
          <t xml:space="preserve">  • Tax Calc Inputs (H35:K46): derived values for calculator</t>
        </is>
      </c>
    </row>
    <row r="30">
      <c r="A30" t="inlineStr">
        <is>
          <t xml:space="preserve">  • 7-Calculator (H69:K132): SE, Payroll, Ordinary, Cap Gains, NIIT, QBI, Combined</t>
        </is>
      </c>
    </row>
    <row r="31">
      <c r="A31" t="inlineStr">
        <is>
          <t xml:space="preserve">  • Drill Detail (H48:O63): FILTER lookup into Master_Inputs by line</t>
        </is>
      </c>
    </row>
    <row r="33">
      <c r="A33" s="17" t="inlineStr">
        <is>
          <t>4. WORKFLOW: SANDBOX → COMMITTED</t>
        </is>
      </c>
    </row>
    <row r="34">
      <c r="A34" t="inlineStr">
        <is>
          <t xml:space="preserve">  • Year sheet strategies = sandbox (what-if modeling)</t>
        </is>
      </c>
    </row>
    <row r="35">
      <c r="A35" t="inlineStr">
        <is>
          <t xml:space="preserve">  • When decided, promote to Master_Inputs with Activity_Type='Strategy'</t>
        </is>
      </c>
    </row>
    <row r="36">
      <c r="A36" t="inlineStr">
        <is>
          <t xml:space="preserve">  • Master_Inputs strategies become the committed baseline</t>
        </is>
      </c>
    </row>
    <row r="38">
      <c r="A38" s="17" t="inlineStr">
        <is>
          <t>5. COLOR CODING</t>
        </is>
      </c>
    </row>
    <row r="39">
      <c r="A39" t="inlineStr">
        <is>
          <t xml:space="preserve">  • Blue text = input cells (enter data here)</t>
        </is>
      </c>
    </row>
    <row r="40">
      <c r="A40" t="inlineStr">
        <is>
          <t xml:space="preserve">  • Black text = formulas</t>
        </is>
      </c>
    </row>
    <row r="41">
      <c r="A41" t="inlineStr">
        <is>
          <t xml:space="preserve">  • Green text = cross-sheet references</t>
        </is>
      </c>
    </row>
    <row r="42">
      <c r="A42" t="inlineStr">
        <is>
          <t xml:space="preserve">  • Yellow highlight = key output / attention needed</t>
        </is>
      </c>
    </row>
    <row r="43">
      <c r="A43" s="17" t="n"/>
    </row>
    <row r="44">
      <c r="A44" t="inlineStr">
        <is>
          <t>6. TAB COLORS</t>
        </is>
      </c>
    </row>
    <row r="45">
      <c r="A45" t="inlineStr">
        <is>
          <t xml:space="preserve">  • Green tabs = Input/Config sheets</t>
        </is>
      </c>
    </row>
    <row r="46">
      <c r="A46" t="inlineStr">
        <is>
          <t xml:space="preserve">  • Blue tabs = Year sandboxes</t>
        </is>
      </c>
    </row>
    <row r="47">
      <c r="A47" t="inlineStr">
        <is>
          <t xml:space="preserve">  • Gold tabs = Dashboards/Reconciliation</t>
        </is>
      </c>
    </row>
    <row r="48">
      <c r="A48" t="inlineStr">
        <is>
          <t xml:space="preserve">  • Gray tabs = Pivot engine (DO NOT MODIFY)</t>
        </is>
      </c>
    </row>
    <row r="49">
      <c r="A49" t="inlineStr">
        <is>
          <t xml:space="preserve">  • Purple tabs = Visual pivot tables</t>
        </is>
      </c>
    </row>
    <row r="50">
      <c r="A50" s="17" t="inlineStr">
        <is>
          <t xml:space="preserve">  • Red tabs = Reference documentation</t>
        </is>
      </c>
    </row>
    <row r="52">
      <c r="A52" t="inlineStr">
        <is>
          <t>7. KEY NAMED RANGES</t>
        </is>
      </c>
    </row>
    <row r="53">
      <c r="A53" t="inlineStr">
        <is>
          <t xml:space="preserve">  • Active_Year → Plan_Settings!C6</t>
        </is>
      </c>
    </row>
    <row r="54">
      <c r="A54" t="inlineStr">
        <is>
          <t xml:space="preserve">  • Active_Client → Plan_Settings!C9</t>
        </is>
      </c>
    </row>
    <row r="55">
      <c r="A55" t="inlineStr">
        <is>
          <t xml:space="preserve">  • Filing_Status → Plan_Settings!C13</t>
        </is>
      </c>
    </row>
    <row r="56">
      <c r="A56" t="inlineStr">
        <is>
          <t xml:space="preserve">  • TaxableIncome, AGI, OrdIncome, MAGI, NII, etc. → Y2025 (active year sheet)</t>
        </is>
      </c>
    </row>
    <row r="57">
      <c r="A57" t="inlineStr">
        <is>
          <t xml:space="preserve">  • VP_* (13 ranges) → Pivot_GPD active year column</t>
        </is>
      </c>
    </row>
    <row r="60">
      <c r="A60" t="inlineStr">
        <is>
          <t>═══════════════════════════════════════════════════════</t>
        </is>
      </c>
    </row>
    <row r="61" ht="18.5" customHeight="1" s="19">
      <c r="A61" s="14" t="inlineStr">
        <is>
          <t>MASTER_INPUTS COLUMN SCHEMA — tblMaster_Inputs (A4:S)</t>
        </is>
      </c>
    </row>
    <row r="62">
      <c r="A62" t="inlineStr">
        <is>
          <t>Documents the current column structure of our Master_Inputs table.</t>
        </is>
      </c>
    </row>
    <row r="64">
      <c r="A64" t="inlineStr">
        <is>
          <t>Column</t>
        </is>
      </c>
      <c r="B64" t="inlineStr">
        <is>
          <t>Header</t>
        </is>
      </c>
      <c r="C64" t="inlineStr">
        <is>
          <t>Description</t>
        </is>
      </c>
    </row>
    <row r="65">
      <c r="A65" t="inlineStr">
        <is>
          <t>A</t>
        </is>
      </c>
      <c r="B65" t="inlineStr">
        <is>
          <t>InputID</t>
        </is>
      </c>
      <c r="C65" t="inlineStr">
        <is>
          <t>Unique row identifier (e.g., SAM|2025|Wages|01)</t>
        </is>
      </c>
    </row>
    <row r="66">
      <c r="A66" t="inlineStr">
        <is>
          <t>B</t>
        </is>
      </c>
      <c r="B66" t="inlineStr">
        <is>
          <t>Year</t>
        </is>
      </c>
      <c r="C66" t="inlineStr">
        <is>
          <t>Tax year this item belongs to (2023-2028)</t>
        </is>
      </c>
    </row>
    <row r="67">
      <c r="A67" t="inlineStr">
        <is>
          <t>C</t>
        </is>
      </c>
      <c r="B67" t="inlineStr">
        <is>
          <t>ClientID</t>
        </is>
      </c>
      <c r="C67" t="inlineStr">
        <is>
          <t>Client code (e.g., SAMPLE, CEDILLO)</t>
        </is>
      </c>
    </row>
    <row r="68">
      <c r="A68" t="inlineStr">
        <is>
          <t>D</t>
        </is>
      </c>
      <c r="B68" t="inlineStr">
        <is>
          <t>ClientName</t>
        </is>
      </c>
      <c r="C68" t="inlineStr">
        <is>
          <t>Full client name</t>
        </is>
      </c>
    </row>
    <row r="69">
      <c r="A69" t="inlineStr">
        <is>
          <t>E</t>
        </is>
      </c>
      <c r="B69" t="inlineStr">
        <is>
          <t>Bucket</t>
        </is>
      </c>
      <c r="C69" t="inlineStr">
        <is>
          <t>Income category: Wages, Business Income, Investment Income, Capital Gains, Adjustment, Itemized, Credit, Payment</t>
        </is>
      </c>
    </row>
    <row r="70">
      <c r="A70" t="inlineStr">
        <is>
          <t>F</t>
        </is>
      </c>
      <c r="B70" t="inlineStr">
        <is>
          <t>Treatment_Profile</t>
        </is>
      </c>
      <c r="C70" t="inlineStr">
        <is>
          <t>Specific tax treatment (e.g., W2_SCorpOwner, K1_SCorp_Active, LTCG_Stock). Maps to Treatment_Profile_Map.</t>
        </is>
      </c>
    </row>
    <row r="71">
      <c r="A71" t="inlineStr">
        <is>
          <t>G</t>
        </is>
      </c>
      <c r="B71" t="inlineStr">
        <is>
          <t>Source_Document</t>
        </is>
      </c>
      <c r="C71" t="inlineStr">
        <is>
          <t>Document type (W-2, K-1, 1099, etc.)</t>
        </is>
      </c>
    </row>
    <row r="72">
      <c r="A72" t="inlineStr">
        <is>
          <t>H</t>
        </is>
      </c>
      <c r="B72" t="inlineStr">
        <is>
          <t>Activity_Type</t>
        </is>
      </c>
      <c r="C72" t="inlineStr">
        <is>
          <t>Baseline or Strategy</t>
        </is>
      </c>
    </row>
    <row r="73">
      <c r="A73" t="inlineStr">
        <is>
          <t>I</t>
        </is>
      </c>
      <c r="B73" t="inlineStr">
        <is>
          <t>Provenance</t>
        </is>
      </c>
      <c r="C73" t="inlineStr">
        <is>
          <t>Data source (Estimate, Filed Return, QB Export, etc.)</t>
        </is>
      </c>
    </row>
    <row r="74">
      <c r="A74" t="inlineStr">
        <is>
          <t>J</t>
        </is>
      </c>
      <c r="B74" t="inlineStr">
        <is>
          <t>Payor</t>
        </is>
      </c>
      <c r="C74" t="inlineStr">
        <is>
          <t>Entity/payor name</t>
        </is>
      </c>
    </row>
    <row r="75">
      <c r="A75" t="inlineStr">
        <is>
          <t>K</t>
        </is>
      </c>
      <c r="B75" t="inlineStr">
        <is>
          <t>Baseline_Amount</t>
        </is>
      </c>
      <c r="C75" t="inlineStr">
        <is>
          <t>Dollar amount for this item</t>
        </is>
      </c>
    </row>
    <row r="76">
      <c r="A76" t="inlineStr">
        <is>
          <t>L</t>
        </is>
      </c>
      <c r="B76" t="inlineStr">
        <is>
          <t>Helper_Amount</t>
        </is>
      </c>
      <c r="C76" t="inlineStr">
        <is>
          <t>Sub-amount for carve-outs (qualified div portion, tax-exempt portion, etc.)</t>
        </is>
      </c>
    </row>
    <row r="77">
      <c r="A77" t="inlineStr">
        <is>
          <t>M</t>
        </is>
      </c>
      <c r="B77" t="inlineStr">
        <is>
          <t>Helper_Treatment</t>
        </is>
      </c>
      <c r="C77" t="inlineStr">
        <is>
          <t>Carve-out type: QUAL_DIV, TAX_EXEMPT, SEC1250, OWNER_PAY, etc.</t>
        </is>
      </c>
    </row>
    <row r="78">
      <c r="A78" t="inlineStr">
        <is>
          <t>N</t>
        </is>
      </c>
      <c r="B78" t="inlineStr">
        <is>
          <t>SE_Subject</t>
        </is>
      </c>
      <c r="C78" t="inlineStr">
        <is>
          <t>Yes/No — subject to self-employment tax</t>
        </is>
      </c>
    </row>
    <row r="79">
      <c r="A79" t="inlineStr">
        <is>
          <t>O</t>
        </is>
      </c>
      <c r="B79" t="inlineStr">
        <is>
          <t>NIIT_Class</t>
        </is>
      </c>
      <c r="C79" t="inlineStr">
        <is>
          <t>Active/Passive/Portfolio/N/A — for NIIT and PAL classification</t>
        </is>
      </c>
    </row>
    <row r="80">
      <c r="A80" t="inlineStr">
        <is>
          <t>P</t>
        </is>
      </c>
      <c r="B80" t="inlineStr">
        <is>
          <t>QBI_Eligible</t>
        </is>
      </c>
      <c r="C80" t="inlineStr">
        <is>
          <t>Yes/No — eligible for §199A QBI deduction</t>
        </is>
      </c>
    </row>
    <row r="81">
      <c r="A81" t="inlineStr">
        <is>
          <t>Q</t>
        </is>
      </c>
      <c r="B81" t="inlineStr">
        <is>
          <t>Primary_Line</t>
        </is>
      </c>
      <c r="C81" t="inlineStr">
        <is>
          <t>Form 1040 line number (1z, 2b, 3b, 7, 8, 10, 12, etc.)</t>
        </is>
      </c>
    </row>
    <row r="82">
      <c r="A82" t="inlineStr">
        <is>
          <t>R</t>
        </is>
      </c>
      <c r="B82" t="inlineStr">
        <is>
          <t>Consider</t>
        </is>
      </c>
      <c r="C82" t="inlineStr">
        <is>
          <t>Prompt for preparer review</t>
        </is>
      </c>
    </row>
    <row r="83">
      <c r="A83" t="inlineStr">
        <is>
          <t>S</t>
        </is>
      </c>
      <c r="B83" t="inlineStr">
        <is>
          <t>Notes</t>
        </is>
      </c>
      <c r="C83" t="inlineStr">
        <is>
          <t>Free-text notes</t>
        </is>
      </c>
    </row>
    <row r="86">
      <c r="A86" t="inlineStr">
        <is>
          <t>═══════════════════════════════════════════════════════</t>
        </is>
      </c>
    </row>
    <row r="87" ht="18.5" customHeight="1" s="19">
      <c r="A87" s="14" t="inlineStr">
        <is>
          <t>LAMBDA FUNCTION DEFINITIONS — Adapted for Master_Pivot_Framework</t>
        </is>
      </c>
    </row>
    <row r="88">
      <c r="A88" t="inlineStr">
        <is>
          <t>Define in Name Manager (Ctrl+F3 → New). Formulas reference tblBrackets_FIT, tblBrackets_LTCG, tblThresholds on Tax_Ref sheet.</t>
        </is>
      </c>
    </row>
    <row r="90">
      <c r="A90" t="inlineStr">
        <is>
          <t>Name</t>
        </is>
      </c>
      <c r="B90" t="inlineStr">
        <is>
          <t>Description</t>
        </is>
      </c>
      <c r="C90" t="inlineStr">
        <is>
          <t>Parameters</t>
        </is>
      </c>
    </row>
    <row r="91">
      <c r="A91" t="inlineStr">
        <is>
          <t>Calc_OrdinaryTax</t>
        </is>
      </c>
      <c r="B91" t="inlineStr">
        <is>
          <t>Progressive bracket tax on ordinary income (uses tblBrackets_FIT via SUMPRODUCT)</t>
        </is>
      </c>
      <c r="C91" t="inlineStr">
        <is>
          <t>taxable_income, filing_status, tax_year</t>
        </is>
      </c>
    </row>
    <row r="92">
      <c r="B92" t="inlineStr">
        <is>
          <t>Formula: =SUMPRODUCT((tblBrackets_FIT[Year]=tax_year)*(tblBrackets_FIT[FilingStatus]=filing_status)*((taxable_income&gt;tblBrackets_FIT[Upper])*(tblBrackets_FIT[Upper]-tblBrackets_FIT[Lower])+(taxable_income&gt;tblBrackets_FIT[Lower])*(taxable_income&lt;=tblBrackets_FIT[Upper])*(taxable_income-tblBrackets_FIT[Lower]))*tblBrackets_FIT[Rate])</t>
        </is>
      </c>
    </row>
    <row r="93">
      <c r="B93" t="inlineStr">
        <is>
          <t>NOTE: tblBrackets_FIT structured refs fail in cross-sheet SUMPRODUCT. Year sheets use direct cell refs (Tax_Ref!$B$9:$B$176 etc.) instead.</t>
        </is>
      </c>
    </row>
    <row r="95">
      <c r="A95" t="inlineStr">
        <is>
          <t>Calc_CapGainsTax</t>
        </is>
      </c>
      <c r="B95" t="inlineStr">
        <is>
          <t>LTCG/QD tax with stacking on ordinary income (uses tblBrackets_LTCG)</t>
        </is>
      </c>
      <c r="C95" t="inlineStr">
        <is>
          <t>cap_gains, ord_income, filing_status, tax_year</t>
        </is>
      </c>
    </row>
    <row r="96">
      <c r="B96" t="inlineStr">
        <is>
          <t>Stacking method: compute CG-rate tax on (ord+CG), subtract CG-rate tax on (ord). Delta = incremental CG tax.</t>
        </is>
      </c>
    </row>
    <row r="97">
      <c r="B97" t="inlineStr">
        <is>
          <t>Year sheets use direct refs: Tax_Ref!$B$210:$B$281 (Year), $C$ (FS), $D$ (Lower), $E$ (Upper), $F$ (Rate)</t>
        </is>
      </c>
    </row>
    <row r="99">
      <c r="A99" t="inlineStr">
        <is>
          <t>Calc_1250Tax</t>
        </is>
      </c>
      <c r="B99" t="inlineStr">
        <is>
          <t>Sec 1250 unrecaptured gain tax at 25% max rate</t>
        </is>
      </c>
      <c r="C99" t="inlineStr">
        <is>
          <t>sec1250_gain</t>
        </is>
      </c>
    </row>
    <row r="100">
      <c r="B100" t="inlineStr">
        <is>
          <t>Formula: =sec1250_gain * 0.25</t>
        </is>
      </c>
    </row>
    <row r="102">
      <c r="A102" t="inlineStr">
        <is>
          <t>Calc_SE_Tax</t>
        </is>
      </c>
      <c r="B102" t="inlineStr">
        <is>
          <t>Self-employment tax with W-2 wage interaction</t>
        </is>
      </c>
      <c r="C102" t="inlineStr">
        <is>
          <t>se_income, w2_wages, filing_status, tax_year</t>
        </is>
      </c>
    </row>
    <row r="103">
      <c r="B103" t="inlineStr">
        <is>
          <t>Uses tblThresholds for: SS_Wage_Base, SS_Rate_Combined, Medicare_Rate_Combined, Addl_Medicare_Threshold, Addl_Medicare_Rate, SE_Earnings_Factor</t>
        </is>
      </c>
    </row>
    <row r="104">
      <c r="B104" t="inlineStr">
        <is>
          <t>SE Base = se_income × SE_Earnings_Factor. SS portion capped at (SS_Wage_Base - w2_wages). Medicare uncapped.</t>
        </is>
      </c>
    </row>
    <row r="106">
      <c r="A106" t="inlineStr">
        <is>
          <t>Calc_NIIT</t>
        </is>
      </c>
      <c r="B106" t="inlineStr">
        <is>
          <t>Net Investment Income Tax (3.8%)</t>
        </is>
      </c>
      <c r="C106" t="inlineStr">
        <is>
          <t>magi, nii, filing_status, tax_year</t>
        </is>
      </c>
    </row>
    <row r="107">
      <c r="B107" t="inlineStr">
        <is>
          <t>Formula: =MIN(MAX(0,nii), MAX(0,magi-NIIT_Threshold)) × NIIT_Rate</t>
        </is>
      </c>
    </row>
    <row r="108">
      <c r="B108" t="inlineStr">
        <is>
          <t>Uses tblThresholds for NIIT_Threshold ($250K MFJ, $200K Single) and NIIT_Rate (0.038)</t>
        </is>
      </c>
    </row>
    <row r="110">
      <c r="A110" t="inlineStr">
        <is>
          <t>Calc_QBI_Simple</t>
        </is>
      </c>
      <c r="B110" t="inlineStr">
        <is>
          <t>Simplified QBI deduction (20%)</t>
        </is>
      </c>
      <c r="C110" t="inlineStr">
        <is>
          <t>qbi_income, taxable_income, filing_status, tax_year, is_sstb, w2_wages, ubia</t>
        </is>
      </c>
    </row>
    <row r="111">
      <c r="B111" t="inlineStr">
        <is>
          <t>If below QBI_Threshold_Start: MIN(QBI×20%, TI×20%). If above: MIN(QBI×20%, TI×20%, W2/UBIA limit). SSTB above QBI_Threshold_End: $0.</t>
        </is>
      </c>
    </row>
    <row r="112">
      <c r="B112" t="inlineStr">
        <is>
          <t>Uses tblThresholds for QBI_Threshold_Start, QBI_Threshold_End</t>
        </is>
      </c>
    </row>
    <row r="114">
      <c r="A114" t="inlineStr">
        <is>
          <t>HOW TO DEPLOY: Formulas → Name Manager → New → paste formula. Year sheets already compute these inline via SUMPRODUCT + cell math (hybrid approach).</t>
        </is>
      </c>
    </row>
    <row r="117">
      <c r="A117" t="inlineStr">
        <is>
          <t>═══════════════════════════════════════════════════════</t>
        </is>
      </c>
    </row>
    <row r="118" ht="18.5" customHeight="1" s="19">
      <c r="A118" s="69" t="inlineStr">
        <is>
          <t>⚠️ VBA MACRO REFERENCE — FROM V3 PRODUCTION WORKBOOK</t>
        </is>
      </c>
    </row>
    <row r="119">
      <c r="A119" s="64" t="inlineStr">
        <is>
          <t>DISCLAIMER: Column references below (I:AM) match the v3 Master_Inputs schema, NOT our current schema (A:S). Adapt before using.</t>
        </is>
      </c>
    </row>
    <row r="121">
      <c r="A121" t="inlineStr">
        <is>
          <t>Copy this code into VBA Editor (Alt+F11)</t>
        </is>
      </c>
    </row>
    <row r="123">
      <c r="A123" t="inlineStr">
        <is>
          <t>TRACKING COLUMNS (Auto-updated by the Worksheet_Change event):</t>
        </is>
      </c>
    </row>
    <row r="124">
      <c r="A124" t="inlineStr">
        <is>
          <t xml:space="preserve">  Column E: Update_Date - Date/time of last change to that row</t>
        </is>
      </c>
    </row>
    <row r="125">
      <c r="A125" t="inlineStr">
        <is>
          <t xml:space="preserve">  Column F: Updated_By - Username who made the change  </t>
        </is>
      </c>
    </row>
    <row r="126">
      <c r="A126" t="inlineStr">
        <is>
          <t xml:space="preserve">  Column G: Prior_Value - Value before the change was made</t>
        </is>
      </c>
    </row>
    <row r="128">
      <c r="A128" t="inlineStr">
        <is>
          <t>Change_Log sheet columns (auto-populated):</t>
        </is>
      </c>
    </row>
    <row r="129">
      <c r="A129" t="inlineStr">
        <is>
          <t xml:space="preserve">  A: Timestamp  B: User  C: Sheet  D: Cell  E: Old Value  F: New Value  G: Notes</t>
        </is>
      </c>
    </row>
    <row r="132">
      <c r="A132" t="inlineStr">
        <is>
          <t>SECTION 1: ThisWorkbook MODULE</t>
        </is>
      </c>
    </row>
    <row r="134">
      <c r="A134" t="inlineStr">
        <is>
          <t>Right-click "ThisWorkbook" in VBA Project Explorer and View Code.</t>
        </is>
      </c>
    </row>
    <row r="135">
      <c r="A135" t="inlineStr">
        <is>
          <t>Paste this code:</t>
        </is>
      </c>
    </row>
    <row r="137">
      <c r="A137" t="inlineStr">
        <is>
          <t>Private Sub Workbook_Open()</t>
        </is>
      </c>
    </row>
    <row r="138">
      <c r="A138" t="inlineStr">
        <is>
          <t xml:space="preserve">    Dim ws As Worksheet</t>
        </is>
      </c>
    </row>
    <row r="139">
      <c r="A139" t="inlineStr">
        <is>
          <t xml:space="preserve">    On Error Resume Next</t>
        </is>
      </c>
    </row>
    <row r="140">
      <c r="A140" t="inlineStr">
        <is>
          <t xml:space="preserve">    Set ws = ThisWorkbook.Sheets("Field_Mapping")</t>
        </is>
      </c>
    </row>
    <row r="141">
      <c r="A141" t="inlineStr">
        <is>
          <t xml:space="preserve">    If ws Is Nothing Then</t>
        </is>
      </c>
    </row>
    <row r="142">
      <c r="A142" t="inlineStr">
        <is>
          <t xml:space="preserve">        MsgBox "Warning: Field_Mapping sheet not found.", vbExclamation</t>
        </is>
      </c>
    </row>
    <row r="143">
      <c r="A143" t="inlineStr">
        <is>
          <t xml:space="preserve">    End If</t>
        </is>
      </c>
    </row>
    <row r="144">
      <c r="A144" t="inlineStr">
        <is>
          <t xml:space="preserve">    On Error GoTo 0</t>
        </is>
      </c>
    </row>
    <row r="145">
      <c r="A145" t="inlineStr">
        <is>
          <t xml:space="preserve">    Application.Calculation = xlCalculationAutomatic</t>
        </is>
      </c>
    </row>
    <row r="146">
      <c r="A146" t="inlineStr">
        <is>
          <t>End Sub</t>
        </is>
      </c>
    </row>
    <row r="149">
      <c r="A149" t="inlineStr">
        <is>
          <t>SECTION 2: Master_Inputs SHEET MODULE</t>
        </is>
      </c>
    </row>
    <row r="151">
      <c r="A151" t="inlineStr">
        <is>
          <t>Right-click "Master_Inputs" sheet tab and select View Code.</t>
        </is>
      </c>
    </row>
    <row r="152">
      <c r="A152" t="inlineStr">
        <is>
          <t>Paste ALL of this code:</t>
        </is>
      </c>
    </row>
    <row r="154">
      <c r="A154" t="inlineStr">
        <is>
          <t>Option Explicit</t>
        </is>
      </c>
    </row>
    <row r="155">
      <c r="A155" t="inlineStr">
        <is>
          <t>Private mPriorValue As Variant</t>
        </is>
      </c>
    </row>
    <row r="156">
      <c r="A156" t="inlineStr">
        <is>
          <t>Private mPriorCell As String</t>
        </is>
      </c>
    </row>
    <row r="158">
      <c r="A158" t="inlineStr">
        <is>
          <t>Private Sub Worksheet_SelectionChange(ByVal Target As Range)</t>
        </is>
      </c>
    </row>
    <row r="159">
      <c r="A159" t="inlineStr">
        <is>
          <t xml:space="preserve">    ' Capture prior value BEFORE user makes changes</t>
        </is>
      </c>
    </row>
    <row r="160">
      <c r="A160" t="inlineStr">
        <is>
          <t xml:space="preserve">    If Target.Cells.Count = 1 And Target.Row &gt;= 4 Then</t>
        </is>
      </c>
    </row>
    <row r="161">
      <c r="A161" t="inlineStr">
        <is>
          <t xml:space="preserve">        mPriorValue = Target.Value</t>
        </is>
      </c>
    </row>
    <row r="162">
      <c r="A162" t="inlineStr">
        <is>
          <t xml:space="preserve">        mPriorCell = Target.Address</t>
        </is>
      </c>
    </row>
    <row r="163">
      <c r="A163" t="inlineStr">
        <is>
          <t xml:space="preserve">    End If</t>
        </is>
      </c>
    </row>
    <row r="164">
      <c r="A164" t="inlineStr">
        <is>
          <t>    </t>
        </is>
      </c>
    </row>
    <row r="165">
      <c r="A165" t="inlineStr">
        <is>
          <t xml:space="preserve">    ' Show field info in status bar</t>
        </is>
      </c>
    </row>
    <row r="166">
      <c r="A166" t="inlineStr">
        <is>
          <t xml:space="preserve">    Dim inputRange As Range</t>
        </is>
      </c>
    </row>
    <row r="167">
      <c r="A167" t="inlineStr">
        <is>
          <t xml:space="preserve">    Set inputRange = Me.Range("R:AM")</t>
        </is>
      </c>
    </row>
    <row r="168">
      <c r="A168" t="inlineStr">
        <is>
          <t xml:space="preserve">    If Intersect(Target, inputRange) Is Nothing Then</t>
        </is>
      </c>
    </row>
    <row r="169">
      <c r="A169" t="inlineStr">
        <is>
          <t xml:space="preserve">        Application.StatusBar = False</t>
        </is>
      </c>
    </row>
    <row r="170">
      <c r="A170" t="inlineStr">
        <is>
          <t xml:space="preserve">        Exit Sub</t>
        </is>
      </c>
    </row>
    <row r="171">
      <c r="A171" t="inlineStr">
        <is>
          <t xml:space="preserve">    End If</t>
        </is>
      </c>
    </row>
    <row r="172">
      <c r="A172" t="inlineStr">
        <is>
          <t>    </t>
        </is>
      </c>
    </row>
    <row r="173">
      <c r="A173" t="inlineStr">
        <is>
          <t xml:space="preserve">    If Target.Row &lt; 4 Or Target.Cells.Count &gt; 1 Then Exit Sub</t>
        </is>
      </c>
    </row>
    <row r="174">
      <c r="A174" t="inlineStr">
        <is>
          <t>    </t>
        </is>
      </c>
    </row>
    <row r="175">
      <c r="A175" t="inlineStr">
        <is>
          <t xml:space="preserve">    Dim inputType As String, sourceType As String</t>
        </is>
      </c>
    </row>
    <row r="176">
      <c r="A176" t="inlineStr">
        <is>
          <t xml:space="preserve">    inputType = Me.Cells(Target.Row, "I").Value</t>
        </is>
      </c>
    </row>
    <row r="177">
      <c r="A177" t="inlineStr">
        <is>
          <t xml:space="preserve">    sourceType = Me.Cells(Target.Row, "K").Value</t>
        </is>
      </c>
    </row>
    <row r="178">
      <c r="A178" t="inlineStr">
        <is>
          <t>    </t>
        </is>
      </c>
    </row>
    <row r="179">
      <c r="A179" t="inlineStr">
        <is>
          <t xml:space="preserve">    If inputType = "" Then</t>
        </is>
      </c>
    </row>
    <row r="180">
      <c r="A180" t="inlineStr">
        <is>
          <t xml:space="preserve">        Application.StatusBar = "Select Input Type and Source Type first"</t>
        </is>
      </c>
    </row>
    <row r="181">
      <c r="A181" t="inlineStr">
        <is>
          <t xml:space="preserve">    Else</t>
        </is>
      </c>
    </row>
    <row r="182">
      <c r="A182" t="inlineStr">
        <is>
          <t xml:space="preserve">        Application.StatusBar = Me.Cells(3, Target.Column).Value &amp; " | " &amp; inputType &amp; " | " &amp; sourceType</t>
        </is>
      </c>
    </row>
    <row r="183">
      <c r="A183" t="inlineStr">
        <is>
          <t xml:space="preserve">    End If</t>
        </is>
      </c>
    </row>
    <row r="184">
      <c r="A184" t="inlineStr">
        <is>
          <t>End Sub</t>
        </is>
      </c>
    </row>
    <row r="186">
      <c r="A186" t="inlineStr">
        <is>
          <t>Private Sub Worksheet_Change(ByVal Target As Range)</t>
        </is>
      </c>
    </row>
    <row r="187">
      <c r="A187" t="inlineStr">
        <is>
          <t xml:space="preserve">    ' MAIN CHANGE HANDLER - Updates tracking columns and logs changes</t>
        </is>
      </c>
    </row>
    <row r="188">
      <c r="A188" t="inlineStr">
        <is>
          <t xml:space="preserve">    Dim dataRange As Range, cell As Range</t>
        </is>
      </c>
    </row>
    <row r="189">
      <c r="A189" t="inlineStr">
        <is>
          <t xml:space="preserve">    Dim logSheet As Worksheet</t>
        </is>
      </c>
    </row>
    <row r="190">
      <c r="A190" t="inlineStr">
        <is>
          <t xml:space="preserve">    Dim logRow As Long</t>
        </is>
      </c>
    </row>
    <row r="191">
      <c r="A191" t="inlineStr">
        <is>
          <t xml:space="preserve">    Dim oldValue As Variant</t>
        </is>
      </c>
    </row>
    <row r="192">
      <c r="A192" t="inlineStr">
        <is>
          <t>    </t>
        </is>
      </c>
    </row>
    <row r="193">
      <c r="A193" t="inlineStr">
        <is>
          <t xml:space="preserve">    ' Only track changes in data area (columns I onwards, row 4+)</t>
        </is>
      </c>
    </row>
    <row r="194">
      <c r="A194" t="inlineStr">
        <is>
          <t xml:space="preserve">    Set dataRange = Me.Range("I:AM")</t>
        </is>
      </c>
    </row>
    <row r="195">
      <c r="A195" t="inlineStr">
        <is>
          <t xml:space="preserve">    If Intersect(Target, dataRange) Is Nothing Then Exit Sub</t>
        </is>
      </c>
    </row>
    <row r="196">
      <c r="A196" t="inlineStr">
        <is>
          <t xml:space="preserve">    If Target.Row &lt; 4 Then Exit Sub</t>
        </is>
      </c>
    </row>
    <row r="197">
      <c r="A197" t="inlineStr">
        <is>
          <t>    </t>
        </is>
      </c>
    </row>
    <row r="198">
      <c r="A198" t="inlineStr">
        <is>
          <t xml:space="preserve">    Application.EnableEvents = False</t>
        </is>
      </c>
    </row>
    <row r="199">
      <c r="A199" t="inlineStr">
        <is>
          <t xml:space="preserve">    On Error GoTo CleanExit</t>
        </is>
      </c>
    </row>
    <row r="200">
      <c r="A200" t="inlineStr">
        <is>
          <t>    </t>
        </is>
      </c>
    </row>
    <row r="201">
      <c r="A201" t="inlineStr">
        <is>
          <t xml:space="preserve">    ' Get Change_Log sheet</t>
        </is>
      </c>
    </row>
    <row r="202">
      <c r="A202" t="inlineStr">
        <is>
          <t xml:space="preserve">    On Error Resume Next</t>
        </is>
      </c>
    </row>
    <row r="203">
      <c r="A203" t="inlineStr">
        <is>
          <t xml:space="preserve">    Set logSheet = ThisWorkbook.Sheets("Change_Log")</t>
        </is>
      </c>
    </row>
    <row r="204">
      <c r="A204" t="inlineStr">
        <is>
          <t xml:space="preserve">    On Error GoTo 0</t>
        </is>
      </c>
    </row>
    <row r="205">
      <c r="A205" t="inlineStr">
        <is>
          <t>    </t>
        </is>
      </c>
    </row>
    <row r="206">
      <c r="A206" t="inlineStr">
        <is>
          <t xml:space="preserve">    For Each cell In Intersect(Target, dataRange)</t>
        </is>
      </c>
    </row>
    <row r="207">
      <c r="A207" t="inlineStr">
        <is>
          <t xml:space="preserve">        If cell.Row &gt;= 4 Then</t>
        </is>
      </c>
    </row>
    <row r="208">
      <c r="A208" t="inlineStr">
        <is>
          <t xml:space="preserve">            ' Get captured prior value</t>
        </is>
      </c>
    </row>
    <row r="209">
      <c r="A209" t="inlineStr">
        <is>
          <t xml:space="preserve">            If mPriorCell = cell.Address Then</t>
        </is>
      </c>
    </row>
    <row r="210">
      <c r="A210" t="inlineStr">
        <is>
          <t xml:space="preserve">                oldValue = mPriorValue</t>
        </is>
      </c>
    </row>
    <row r="211">
      <c r="A211" t="inlineStr">
        <is>
          <t xml:space="preserve">            Else</t>
        </is>
      </c>
    </row>
    <row r="212">
      <c r="A212" t="inlineStr">
        <is>
          <t xml:space="preserve">                oldValue = ""</t>
        </is>
      </c>
    </row>
    <row r="213">
      <c r="A213" t="inlineStr">
        <is>
          <t xml:space="preserve">            End If</t>
        </is>
      </c>
    </row>
    <row r="214">
      <c r="A214" t="inlineStr">
        <is>
          <t>            </t>
        </is>
      </c>
    </row>
    <row r="215">
      <c r="A215" t="inlineStr">
        <is>
          <t xml:space="preserve">            ' UPDATE TRACKING COLUMNS</t>
        </is>
      </c>
    </row>
    <row r="216">
      <c r="A216" t="inlineStr">
        <is>
          <t xml:space="preserve">            ' Column E: Update_Date</t>
        </is>
      </c>
    </row>
    <row r="217">
      <c r="A217" t="inlineStr">
        <is>
          <t xml:space="preserve">            Me.Cells(cell.Row, "E").Value = Now()</t>
        </is>
      </c>
    </row>
    <row r="220">
      <c r="A220" t="inlineStr">
        <is>
          <t>═══════════════════════════════════════════════════════</t>
        </is>
      </c>
    </row>
    <row r="221" ht="18.5" customHeight="1" s="19">
      <c r="A221" s="15" t="inlineStr">
        <is>
          <t>STRATEGY ARCHITECTURE</t>
        </is>
      </c>
    </row>
    <row r="223">
      <c r="A223" t="inlineStr">
        <is>
          <t>SINGLE SOURCE OF TRUTH: tblMaster_Inputs (Master_Inputs sheet)</t>
        </is>
      </c>
    </row>
    <row r="224">
      <c r="A224" t="inlineStr">
        <is>
          <t>Activity_Type column distinguishes Baseline from Strategy rows.</t>
        </is>
      </c>
    </row>
    <row r="226">
      <c r="A226" t="inlineStr">
        <is>
          <t>DATA FLOW:</t>
        </is>
      </c>
    </row>
    <row r="227">
      <c r="A227" t="inlineStr">
        <is>
          <t xml:space="preserve">  Master_Inputs (Activity_Type=Baseline) → Year sheet J column (Baseline amounts)</t>
        </is>
      </c>
    </row>
    <row r="228">
      <c r="A228" t="inlineStr">
        <is>
          <t xml:space="preserve">  Master_Inputs (Activity_Type=Strategy) → Year sheet M column (Strategy impacts)</t>
        </is>
      </c>
    </row>
    <row r="229">
      <c r="A229" t="inlineStr">
        <is>
          <t xml:space="preserve">  J + M → Year sheet N column (Effective = Baseline + Strategies)</t>
        </is>
      </c>
    </row>
    <row r="230">
      <c r="A230" t="inlineStr">
        <is>
          <t xml:space="preserve">  N column → 7-Calculator, Helpers, Tax Calc Inputs</t>
        </is>
      </c>
    </row>
    <row r="231">
      <c r="A231" t="inlineStr">
        <is>
          <t xml:space="preserve">  tblMaster_Inputs → Pivots, Dashboards (sees both Baseline and Strategy)</t>
        </is>
      </c>
    </row>
    <row r="233">
      <c r="A233" t="inlineStr">
        <is>
          <t>MULTI-LINE STRATEGIES:</t>
        </is>
      </c>
    </row>
    <row r="234">
      <c r="A234" t="inlineStr">
        <is>
          <t xml:space="preserve">  Strategies that affect multiple 1040 lines get multiple rows in Master_Inputs.</t>
        </is>
      </c>
    </row>
    <row r="235">
      <c r="A235" t="inlineStr">
        <is>
          <t xml:space="preserve">  Example: S-Corp Wage Optimization</t>
        </is>
      </c>
    </row>
    <row r="236">
      <c r="A236" t="inlineStr">
        <is>
          <t xml:space="preserve">    Row 1: Activity_Type=Strategy, Primary_Line=1z, Amount=-25000 (reduce W-2)</t>
        </is>
      </c>
    </row>
    <row r="237">
      <c r="A237" t="inlineStr">
        <is>
          <t xml:space="preserve">    Row 2: Activity_Type=Strategy, Primary_Line=8, Amount=+25000 (increase K-1)</t>
        </is>
      </c>
    </row>
    <row r="238">
      <c r="A238" t="inlineStr">
        <is>
          <t xml:space="preserve">  The net tax impact is calculated by the year sheet 7-calculator.</t>
        </is>
      </c>
    </row>
    <row r="240">
      <c r="A240" t="inlineStr">
        <is>
          <t>YEAR SHEET STRATEGY VIEW (A5:D10):</t>
        </is>
      </c>
    </row>
    <row r="241">
      <c r="A241" t="inlineStr">
        <is>
          <t xml:space="preserve">  Read-only summary pulled from Master_Inputs via INDEX formulas.</t>
        </is>
      </c>
    </row>
    <row r="242">
      <c r="A242" t="inlineStr">
        <is>
          <t xml:space="preserve">  Shows count, net impact, and first 4 strategy line items for that year.</t>
        </is>
      </c>
    </row>
    <row r="243">
      <c r="A243" t="inlineStr">
        <is>
          <t xml:space="preserve">  To add/edit strategies, go to Master_Inputs.</t>
        </is>
      </c>
    </row>
    <row r="245">
      <c r="A245" t="inlineStr">
        <is>
          <t>PROPERTY/ENTITY TRACKING:</t>
        </is>
      </c>
    </row>
    <row r="246">
      <c r="A246" t="inlineStr">
        <is>
          <t xml:space="preserve">  Use the Payor column for property addresses (cost seg, rental) or entity names.</t>
        </is>
      </c>
    </row>
    <row r="247">
      <c r="A247" t="inlineStr">
        <is>
          <t xml:space="preserve">  This feeds Visual_Pivot_ByPayor for per-property analysis.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2026-05-18T23:48:06Z</dcterms:created>
  <dcterms:modified xsi:type="dcterms:W3CDTF">2026-05-19T06:00:45Z</dcterms:modified>
  <cp:lastModifiedBy>Seth Johnson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hortcut_file_id" fmtid="{D5CDD505-2E9C-101B-9397-08002B2CF9AE}" pid="2">
    <vt:lpwstr>156bfd61-5fca-4d93-adea-b344b9a60064</vt:lpwstr>
  </property>
</Properties>
</file>
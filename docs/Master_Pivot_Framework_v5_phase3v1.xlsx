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Shared drives\_SMJ\___Product Development\1040 - Template Review\Pivot Strategy\ClaudeReset_5.19\"/>
    </mc:Choice>
  </mc:AlternateContent>
  <xr:revisionPtr revIDLastSave="0" documentId="8_{03450953-8B86-46F4-AF2C-75052B674DA3}" xr6:coauthVersionLast="47" xr6:coauthVersionMax="47" xr10:uidLastSave="{00000000-0000-0000-0000-000000000000}"/>
  <bookViews>
    <workbookView xWindow="-28845" yWindow="-16320" windowWidth="29040" windowHeight="15720" tabRatio="681" firstSheet="8" activeTab="8" xr2:uid="{00000000-000D-0000-FFFF-FFFF00000000}"/>
  </bookViews>
  <sheets>
    <sheet name="Control_Panel" sheetId="1" r:id="rId1"/>
    <sheet name="Master_Inputs" sheetId="2" r:id="rId2"/>
    <sheet name="AsFiled" sheetId="3" r:id="rId3"/>
    <sheet name="Tax_Plan_Dashboard" sheetId="4" r:id="rId4"/>
    <sheet name="PY_Recon" sheetId="5" r:id="rId5"/>
    <sheet name="Pivot_GPD" sheetId="6" r:id="rId6"/>
    <sheet name="Y2023" sheetId="7" r:id="rId7"/>
    <sheet name="Y2024" sheetId="8" r:id="rId8"/>
    <sheet name="Y2025" sheetId="9" r:id="rId9"/>
    <sheet name="Y2026" sheetId="10" r:id="rId10"/>
    <sheet name="Y2027" sheetId="11" r:id="rId11"/>
    <sheet name="Y2028" sheetId="12" r:id="rId12"/>
    <sheet name="Pivot_Summary" sheetId="13" r:id="rId13"/>
    <sheet name="Pivot_Medium" sheetId="14" r:id="rId14"/>
    <sheet name="Pivot_Detailed" sheetId="15" r:id="rId15"/>
    <sheet name="Pivot_Helpers" sheetId="16" r:id="rId16"/>
    <sheet name="Visual_Pivot_Income" sheetId="17" r:id="rId17"/>
    <sheet name="Visual_Pivot_BusinessIncome" sheetId="18" r:id="rId18"/>
    <sheet name="Visual_Pivot_ByPayor" sheetId="19" r:id="rId19"/>
    <sheet name="Visual_Pivot_HelperCarveOuts" sheetId="20" r:id="rId20"/>
    <sheet name="Tax_Ref" sheetId="21" r:id="rId21"/>
    <sheet name="Dropdown_Lists" sheetId="22" r:id="rId22"/>
    <sheet name="Framework_Ref" sheetId="23" r:id="rId23"/>
    <sheet name="Glossary" sheetId="24" r:id="rId24"/>
    <sheet name="Carryovers" sheetId="25" r:id="rId25"/>
    <sheet name="Questionnaire" sheetId="26" r:id="rId26"/>
    <sheet name="Connections" sheetId="27" r:id="rId27"/>
    <sheet name="Projection_History" sheetId="28" r:id="rId28"/>
    <sheet name="Change_Log" sheetId="29" r:id="rId29"/>
    <sheet name="Setup_Guide" sheetId="30" r:id="rId30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</definedNames>
  <calcPr calcId="191029" iterate="1"/>
  <pivotCaches>
    <pivotCache cacheId="10" r:id="rId3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9" l="1"/>
  <c r="J11" i="19"/>
  <c r="K10" i="19"/>
  <c r="J10" i="19"/>
  <c r="K9" i="19"/>
  <c r="J9" i="19"/>
  <c r="K8" i="19"/>
  <c r="J8" i="19"/>
  <c r="K7" i="19"/>
  <c r="J7" i="19"/>
  <c r="K6" i="19"/>
  <c r="J6" i="19"/>
  <c r="K19" i="4"/>
  <c r="K18" i="4"/>
  <c r="K17" i="4"/>
  <c r="K12" i="4"/>
  <c r="K11" i="4"/>
  <c r="K10" i="4"/>
  <c r="K9" i="4"/>
  <c r="K8" i="4"/>
  <c r="I19" i="4"/>
  <c r="I18" i="4"/>
  <c r="I17" i="4"/>
  <c r="I12" i="4"/>
  <c r="I11" i="4"/>
  <c r="I10" i="4"/>
  <c r="I9" i="4"/>
  <c r="I8" i="4"/>
  <c r="J19" i="4"/>
  <c r="J18" i="4"/>
  <c r="J17" i="4"/>
  <c r="J12" i="4"/>
  <c r="J11" i="4"/>
  <c r="J10" i="4"/>
  <c r="J9" i="4"/>
  <c r="J8" i="4"/>
  <c r="D19" i="4"/>
  <c r="D18" i="4"/>
  <c r="D17" i="4"/>
  <c r="D16" i="4"/>
  <c r="O8" i="16"/>
  <c r="P8" i="16"/>
  <c r="S10" i="16"/>
  <c r="T10" i="16"/>
  <c r="O11" i="16"/>
  <c r="P11" i="16"/>
  <c r="Q11" i="16"/>
  <c r="R11" i="16"/>
  <c r="O14" i="16"/>
  <c r="P14" i="16"/>
  <c r="Q14" i="16"/>
  <c r="R14" i="16"/>
  <c r="S14" i="16"/>
  <c r="T14" i="16"/>
  <c r="I5" i="16"/>
  <c r="O5" i="16" s="1"/>
  <c r="J5" i="16"/>
  <c r="P5" i="16" s="1"/>
  <c r="K5" i="16"/>
  <c r="K7" i="16" s="1"/>
  <c r="Q7" i="16" s="1"/>
  <c r="L5" i="16"/>
  <c r="L7" i="16" s="1"/>
  <c r="R7" i="16" s="1"/>
  <c r="M5" i="16"/>
  <c r="M7" i="16" s="1"/>
  <c r="S7" i="16" s="1"/>
  <c r="N5" i="16"/>
  <c r="N7" i="16" s="1"/>
  <c r="T7" i="16" s="1"/>
  <c r="I6" i="16"/>
  <c r="O6" i="16" s="1"/>
  <c r="J6" i="16"/>
  <c r="P6" i="16" s="1"/>
  <c r="K6" i="16"/>
  <c r="Q6" i="16" s="1"/>
  <c r="L6" i="16"/>
  <c r="R6" i="16" s="1"/>
  <c r="M6" i="16"/>
  <c r="S6" i="16" s="1"/>
  <c r="N6" i="16"/>
  <c r="T6" i="16" s="1"/>
  <c r="I7" i="16"/>
  <c r="O7" i="16" s="1"/>
  <c r="J7" i="16"/>
  <c r="P7" i="16" s="1"/>
  <c r="I8" i="16"/>
  <c r="J8" i="16"/>
  <c r="K8" i="16"/>
  <c r="Q8" i="16" s="1"/>
  <c r="L8" i="16"/>
  <c r="R8" i="16" s="1"/>
  <c r="M8" i="16"/>
  <c r="S8" i="16" s="1"/>
  <c r="N8" i="16"/>
  <c r="T8" i="16" s="1"/>
  <c r="I9" i="16"/>
  <c r="O9" i="16" s="1"/>
  <c r="J9" i="16"/>
  <c r="P9" i="16" s="1"/>
  <c r="K9" i="16"/>
  <c r="Q9" i="16" s="1"/>
  <c r="L9" i="16"/>
  <c r="R9" i="16" s="1"/>
  <c r="M9" i="16"/>
  <c r="S9" i="16" s="1"/>
  <c r="N9" i="16"/>
  <c r="T9" i="16" s="1"/>
  <c r="I10" i="16"/>
  <c r="O10" i="16" s="1"/>
  <c r="J10" i="16"/>
  <c r="P10" i="16" s="1"/>
  <c r="K10" i="16"/>
  <c r="Q10" i="16" s="1"/>
  <c r="L10" i="16"/>
  <c r="R10" i="16" s="1"/>
  <c r="M10" i="16"/>
  <c r="N10" i="16"/>
  <c r="I11" i="16"/>
  <c r="J11" i="16"/>
  <c r="K11" i="16"/>
  <c r="L11" i="16"/>
  <c r="M11" i="16"/>
  <c r="S11" i="16" s="1"/>
  <c r="N11" i="16"/>
  <c r="T11" i="16" s="1"/>
  <c r="I12" i="16"/>
  <c r="O12" i="16" s="1"/>
  <c r="J12" i="16"/>
  <c r="P12" i="16" s="1"/>
  <c r="K12" i="16"/>
  <c r="Q12" i="16" s="1"/>
  <c r="L12" i="16"/>
  <c r="R12" i="16" s="1"/>
  <c r="M12" i="16"/>
  <c r="S12" i="16" s="1"/>
  <c r="N12" i="16"/>
  <c r="T12" i="16" s="1"/>
  <c r="I13" i="16"/>
  <c r="O13" i="16" s="1"/>
  <c r="J13" i="16"/>
  <c r="P13" i="16" s="1"/>
  <c r="K13" i="16"/>
  <c r="Q13" i="16" s="1"/>
  <c r="L13" i="16"/>
  <c r="R13" i="16" s="1"/>
  <c r="M13" i="16"/>
  <c r="S13" i="16" s="1"/>
  <c r="N13" i="16"/>
  <c r="T13" i="16" s="1"/>
  <c r="I14" i="16"/>
  <c r="J14" i="16"/>
  <c r="K14" i="16"/>
  <c r="L14" i="16"/>
  <c r="M14" i="16"/>
  <c r="N14" i="16"/>
  <c r="I15" i="16"/>
  <c r="O15" i="16" s="1"/>
  <c r="J15" i="16"/>
  <c r="P15" i="16" s="1"/>
  <c r="K15" i="16"/>
  <c r="Q15" i="16" s="1"/>
  <c r="L15" i="16"/>
  <c r="R15" i="16" s="1"/>
  <c r="M15" i="16"/>
  <c r="S15" i="16" s="1"/>
  <c r="N15" i="16"/>
  <c r="T15" i="16" s="1"/>
  <c r="O5" i="15"/>
  <c r="R5" i="15"/>
  <c r="S5" i="15"/>
  <c r="T5" i="15"/>
  <c r="O6" i="15"/>
  <c r="P6" i="15"/>
  <c r="Q7" i="15"/>
  <c r="R7" i="15"/>
  <c r="S7" i="15"/>
  <c r="T7" i="15"/>
  <c r="O8" i="15"/>
  <c r="P8" i="15"/>
  <c r="Q8" i="15"/>
  <c r="T8" i="15"/>
  <c r="O9" i="15"/>
  <c r="P9" i="15"/>
  <c r="Q9" i="15"/>
  <c r="R9" i="15"/>
  <c r="S10" i="15"/>
  <c r="T10" i="15"/>
  <c r="O11" i="15"/>
  <c r="P11" i="15"/>
  <c r="Q11" i="15"/>
  <c r="R11" i="15"/>
  <c r="S11" i="15"/>
  <c r="O15" i="15"/>
  <c r="R15" i="15"/>
  <c r="S15" i="15"/>
  <c r="T15" i="15"/>
  <c r="O16" i="15"/>
  <c r="P16" i="15"/>
  <c r="I5" i="15"/>
  <c r="J5" i="15"/>
  <c r="P5" i="15" s="1"/>
  <c r="K5" i="15"/>
  <c r="Q5" i="15" s="1"/>
  <c r="L5" i="15"/>
  <c r="M5" i="15"/>
  <c r="N5" i="15"/>
  <c r="I6" i="15"/>
  <c r="J6" i="15"/>
  <c r="K6" i="15"/>
  <c r="Q6" i="15" s="1"/>
  <c r="L6" i="15"/>
  <c r="R6" i="15" s="1"/>
  <c r="M6" i="15"/>
  <c r="S6" i="15" s="1"/>
  <c r="N6" i="15"/>
  <c r="T6" i="15" s="1"/>
  <c r="I7" i="15"/>
  <c r="O7" i="15" s="1"/>
  <c r="J7" i="15"/>
  <c r="P7" i="15" s="1"/>
  <c r="K7" i="15"/>
  <c r="L7" i="15"/>
  <c r="M7" i="15"/>
  <c r="N7" i="15"/>
  <c r="I8" i="15"/>
  <c r="J8" i="15"/>
  <c r="K8" i="15"/>
  <c r="L8" i="15"/>
  <c r="R8" i="15" s="1"/>
  <c r="M8" i="15"/>
  <c r="S8" i="15" s="1"/>
  <c r="N8" i="15"/>
  <c r="I9" i="15"/>
  <c r="J9" i="15"/>
  <c r="K9" i="15"/>
  <c r="L9" i="15"/>
  <c r="L12" i="15" s="1"/>
  <c r="M9" i="15"/>
  <c r="S9" i="15" s="1"/>
  <c r="N9" i="15"/>
  <c r="T9" i="15" s="1"/>
  <c r="I10" i="15"/>
  <c r="O10" i="15" s="1"/>
  <c r="J10" i="15"/>
  <c r="P10" i="15" s="1"/>
  <c r="K10" i="15"/>
  <c r="Q10" i="15" s="1"/>
  <c r="L10" i="15"/>
  <c r="R10" i="15" s="1"/>
  <c r="M10" i="15"/>
  <c r="N10" i="15"/>
  <c r="I11" i="15"/>
  <c r="J11" i="15"/>
  <c r="K11" i="15"/>
  <c r="L11" i="15"/>
  <c r="M11" i="15"/>
  <c r="N11" i="15"/>
  <c r="T11" i="15" s="1"/>
  <c r="I12" i="15"/>
  <c r="I14" i="15" s="1"/>
  <c r="I13" i="15"/>
  <c r="O13" i="15" s="1"/>
  <c r="J13" i="15"/>
  <c r="P13" i="15" s="1"/>
  <c r="K13" i="15"/>
  <c r="Q13" i="15" s="1"/>
  <c r="L13" i="15"/>
  <c r="R13" i="15" s="1"/>
  <c r="M13" i="15"/>
  <c r="S13" i="15" s="1"/>
  <c r="N13" i="15"/>
  <c r="T13" i="15" s="1"/>
  <c r="I15" i="15"/>
  <c r="J15" i="15"/>
  <c r="P15" i="15" s="1"/>
  <c r="K15" i="15"/>
  <c r="Q15" i="15" s="1"/>
  <c r="L15" i="15"/>
  <c r="M15" i="15"/>
  <c r="N15" i="15"/>
  <c r="I16" i="15"/>
  <c r="J16" i="15"/>
  <c r="K16" i="15"/>
  <c r="Q16" i="15" s="1"/>
  <c r="L16" i="15"/>
  <c r="R16" i="15" s="1"/>
  <c r="M16" i="15"/>
  <c r="S16" i="15" s="1"/>
  <c r="N16" i="15"/>
  <c r="T16" i="15" s="1"/>
  <c r="R5" i="14"/>
  <c r="S6" i="14"/>
  <c r="T6" i="14"/>
  <c r="T8" i="14"/>
  <c r="O10" i="14"/>
  <c r="P10" i="14"/>
  <c r="P12" i="14"/>
  <c r="Q13" i="14"/>
  <c r="R13" i="14"/>
  <c r="O20" i="14"/>
  <c r="P20" i="14"/>
  <c r="I5" i="14"/>
  <c r="O5" i="14" s="1"/>
  <c r="J5" i="14"/>
  <c r="P5" i="14" s="1"/>
  <c r="K5" i="14"/>
  <c r="Q5" i="14" s="1"/>
  <c r="L5" i="14"/>
  <c r="M5" i="14"/>
  <c r="N5" i="14"/>
  <c r="I6" i="14"/>
  <c r="J6" i="14"/>
  <c r="P6" i="14" s="1"/>
  <c r="K6" i="14"/>
  <c r="Q6" i="14" s="1"/>
  <c r="L6" i="14"/>
  <c r="M6" i="14"/>
  <c r="N6" i="14"/>
  <c r="I7" i="14"/>
  <c r="O7" i="14" s="1"/>
  <c r="J7" i="14"/>
  <c r="P7" i="14" s="1"/>
  <c r="K7" i="14"/>
  <c r="Q7" i="14" s="1"/>
  <c r="L7" i="14"/>
  <c r="R7" i="14" s="1"/>
  <c r="M7" i="14"/>
  <c r="S7" i="14" s="1"/>
  <c r="N7" i="14"/>
  <c r="T7" i="14" s="1"/>
  <c r="I8" i="14"/>
  <c r="O8" i="14" s="1"/>
  <c r="J8" i="14"/>
  <c r="P8" i="14" s="1"/>
  <c r="K8" i="14"/>
  <c r="Q8" i="14" s="1"/>
  <c r="L8" i="14"/>
  <c r="R8" i="14" s="1"/>
  <c r="M8" i="14"/>
  <c r="S8" i="14" s="1"/>
  <c r="N8" i="14"/>
  <c r="I9" i="14"/>
  <c r="O9" i="14" s="1"/>
  <c r="J9" i="14"/>
  <c r="J15" i="14" s="1"/>
  <c r="K9" i="14"/>
  <c r="K15" i="14" s="1"/>
  <c r="L9" i="14"/>
  <c r="R9" i="14" s="1"/>
  <c r="M9" i="14"/>
  <c r="S9" i="14" s="1"/>
  <c r="N9" i="14"/>
  <c r="T9" i="14" s="1"/>
  <c r="I10" i="14"/>
  <c r="J10" i="14"/>
  <c r="K10" i="14"/>
  <c r="Q10" i="14" s="1"/>
  <c r="L10" i="14"/>
  <c r="R10" i="14" s="1"/>
  <c r="M10" i="14"/>
  <c r="S10" i="14" s="1"/>
  <c r="N10" i="14"/>
  <c r="T10" i="14" s="1"/>
  <c r="I11" i="14"/>
  <c r="O11" i="14" s="1"/>
  <c r="J11" i="14"/>
  <c r="P11" i="14" s="1"/>
  <c r="K11" i="14"/>
  <c r="Q11" i="14" s="1"/>
  <c r="L11" i="14"/>
  <c r="R11" i="14" s="1"/>
  <c r="M11" i="14"/>
  <c r="S11" i="14" s="1"/>
  <c r="N11" i="14"/>
  <c r="T11" i="14" s="1"/>
  <c r="I12" i="14"/>
  <c r="O12" i="14" s="1"/>
  <c r="J12" i="14"/>
  <c r="K12" i="14"/>
  <c r="Q12" i="14" s="1"/>
  <c r="L12" i="14"/>
  <c r="R12" i="14" s="1"/>
  <c r="M12" i="14"/>
  <c r="S12" i="14" s="1"/>
  <c r="N12" i="14"/>
  <c r="T12" i="14" s="1"/>
  <c r="I13" i="14"/>
  <c r="O13" i="14" s="1"/>
  <c r="J13" i="14"/>
  <c r="P13" i="14" s="1"/>
  <c r="K13" i="14"/>
  <c r="L13" i="14"/>
  <c r="M13" i="14"/>
  <c r="S13" i="14" s="1"/>
  <c r="N13" i="14"/>
  <c r="T13" i="14" s="1"/>
  <c r="I14" i="14"/>
  <c r="O14" i="14" s="1"/>
  <c r="J14" i="14"/>
  <c r="P14" i="14" s="1"/>
  <c r="K14" i="14"/>
  <c r="Q14" i="14" s="1"/>
  <c r="L14" i="14"/>
  <c r="R14" i="14" s="1"/>
  <c r="M14" i="14"/>
  <c r="S14" i="14" s="1"/>
  <c r="N14" i="14"/>
  <c r="T14" i="14" s="1"/>
  <c r="I17" i="14"/>
  <c r="O17" i="14" s="1"/>
  <c r="J17" i="14"/>
  <c r="P17" i="14" s="1"/>
  <c r="K17" i="14"/>
  <c r="Q17" i="14" s="1"/>
  <c r="L17" i="14"/>
  <c r="R17" i="14" s="1"/>
  <c r="M17" i="14"/>
  <c r="S17" i="14" s="1"/>
  <c r="N17" i="14"/>
  <c r="T17" i="14" s="1"/>
  <c r="I19" i="14"/>
  <c r="O19" i="14" s="1"/>
  <c r="J19" i="14"/>
  <c r="P19" i="14" s="1"/>
  <c r="K19" i="14"/>
  <c r="Q19" i="14" s="1"/>
  <c r="L19" i="14"/>
  <c r="R19" i="14" s="1"/>
  <c r="M19" i="14"/>
  <c r="S19" i="14" s="1"/>
  <c r="N19" i="14"/>
  <c r="T19" i="14" s="1"/>
  <c r="I20" i="14"/>
  <c r="J20" i="14"/>
  <c r="K20" i="14"/>
  <c r="Q20" i="14" s="1"/>
  <c r="L20" i="14"/>
  <c r="R20" i="14" s="1"/>
  <c r="M20" i="14"/>
  <c r="S20" i="14" s="1"/>
  <c r="N20" i="14"/>
  <c r="T20" i="14" s="1"/>
  <c r="Q5" i="13"/>
  <c r="R5" i="13"/>
  <c r="S5" i="13"/>
  <c r="T5" i="13"/>
  <c r="O6" i="13"/>
  <c r="P6" i="13"/>
  <c r="S8" i="13"/>
  <c r="T8" i="13"/>
  <c r="O9" i="13"/>
  <c r="P9" i="13"/>
  <c r="Q9" i="13"/>
  <c r="R9" i="13"/>
  <c r="I5" i="13"/>
  <c r="O5" i="13" s="1"/>
  <c r="J5" i="13"/>
  <c r="J10" i="13" s="1"/>
  <c r="K5" i="13"/>
  <c r="L5" i="13"/>
  <c r="M5" i="13"/>
  <c r="N5" i="13"/>
  <c r="I6" i="13"/>
  <c r="J6" i="13"/>
  <c r="K6" i="13"/>
  <c r="Q6" i="13" s="1"/>
  <c r="L6" i="13"/>
  <c r="R6" i="13" s="1"/>
  <c r="M6" i="13"/>
  <c r="S6" i="13" s="1"/>
  <c r="N6" i="13"/>
  <c r="T6" i="13" s="1"/>
  <c r="I7" i="13"/>
  <c r="O7" i="13" s="1"/>
  <c r="J7" i="13"/>
  <c r="P7" i="13" s="1"/>
  <c r="K7" i="13"/>
  <c r="K10" i="13" s="1"/>
  <c r="L7" i="13"/>
  <c r="R7" i="13" s="1"/>
  <c r="M7" i="13"/>
  <c r="S7" i="13" s="1"/>
  <c r="N7" i="13"/>
  <c r="T7" i="13" s="1"/>
  <c r="I8" i="13"/>
  <c r="O8" i="13" s="1"/>
  <c r="J8" i="13"/>
  <c r="P8" i="13" s="1"/>
  <c r="K8" i="13"/>
  <c r="Q8" i="13" s="1"/>
  <c r="L8" i="13"/>
  <c r="L10" i="13" s="1"/>
  <c r="M8" i="13"/>
  <c r="N8" i="13"/>
  <c r="I9" i="13"/>
  <c r="J9" i="13"/>
  <c r="K9" i="13"/>
  <c r="L9" i="13"/>
  <c r="M9" i="13"/>
  <c r="S9" i="13" s="1"/>
  <c r="N9" i="13"/>
  <c r="T9" i="13" s="1"/>
  <c r="I11" i="13"/>
  <c r="O11" i="13" s="1"/>
  <c r="J11" i="13"/>
  <c r="P11" i="13" s="1"/>
  <c r="K11" i="13"/>
  <c r="Q11" i="13" s="1"/>
  <c r="L11" i="13"/>
  <c r="R11" i="13" s="1"/>
  <c r="M11" i="13"/>
  <c r="S11" i="13" s="1"/>
  <c r="N11" i="13"/>
  <c r="T11" i="13" s="1"/>
  <c r="I13" i="13"/>
  <c r="O13" i="13" s="1"/>
  <c r="J13" i="13"/>
  <c r="P13" i="13" s="1"/>
  <c r="K13" i="13"/>
  <c r="Q13" i="13" s="1"/>
  <c r="L13" i="13"/>
  <c r="R13" i="13" s="1"/>
  <c r="M13" i="13"/>
  <c r="S13" i="13" s="1"/>
  <c r="N13" i="13"/>
  <c r="T13" i="13" s="1"/>
  <c r="I14" i="13"/>
  <c r="O14" i="13" s="1"/>
  <c r="J14" i="13"/>
  <c r="P14" i="13" s="1"/>
  <c r="K14" i="13"/>
  <c r="Q14" i="13" s="1"/>
  <c r="L14" i="13"/>
  <c r="R14" i="13" s="1"/>
  <c r="M14" i="13"/>
  <c r="S14" i="13" s="1"/>
  <c r="N14" i="13"/>
  <c r="T14" i="13" s="1"/>
  <c r="B8" i="27"/>
  <c r="B7" i="27"/>
  <c r="B6" i="27"/>
  <c r="E63" i="26"/>
  <c r="E28" i="26"/>
  <c r="E20" i="26"/>
  <c r="E18" i="26"/>
  <c r="E17" i="26"/>
  <c r="E62" i="26" s="1"/>
  <c r="E16" i="26"/>
  <c r="E61" i="26" s="1"/>
  <c r="C60" i="25"/>
  <c r="F64" i="25" s="1"/>
  <c r="C67" i="25" s="1"/>
  <c r="E49" i="25"/>
  <c r="F51" i="25" s="1"/>
  <c r="C53" i="25" s="1"/>
  <c r="D47" i="25"/>
  <c r="D35" i="25"/>
  <c r="D34" i="25"/>
  <c r="B30" i="25"/>
  <c r="F9" i="25"/>
  <c r="H15" i="16"/>
  <c r="G15" i="16"/>
  <c r="F15" i="16"/>
  <c r="E15" i="16"/>
  <c r="D15" i="16"/>
  <c r="C15" i="16"/>
  <c r="H14" i="16"/>
  <c r="G14" i="16"/>
  <c r="F14" i="16"/>
  <c r="E14" i="16"/>
  <c r="D14" i="16"/>
  <c r="C14" i="16"/>
  <c r="H13" i="16"/>
  <c r="G13" i="16"/>
  <c r="F13" i="16"/>
  <c r="E13" i="16"/>
  <c r="D13" i="16"/>
  <c r="C13" i="16"/>
  <c r="H12" i="16"/>
  <c r="G12" i="16"/>
  <c r="F12" i="16"/>
  <c r="E12" i="16"/>
  <c r="D12" i="16"/>
  <c r="C12" i="16"/>
  <c r="H11" i="16"/>
  <c r="G11" i="16"/>
  <c r="F11" i="16"/>
  <c r="E11" i="16"/>
  <c r="D11" i="16"/>
  <c r="C11" i="16"/>
  <c r="H10" i="16"/>
  <c r="G10" i="16"/>
  <c r="F10" i="16"/>
  <c r="E10" i="16"/>
  <c r="D10" i="16"/>
  <c r="C10" i="16"/>
  <c r="H9" i="16"/>
  <c r="G9" i="16"/>
  <c r="F9" i="16"/>
  <c r="E9" i="16"/>
  <c r="D9" i="16"/>
  <c r="C9" i="16"/>
  <c r="H8" i="16"/>
  <c r="G8" i="16"/>
  <c r="F8" i="16"/>
  <c r="E8" i="16"/>
  <c r="D8" i="16"/>
  <c r="C8" i="16"/>
  <c r="D7" i="16"/>
  <c r="H6" i="16"/>
  <c r="G6" i="16"/>
  <c r="F6" i="16"/>
  <c r="E6" i="16"/>
  <c r="D6" i="16"/>
  <c r="C6" i="16"/>
  <c r="H5" i="16"/>
  <c r="H7" i="16" s="1"/>
  <c r="G5" i="16"/>
  <c r="F5" i="16"/>
  <c r="F7" i="16" s="1"/>
  <c r="E5" i="16"/>
  <c r="D5" i="16"/>
  <c r="C5" i="16"/>
  <c r="C7" i="16" s="1"/>
  <c r="H16" i="15"/>
  <c r="G16" i="15"/>
  <c r="F16" i="15"/>
  <c r="E16" i="15"/>
  <c r="D16" i="15"/>
  <c r="C16" i="15"/>
  <c r="H15" i="15"/>
  <c r="G15" i="15"/>
  <c r="F15" i="15"/>
  <c r="E15" i="15"/>
  <c r="D15" i="15"/>
  <c r="C15" i="15"/>
  <c r="H13" i="15"/>
  <c r="G13" i="15"/>
  <c r="F13" i="15"/>
  <c r="E13" i="15"/>
  <c r="D13" i="15"/>
  <c r="C13" i="15"/>
  <c r="G12" i="15"/>
  <c r="G14" i="15" s="1"/>
  <c r="G17" i="15" s="1"/>
  <c r="H11" i="15"/>
  <c r="G11" i="15"/>
  <c r="F11" i="15"/>
  <c r="E11" i="15"/>
  <c r="D11" i="15"/>
  <c r="C11" i="15"/>
  <c r="H10" i="15"/>
  <c r="G10" i="15"/>
  <c r="F10" i="15"/>
  <c r="E10" i="15"/>
  <c r="D10" i="15"/>
  <c r="C10" i="15"/>
  <c r="H9" i="15"/>
  <c r="G9" i="15"/>
  <c r="F9" i="15"/>
  <c r="E9" i="15"/>
  <c r="D9" i="15"/>
  <c r="C9" i="15"/>
  <c r="H8" i="15"/>
  <c r="G8" i="15"/>
  <c r="F8" i="15"/>
  <c r="E8" i="15"/>
  <c r="D8" i="15"/>
  <c r="C8" i="15"/>
  <c r="H7" i="15"/>
  <c r="H12" i="15" s="1"/>
  <c r="H14" i="15" s="1"/>
  <c r="H17" i="15" s="1"/>
  <c r="G7" i="15"/>
  <c r="F7" i="15"/>
  <c r="E7" i="15"/>
  <c r="D7" i="15"/>
  <c r="C7" i="15"/>
  <c r="H6" i="15"/>
  <c r="G6" i="15"/>
  <c r="F6" i="15"/>
  <c r="E6" i="15"/>
  <c r="D6" i="15"/>
  <c r="C6" i="15"/>
  <c r="H5" i="15"/>
  <c r="G5" i="15"/>
  <c r="F5" i="15"/>
  <c r="F12" i="15" s="1"/>
  <c r="F14" i="15" s="1"/>
  <c r="F17" i="15" s="1"/>
  <c r="E5" i="15"/>
  <c r="E12" i="15" s="1"/>
  <c r="E14" i="15" s="1"/>
  <c r="E17" i="15" s="1"/>
  <c r="D5" i="15"/>
  <c r="D12" i="15" s="1"/>
  <c r="D14" i="15" s="1"/>
  <c r="D17" i="15" s="1"/>
  <c r="C5" i="15"/>
  <c r="C12" i="15" s="1"/>
  <c r="H20" i="14"/>
  <c r="G20" i="14"/>
  <c r="F20" i="14"/>
  <c r="E20" i="14"/>
  <c r="D20" i="14"/>
  <c r="C20" i="14"/>
  <c r="H19" i="14"/>
  <c r="G19" i="14"/>
  <c r="F19" i="14"/>
  <c r="E19" i="14"/>
  <c r="D19" i="14"/>
  <c r="C19" i="14"/>
  <c r="H17" i="14"/>
  <c r="G17" i="14"/>
  <c r="F17" i="14"/>
  <c r="E17" i="14"/>
  <c r="D17" i="14"/>
  <c r="C17" i="14"/>
  <c r="G16" i="14"/>
  <c r="G18" i="14" s="1"/>
  <c r="G21" i="14" s="1"/>
  <c r="H14" i="14"/>
  <c r="G14" i="14"/>
  <c r="F14" i="14"/>
  <c r="E14" i="14"/>
  <c r="D14" i="14"/>
  <c r="C14" i="14"/>
  <c r="H13" i="14"/>
  <c r="G13" i="14"/>
  <c r="F13" i="14"/>
  <c r="E13" i="14"/>
  <c r="D13" i="14"/>
  <c r="C13" i="14"/>
  <c r="H12" i="14"/>
  <c r="G12" i="14"/>
  <c r="F12" i="14"/>
  <c r="E12" i="14"/>
  <c r="D12" i="14"/>
  <c r="C12" i="14"/>
  <c r="H11" i="14"/>
  <c r="G11" i="14"/>
  <c r="F11" i="14"/>
  <c r="E11" i="14"/>
  <c r="D11" i="14"/>
  <c r="C11" i="14"/>
  <c r="H10" i="14"/>
  <c r="G10" i="14"/>
  <c r="F10" i="14"/>
  <c r="F15" i="14" s="1"/>
  <c r="E10" i="14"/>
  <c r="E15" i="14" s="1"/>
  <c r="D10" i="14"/>
  <c r="C10" i="14"/>
  <c r="H9" i="14"/>
  <c r="H15" i="14" s="1"/>
  <c r="G9" i="14"/>
  <c r="G15" i="14" s="1"/>
  <c r="F9" i="14"/>
  <c r="E9" i="14"/>
  <c r="D9" i="14"/>
  <c r="D15" i="14" s="1"/>
  <c r="C9" i="14"/>
  <c r="H8" i="14"/>
  <c r="G8" i="14"/>
  <c r="F8" i="14"/>
  <c r="E8" i="14"/>
  <c r="D8" i="14"/>
  <c r="C8" i="14"/>
  <c r="H7" i="14"/>
  <c r="G7" i="14"/>
  <c r="F7" i="14"/>
  <c r="E7" i="14"/>
  <c r="D7" i="14"/>
  <c r="C7" i="14"/>
  <c r="H6" i="14"/>
  <c r="G6" i="14"/>
  <c r="F6" i="14"/>
  <c r="E6" i="14"/>
  <c r="E16" i="14" s="1"/>
  <c r="E18" i="14" s="1"/>
  <c r="E21" i="14" s="1"/>
  <c r="D6" i="14"/>
  <c r="C6" i="14"/>
  <c r="H5" i="14"/>
  <c r="G5" i="14"/>
  <c r="F5" i="14"/>
  <c r="F16" i="14" s="1"/>
  <c r="F18" i="14" s="1"/>
  <c r="F21" i="14" s="1"/>
  <c r="E5" i="14"/>
  <c r="D5" i="14"/>
  <c r="D16" i="14" s="1"/>
  <c r="D18" i="14" s="1"/>
  <c r="D21" i="14" s="1"/>
  <c r="C5" i="14"/>
  <c r="H14" i="13"/>
  <c r="G14" i="13"/>
  <c r="F14" i="13"/>
  <c r="E14" i="13"/>
  <c r="D14" i="13"/>
  <c r="C14" i="13"/>
  <c r="H13" i="13"/>
  <c r="G13" i="13"/>
  <c r="F13" i="13"/>
  <c r="E13" i="13"/>
  <c r="D13" i="13"/>
  <c r="C13" i="13"/>
  <c r="H11" i="13"/>
  <c r="G11" i="13"/>
  <c r="F11" i="13"/>
  <c r="E11" i="13"/>
  <c r="D11" i="13"/>
  <c r="C11" i="13"/>
  <c r="H9" i="13"/>
  <c r="G9" i="13"/>
  <c r="F9" i="13"/>
  <c r="E9" i="13"/>
  <c r="D9" i="13"/>
  <c r="C9" i="13"/>
  <c r="H8" i="13"/>
  <c r="G8" i="13"/>
  <c r="F8" i="13"/>
  <c r="E8" i="13"/>
  <c r="D8" i="13"/>
  <c r="D10" i="13" s="1"/>
  <c r="D12" i="13" s="1"/>
  <c r="D15" i="13" s="1"/>
  <c r="C8" i="13"/>
  <c r="H7" i="13"/>
  <c r="G7" i="13"/>
  <c r="G10" i="13" s="1"/>
  <c r="G12" i="13" s="1"/>
  <c r="G15" i="13" s="1"/>
  <c r="F7" i="13"/>
  <c r="E7" i="13"/>
  <c r="D7" i="13"/>
  <c r="C7" i="13"/>
  <c r="H6" i="13"/>
  <c r="G6" i="13"/>
  <c r="F6" i="13"/>
  <c r="F10" i="13" s="1"/>
  <c r="F12" i="13" s="1"/>
  <c r="F15" i="13" s="1"/>
  <c r="E6" i="13"/>
  <c r="D6" i="13"/>
  <c r="C6" i="13"/>
  <c r="C10" i="13" s="1"/>
  <c r="H5" i="13"/>
  <c r="H10" i="13" s="1"/>
  <c r="H12" i="13" s="1"/>
  <c r="H15" i="13" s="1"/>
  <c r="G5" i="13"/>
  <c r="F5" i="13"/>
  <c r="E5" i="13"/>
  <c r="D5" i="13"/>
  <c r="C5" i="13"/>
  <c r="K111" i="12"/>
  <c r="J111" i="12"/>
  <c r="L49" i="12"/>
  <c r="J45" i="12"/>
  <c r="K45" i="12" s="1"/>
  <c r="K44" i="12"/>
  <c r="J33" i="12"/>
  <c r="K33" i="12" s="1"/>
  <c r="J32" i="12"/>
  <c r="K32" i="12" s="1"/>
  <c r="J31" i="12"/>
  <c r="K31" i="12" s="1"/>
  <c r="J30" i="12"/>
  <c r="K30" i="12" s="1"/>
  <c r="J29" i="12"/>
  <c r="K29" i="12" s="1"/>
  <c r="J28" i="12"/>
  <c r="K28" i="12" s="1"/>
  <c r="D28" i="12"/>
  <c r="B28" i="12"/>
  <c r="J27" i="12"/>
  <c r="K27" i="12" s="1"/>
  <c r="J26" i="12"/>
  <c r="J24" i="12"/>
  <c r="K24" i="12" s="1"/>
  <c r="J23" i="12"/>
  <c r="J120" i="12" s="1"/>
  <c r="Q18" i="12"/>
  <c r="Q17" i="12"/>
  <c r="N17" i="12"/>
  <c r="K17" i="12"/>
  <c r="O17" i="12" s="1"/>
  <c r="Q16" i="12"/>
  <c r="N16" i="12"/>
  <c r="K16" i="12"/>
  <c r="O16" i="12" s="1"/>
  <c r="Q15" i="12"/>
  <c r="Q14" i="12"/>
  <c r="N14" i="12"/>
  <c r="K14" i="12"/>
  <c r="O14" i="12" s="1"/>
  <c r="P14" i="12" s="1"/>
  <c r="Q13" i="12"/>
  <c r="Q12" i="12"/>
  <c r="N12" i="12"/>
  <c r="K12" i="12"/>
  <c r="O12" i="12" s="1"/>
  <c r="Q11" i="12"/>
  <c r="N11" i="12"/>
  <c r="K11" i="12"/>
  <c r="O11" i="12" s="1"/>
  <c r="Q10" i="12"/>
  <c r="N10" i="12"/>
  <c r="K10" i="12"/>
  <c r="O10" i="12" s="1"/>
  <c r="Q9" i="12"/>
  <c r="N9" i="12"/>
  <c r="K9" i="12"/>
  <c r="O9" i="12" s="1"/>
  <c r="P9" i="12" s="1"/>
  <c r="Q8" i="12"/>
  <c r="N8" i="12"/>
  <c r="K8" i="12"/>
  <c r="O8" i="12" s="1"/>
  <c r="Q7" i="12"/>
  <c r="N7" i="12"/>
  <c r="K7" i="12"/>
  <c r="O7" i="12" s="1"/>
  <c r="P7" i="12" s="1"/>
  <c r="Q6" i="12"/>
  <c r="N6" i="12"/>
  <c r="K6" i="12"/>
  <c r="J120" i="11"/>
  <c r="K111" i="11"/>
  <c r="J111" i="11"/>
  <c r="L49" i="11"/>
  <c r="J45" i="11"/>
  <c r="K45" i="11" s="1"/>
  <c r="K44" i="11"/>
  <c r="J33" i="11"/>
  <c r="J101" i="11" s="1"/>
  <c r="J32" i="11"/>
  <c r="K32" i="11" s="1"/>
  <c r="J31" i="11"/>
  <c r="K31" i="11" s="1"/>
  <c r="J30" i="11"/>
  <c r="K30" i="11" s="1"/>
  <c r="J29" i="11"/>
  <c r="K29" i="11" s="1"/>
  <c r="J28" i="11"/>
  <c r="K28" i="11" s="1"/>
  <c r="D28" i="11"/>
  <c r="B28" i="11"/>
  <c r="J27" i="11"/>
  <c r="K27" i="11" s="1"/>
  <c r="K26" i="11"/>
  <c r="J26" i="11"/>
  <c r="J43" i="11" s="1"/>
  <c r="J70" i="11" s="1"/>
  <c r="J71" i="11" s="1"/>
  <c r="J24" i="11"/>
  <c r="J25" i="11" s="1"/>
  <c r="K23" i="11"/>
  <c r="J23" i="11"/>
  <c r="Q18" i="11"/>
  <c r="Q17" i="11"/>
  <c r="N17" i="11"/>
  <c r="K17" i="11"/>
  <c r="O17" i="11" s="1"/>
  <c r="P17" i="11" s="1"/>
  <c r="Q16" i="11"/>
  <c r="N16" i="11"/>
  <c r="K16" i="11"/>
  <c r="O16" i="11" s="1"/>
  <c r="P16" i="11" s="1"/>
  <c r="Q15" i="11"/>
  <c r="Q14" i="11"/>
  <c r="N14" i="11"/>
  <c r="K14" i="11"/>
  <c r="O14" i="11" s="1"/>
  <c r="Q13" i="11"/>
  <c r="Q12" i="11"/>
  <c r="O12" i="11"/>
  <c r="N12" i="11"/>
  <c r="K12" i="11"/>
  <c r="Q11" i="11"/>
  <c r="N11" i="11"/>
  <c r="K11" i="11"/>
  <c r="O11" i="11" s="1"/>
  <c r="P11" i="11" s="1"/>
  <c r="Q10" i="11"/>
  <c r="N10" i="11"/>
  <c r="K10" i="11"/>
  <c r="O10" i="11" s="1"/>
  <c r="P10" i="11" s="1"/>
  <c r="Q9" i="11"/>
  <c r="N9" i="11"/>
  <c r="K9" i="11"/>
  <c r="O9" i="11" s="1"/>
  <c r="P9" i="11" s="1"/>
  <c r="Q8" i="11"/>
  <c r="N8" i="11"/>
  <c r="K8" i="11"/>
  <c r="O8" i="11" s="1"/>
  <c r="Q7" i="11"/>
  <c r="O7" i="11"/>
  <c r="P7" i="11" s="1"/>
  <c r="N7" i="11"/>
  <c r="K7" i="11"/>
  <c r="Q6" i="11"/>
  <c r="N6" i="11"/>
  <c r="K6" i="11"/>
  <c r="K111" i="10"/>
  <c r="J111" i="10"/>
  <c r="J106" i="10"/>
  <c r="L49" i="10"/>
  <c r="K45" i="10"/>
  <c r="J45" i="10"/>
  <c r="K44" i="10"/>
  <c r="J33" i="10"/>
  <c r="J32" i="10"/>
  <c r="K32" i="10" s="1"/>
  <c r="J31" i="10"/>
  <c r="K31" i="10" s="1"/>
  <c r="K100" i="10" s="1"/>
  <c r="J30" i="10"/>
  <c r="K30" i="10" s="1"/>
  <c r="J29" i="10"/>
  <c r="K29" i="10" s="1"/>
  <c r="J28" i="10"/>
  <c r="K28" i="10" s="1"/>
  <c r="D28" i="10"/>
  <c r="B28" i="10"/>
  <c r="J27" i="10"/>
  <c r="K27" i="10" s="1"/>
  <c r="J26" i="10"/>
  <c r="J24" i="10"/>
  <c r="K24" i="10" s="1"/>
  <c r="J23" i="10"/>
  <c r="K23" i="10" s="1"/>
  <c r="Q18" i="10"/>
  <c r="Q17" i="10"/>
  <c r="N17" i="10"/>
  <c r="K17" i="10"/>
  <c r="O17" i="10" s="1"/>
  <c r="P17" i="10" s="1"/>
  <c r="Q16" i="10"/>
  <c r="N16" i="10"/>
  <c r="K16" i="10"/>
  <c r="O16" i="10" s="1"/>
  <c r="P16" i="10" s="1"/>
  <c r="Q15" i="10"/>
  <c r="Q14" i="10"/>
  <c r="N14" i="10"/>
  <c r="K14" i="10"/>
  <c r="O14" i="10" s="1"/>
  <c r="Q13" i="10"/>
  <c r="Q12" i="10"/>
  <c r="N12" i="10"/>
  <c r="K12" i="10"/>
  <c r="O12" i="10" s="1"/>
  <c r="Q11" i="10"/>
  <c r="N11" i="10"/>
  <c r="K11" i="10"/>
  <c r="Q10" i="10"/>
  <c r="N10" i="10"/>
  <c r="K10" i="10"/>
  <c r="O10" i="10" s="1"/>
  <c r="P10" i="10" s="1"/>
  <c r="Q9" i="10"/>
  <c r="N9" i="10"/>
  <c r="K9" i="10"/>
  <c r="O9" i="10" s="1"/>
  <c r="P9" i="10" s="1"/>
  <c r="Q8" i="10"/>
  <c r="N8" i="10"/>
  <c r="K8" i="10"/>
  <c r="K13" i="10" s="1"/>
  <c r="B24" i="10" s="1"/>
  <c r="Q7" i="10"/>
  <c r="N7" i="10"/>
  <c r="K7" i="10"/>
  <c r="O7" i="10" s="1"/>
  <c r="P7" i="10" s="1"/>
  <c r="Q6" i="10"/>
  <c r="N6" i="10"/>
  <c r="K6" i="10"/>
  <c r="O6" i="10" s="1"/>
  <c r="P6" i="10" s="1"/>
  <c r="K111" i="8"/>
  <c r="J111" i="8"/>
  <c r="L49" i="8"/>
  <c r="J45" i="8"/>
  <c r="K45" i="8" s="1"/>
  <c r="K44" i="8"/>
  <c r="J42" i="8"/>
  <c r="J40" i="8"/>
  <c r="J117" i="8" s="1"/>
  <c r="J118" i="8" s="1"/>
  <c r="J33" i="8"/>
  <c r="J101" i="8" s="1"/>
  <c r="K32" i="8"/>
  <c r="J32" i="8"/>
  <c r="J31" i="8"/>
  <c r="K31" i="8" s="1"/>
  <c r="J30" i="8"/>
  <c r="J100" i="8" s="1"/>
  <c r="J29" i="8"/>
  <c r="K29" i="8" s="1"/>
  <c r="J28" i="8"/>
  <c r="K28" i="8" s="1"/>
  <c r="D28" i="8"/>
  <c r="B28" i="8"/>
  <c r="J27" i="8"/>
  <c r="K27" i="8" s="1"/>
  <c r="J26" i="8"/>
  <c r="J43" i="8" s="1"/>
  <c r="J70" i="8" s="1"/>
  <c r="J71" i="8" s="1"/>
  <c r="J76" i="8" s="1"/>
  <c r="J24" i="8"/>
  <c r="K24" i="8" s="1"/>
  <c r="J23" i="8"/>
  <c r="K23" i="8" s="1"/>
  <c r="Q18" i="8"/>
  <c r="Q17" i="8"/>
  <c r="N17" i="8"/>
  <c r="K17" i="8"/>
  <c r="O17" i="8" s="1"/>
  <c r="Q16" i="8"/>
  <c r="N16" i="8"/>
  <c r="K16" i="8"/>
  <c r="O16" i="8" s="1"/>
  <c r="Q15" i="8"/>
  <c r="Q14" i="8"/>
  <c r="N14" i="8"/>
  <c r="K14" i="8"/>
  <c r="O14" i="8" s="1"/>
  <c r="P14" i="8" s="1"/>
  <c r="Q13" i="8"/>
  <c r="Q12" i="8"/>
  <c r="N12" i="8"/>
  <c r="K12" i="8"/>
  <c r="O12" i="8" s="1"/>
  <c r="P12" i="8" s="1"/>
  <c r="Q11" i="8"/>
  <c r="N11" i="8"/>
  <c r="K11" i="8"/>
  <c r="O11" i="8" s="1"/>
  <c r="Q10" i="8"/>
  <c r="N10" i="8"/>
  <c r="K10" i="8"/>
  <c r="O10" i="8" s="1"/>
  <c r="Q9" i="8"/>
  <c r="N9" i="8"/>
  <c r="K9" i="8"/>
  <c r="O9" i="8" s="1"/>
  <c r="P9" i="8" s="1"/>
  <c r="Q8" i="8"/>
  <c r="N8" i="8"/>
  <c r="K8" i="8"/>
  <c r="Q7" i="8"/>
  <c r="N7" i="8"/>
  <c r="K7" i="8"/>
  <c r="O7" i="8" s="1"/>
  <c r="P7" i="8" s="1"/>
  <c r="Q6" i="8"/>
  <c r="N6" i="8"/>
  <c r="K6" i="8"/>
  <c r="O6" i="8" s="1"/>
  <c r="J120" i="7"/>
  <c r="K111" i="7"/>
  <c r="J111" i="7"/>
  <c r="L49" i="7"/>
  <c r="J45" i="7"/>
  <c r="K44" i="7"/>
  <c r="J33" i="7"/>
  <c r="J106" i="7" s="1"/>
  <c r="J32" i="7"/>
  <c r="K32" i="7" s="1"/>
  <c r="J31" i="7"/>
  <c r="J30" i="7"/>
  <c r="K30" i="7" s="1"/>
  <c r="J29" i="7"/>
  <c r="K29" i="7" s="1"/>
  <c r="J28" i="7"/>
  <c r="K28" i="7" s="1"/>
  <c r="D28" i="7"/>
  <c r="B28" i="7"/>
  <c r="J27" i="7"/>
  <c r="K27" i="7" s="1"/>
  <c r="J26" i="7"/>
  <c r="J43" i="7" s="1"/>
  <c r="J70" i="7" s="1"/>
  <c r="J71" i="7" s="1"/>
  <c r="J76" i="7" s="1"/>
  <c r="J24" i="7"/>
  <c r="J23" i="7"/>
  <c r="K23" i="7" s="1"/>
  <c r="Q18" i="7"/>
  <c r="Q17" i="7"/>
  <c r="N17" i="7"/>
  <c r="K17" i="7"/>
  <c r="O17" i="7" s="1"/>
  <c r="Q16" i="7"/>
  <c r="N16" i="7"/>
  <c r="K16" i="7"/>
  <c r="O16" i="7" s="1"/>
  <c r="Q15" i="7"/>
  <c r="Q14" i="7"/>
  <c r="N14" i="7"/>
  <c r="K14" i="7"/>
  <c r="O14" i="7" s="1"/>
  <c r="Q13" i="7"/>
  <c r="Q12" i="7"/>
  <c r="N12" i="7"/>
  <c r="K12" i="7"/>
  <c r="O12" i="7" s="1"/>
  <c r="P12" i="7" s="1"/>
  <c r="Q11" i="7"/>
  <c r="N11" i="7"/>
  <c r="K11" i="7"/>
  <c r="O11" i="7" s="1"/>
  <c r="P11" i="7" s="1"/>
  <c r="Q10" i="7"/>
  <c r="N10" i="7"/>
  <c r="K10" i="7"/>
  <c r="O10" i="7" s="1"/>
  <c r="Q9" i="7"/>
  <c r="N9" i="7"/>
  <c r="K9" i="7"/>
  <c r="O9" i="7" s="1"/>
  <c r="P9" i="7" s="1"/>
  <c r="Q8" i="7"/>
  <c r="N8" i="7"/>
  <c r="K8" i="7"/>
  <c r="Q7" i="7"/>
  <c r="N7" i="7"/>
  <c r="K7" i="7"/>
  <c r="O7" i="7" s="1"/>
  <c r="P7" i="7" s="1"/>
  <c r="Q6" i="7"/>
  <c r="N6" i="7"/>
  <c r="K6" i="7"/>
  <c r="O6" i="7" s="1"/>
  <c r="F17" i="5"/>
  <c r="G17" i="5" s="1"/>
  <c r="E17" i="5"/>
  <c r="D17" i="5"/>
  <c r="E16" i="5"/>
  <c r="F16" i="5" s="1"/>
  <c r="G16" i="5" s="1"/>
  <c r="D16" i="5"/>
  <c r="E14" i="5"/>
  <c r="D14" i="5"/>
  <c r="F14" i="5" s="1"/>
  <c r="G14" i="5" s="1"/>
  <c r="E12" i="5"/>
  <c r="F12" i="5" s="1"/>
  <c r="G12" i="5" s="1"/>
  <c r="D12" i="5"/>
  <c r="E11" i="5"/>
  <c r="F11" i="5" s="1"/>
  <c r="G11" i="5" s="1"/>
  <c r="D11" i="5"/>
  <c r="E10" i="5"/>
  <c r="D10" i="5"/>
  <c r="F10" i="5" s="1"/>
  <c r="G10" i="5" s="1"/>
  <c r="E9" i="5"/>
  <c r="D9" i="5"/>
  <c r="F9" i="5" s="1"/>
  <c r="G9" i="5" s="1"/>
  <c r="E8" i="5"/>
  <c r="D8" i="5"/>
  <c r="F8" i="5" s="1"/>
  <c r="G8" i="5" s="1"/>
  <c r="B71" i="1"/>
  <c r="B70" i="1"/>
  <c r="B69" i="1"/>
  <c r="B68" i="1"/>
  <c r="B67" i="1"/>
  <c r="B66" i="1"/>
  <c r="B65" i="1"/>
  <c r="B64" i="1"/>
  <c r="B63" i="1"/>
  <c r="B60" i="1"/>
  <c r="B59" i="1"/>
  <c r="B58" i="1"/>
  <c r="B57" i="1"/>
  <c r="B54" i="1"/>
  <c r="B53" i="1"/>
  <c r="B52" i="1"/>
  <c r="B51" i="1"/>
  <c r="B48" i="1"/>
  <c r="B47" i="1"/>
  <c r="B46" i="1"/>
  <c r="B43" i="1"/>
  <c r="B42" i="1"/>
  <c r="B41" i="1"/>
  <c r="B40" i="1"/>
  <c r="B39" i="1"/>
  <c r="B38" i="1"/>
  <c r="B35" i="1"/>
  <c r="B34" i="1"/>
  <c r="B33" i="1"/>
  <c r="K111" i="9"/>
  <c r="J111" i="9"/>
  <c r="J106" i="9"/>
  <c r="K101" i="9"/>
  <c r="J101" i="9"/>
  <c r="L49" i="9"/>
  <c r="J45" i="9"/>
  <c r="K44" i="9"/>
  <c r="J33" i="9"/>
  <c r="K33" i="9" s="1"/>
  <c r="K106" i="9" s="1"/>
  <c r="J32" i="9"/>
  <c r="K32" i="9" s="1"/>
  <c r="J31" i="9"/>
  <c r="J30" i="9"/>
  <c r="K30" i="9" s="1"/>
  <c r="K29" i="9"/>
  <c r="J29" i="9"/>
  <c r="J28" i="9"/>
  <c r="K28" i="9" s="1"/>
  <c r="D28" i="9"/>
  <c r="B28" i="9"/>
  <c r="J27" i="9"/>
  <c r="K27" i="9" s="1"/>
  <c r="J26" i="9"/>
  <c r="J42" i="9" s="1"/>
  <c r="J24" i="9"/>
  <c r="K24" i="9" s="1"/>
  <c r="J23" i="9"/>
  <c r="J25" i="9" s="1"/>
  <c r="K22" i="9"/>
  <c r="J22" i="9"/>
  <c r="Q18" i="9"/>
  <c r="Q17" i="9"/>
  <c r="N17" i="9"/>
  <c r="K17" i="9"/>
  <c r="O17" i="9" s="1"/>
  <c r="P17" i="9" s="1"/>
  <c r="Q16" i="9"/>
  <c r="N16" i="9"/>
  <c r="K16" i="9"/>
  <c r="O16" i="9" s="1"/>
  <c r="Q15" i="9"/>
  <c r="Q14" i="9"/>
  <c r="N14" i="9"/>
  <c r="K14" i="9"/>
  <c r="O14" i="9" s="1"/>
  <c r="Q13" i="9"/>
  <c r="Q12" i="9"/>
  <c r="N12" i="9"/>
  <c r="K12" i="9"/>
  <c r="O12" i="9" s="1"/>
  <c r="P12" i="9" s="1"/>
  <c r="Q11" i="9"/>
  <c r="N11" i="9"/>
  <c r="K11" i="9"/>
  <c r="O11" i="9" s="1"/>
  <c r="Q10" i="9"/>
  <c r="N10" i="9"/>
  <c r="K10" i="9"/>
  <c r="O10" i="9" s="1"/>
  <c r="Q9" i="9"/>
  <c r="N9" i="9"/>
  <c r="Q8" i="9"/>
  <c r="N8" i="9"/>
  <c r="K8" i="9"/>
  <c r="O8" i="9" s="1"/>
  <c r="Q7" i="9"/>
  <c r="N7" i="9"/>
  <c r="Q6" i="9"/>
  <c r="N6" i="9"/>
  <c r="K6" i="9"/>
  <c r="F46" i="4" a="1"/>
  <c r="D39" i="4" a="1"/>
  <c r="B41" i="4" a="1"/>
  <c r="F42" i="4" a="1"/>
  <c r="F40" i="4" a="1"/>
  <c r="F41" i="4" a="1"/>
  <c r="E41" i="4" a="1"/>
  <c r="C43" i="4" a="1"/>
  <c r="E46" i="4" a="1"/>
  <c r="F39" i="4" a="1"/>
  <c r="E43" i="4" a="1"/>
  <c r="C41" i="4" a="1"/>
  <c r="E42" i="4" a="1"/>
  <c r="E40" i="4" a="1"/>
  <c r="C49" i="4" a="1"/>
  <c r="E39" i="4" a="1"/>
  <c r="D43" i="4" a="1"/>
  <c r="B39" i="4" a="1"/>
  <c r="D42" i="4" a="1"/>
  <c r="D40" i="4" a="1"/>
  <c r="B42" i="4" a="1"/>
  <c r="F43" i="4" a="1"/>
  <c r="C47" i="4" a="1"/>
  <c r="C42" i="4" a="1"/>
  <c r="C40" i="4" a="1"/>
  <c r="C46" i="4" a="1"/>
  <c r="B40" i="4" a="1"/>
  <c r="D41" i="4" a="1"/>
  <c r="C39" i="4" a="1"/>
  <c r="B43" i="4" a="1"/>
  <c r="D13" i="4" a="1"/>
  <c r="C11" i="4" a="1"/>
  <c r="D12" i="4" a="1"/>
  <c r="C10" i="4" a="1"/>
  <c r="D6" i="4" a="1"/>
  <c r="D11" i="4" a="1"/>
  <c r="C9" i="4" a="1"/>
  <c r="C12" i="4" a="1"/>
  <c r="D10" i="4" a="1"/>
  <c r="C8" i="4" a="1"/>
  <c r="C7" i="4" a="1"/>
  <c r="D9" i="4" a="1"/>
  <c r="D8" i="4" a="1"/>
  <c r="C6" i="4" a="1"/>
  <c r="D7" i="4" a="1"/>
  <c r="C13" i="4" a="1"/>
  <c r="E11" i="26" a="1"/>
  <c r="E29" i="26" a="1"/>
  <c r="B6" i="25" a="1"/>
  <c r="I25" i="6"/>
  <c r="J22" i="6"/>
  <c r="D17" i="6"/>
  <c r="E11" i="6"/>
  <c r="F8" i="6"/>
  <c r="H25" i="6"/>
  <c r="I22" i="6"/>
  <c r="J13" i="6"/>
  <c r="D11" i="6"/>
  <c r="E8" i="6"/>
  <c r="C17" i="4"/>
  <c r="E22" i="26" a="1"/>
  <c r="G25" i="6"/>
  <c r="H22" i="6"/>
  <c r="I13" i="6"/>
  <c r="J10" i="6"/>
  <c r="D8" i="6"/>
  <c r="C16" i="4"/>
  <c r="B59" i="25" a="1"/>
  <c r="B36" i="25"/>
  <c r="E25" i="6"/>
  <c r="F22" i="6"/>
  <c r="G13" i="6"/>
  <c r="H10" i="6"/>
  <c r="I7" i="6"/>
  <c r="J24" i="6"/>
  <c r="D22" i="6"/>
  <c r="E13" i="6"/>
  <c r="F10" i="6"/>
  <c r="G7" i="6"/>
  <c r="G24" i="6"/>
  <c r="H18" i="6"/>
  <c r="I12" i="6"/>
  <c r="J9" i="6"/>
  <c r="D7" i="6"/>
  <c r="K7" i="9"/>
  <c r="F24" i="6"/>
  <c r="G18" i="6"/>
  <c r="H12" i="6"/>
  <c r="I9" i="6"/>
  <c r="E24" i="6"/>
  <c r="F18" i="6"/>
  <c r="G12" i="6"/>
  <c r="H9" i="6"/>
  <c r="E13" i="26" a="1"/>
  <c r="D24" i="6"/>
  <c r="E18" i="6"/>
  <c r="F12" i="6"/>
  <c r="G9" i="6"/>
  <c r="J23" i="6"/>
  <c r="D18" i="6"/>
  <c r="E12" i="6"/>
  <c r="F9" i="6"/>
  <c r="E12" i="26" a="1"/>
  <c r="H23" i="6"/>
  <c r="I17" i="6"/>
  <c r="J11" i="6"/>
  <c r="D9" i="6"/>
  <c r="E17" i="6"/>
  <c r="H7" i="6"/>
  <c r="H13" i="6"/>
  <c r="F7" i="6"/>
  <c r="J25" i="6"/>
  <c r="J8" i="6"/>
  <c r="F25" i="6"/>
  <c r="D13" i="6"/>
  <c r="G10" i="6"/>
  <c r="D25" i="6"/>
  <c r="J12" i="6"/>
  <c r="I11" i="6"/>
  <c r="D23" i="6"/>
  <c r="I24" i="6"/>
  <c r="D12" i="6"/>
  <c r="H24" i="6"/>
  <c r="C28" i="1" a="1"/>
  <c r="I23" i="6"/>
  <c r="H11" i="6"/>
  <c r="G11" i="6"/>
  <c r="G23" i="6"/>
  <c r="F23" i="6"/>
  <c r="F11" i="6"/>
  <c r="J17" i="6"/>
  <c r="E23" i="6"/>
  <c r="I10" i="6"/>
  <c r="I8" i="6"/>
  <c r="G22" i="6"/>
  <c r="E10" i="6"/>
  <c r="C19" i="4"/>
  <c r="E22" i="6"/>
  <c r="D10" i="6"/>
  <c r="J18" i="6"/>
  <c r="E9" i="6"/>
  <c r="C18" i="4"/>
  <c r="I18" i="6"/>
  <c r="H17" i="6"/>
  <c r="H8" i="6"/>
  <c r="K9" i="9"/>
  <c r="G17" i="6"/>
  <c r="G8" i="6"/>
  <c r="E7" i="6"/>
  <c r="F17" i="6"/>
  <c r="J7" i="6"/>
  <c r="F13" i="6"/>
  <c r="B43" i="4" l="1"/>
  <c r="C39" i="4"/>
  <c r="D41" i="4"/>
  <c r="B40" i="4"/>
  <c r="C46" i="4"/>
  <c r="C40" i="4"/>
  <c r="C42" i="4"/>
  <c r="C47" i="4"/>
  <c r="F43" i="4"/>
  <c r="B42" i="4"/>
  <c r="D40" i="4"/>
  <c r="D42" i="4"/>
  <c r="B39" i="4"/>
  <c r="D43" i="4"/>
  <c r="E39" i="4"/>
  <c r="C49" i="4"/>
  <c r="E40" i="4"/>
  <c r="E42" i="4"/>
  <c r="C41" i="4"/>
  <c r="E43" i="4"/>
  <c r="F39" i="4"/>
  <c r="E46" i="4"/>
  <c r="C43" i="4"/>
  <c r="E41" i="4"/>
  <c r="F41" i="4"/>
  <c r="F40" i="4"/>
  <c r="F42" i="4"/>
  <c r="B41" i="4"/>
  <c r="D39" i="4"/>
  <c r="F46" i="4"/>
  <c r="E17" i="4"/>
  <c r="E19" i="4"/>
  <c r="E18" i="4"/>
  <c r="E16" i="4"/>
  <c r="C13" i="4"/>
  <c r="D7" i="4"/>
  <c r="C6" i="4"/>
  <c r="D8" i="4"/>
  <c r="D9" i="4"/>
  <c r="C7" i="4"/>
  <c r="C8" i="4"/>
  <c r="D10" i="4"/>
  <c r="C12" i="4"/>
  <c r="C9" i="4"/>
  <c r="D11" i="4"/>
  <c r="D6" i="4"/>
  <c r="C10" i="4"/>
  <c r="D12" i="4"/>
  <c r="C11" i="4"/>
  <c r="D13" i="4"/>
  <c r="L12" i="13"/>
  <c r="R10" i="13"/>
  <c r="J12" i="13"/>
  <c r="P10" i="13"/>
  <c r="Q15" i="14"/>
  <c r="K16" i="14"/>
  <c r="K12" i="13"/>
  <c r="Q10" i="13"/>
  <c r="I17" i="15"/>
  <c r="O17" i="15" s="1"/>
  <c r="O14" i="15"/>
  <c r="N16" i="14"/>
  <c r="P15" i="14"/>
  <c r="J16" i="14"/>
  <c r="R12" i="15"/>
  <c r="L14" i="15"/>
  <c r="L16" i="14"/>
  <c r="Q9" i="14"/>
  <c r="O6" i="14"/>
  <c r="K12" i="15"/>
  <c r="O12" i="15"/>
  <c r="N10" i="13"/>
  <c r="R8" i="13"/>
  <c r="P5" i="13"/>
  <c r="L15" i="14"/>
  <c r="R15" i="14" s="1"/>
  <c r="P9" i="14"/>
  <c r="T5" i="14"/>
  <c r="J12" i="15"/>
  <c r="M12" i="15"/>
  <c r="M15" i="14"/>
  <c r="S15" i="14" s="1"/>
  <c r="M10" i="13"/>
  <c r="I15" i="14"/>
  <c r="O15" i="14" s="1"/>
  <c r="S5" i="14"/>
  <c r="Q7" i="13"/>
  <c r="T5" i="16"/>
  <c r="S5" i="16"/>
  <c r="R6" i="14"/>
  <c r="N12" i="15"/>
  <c r="I10" i="13"/>
  <c r="R5" i="16"/>
  <c r="N15" i="14"/>
  <c r="T15" i="14" s="1"/>
  <c r="Q5" i="16"/>
  <c r="P10" i="8"/>
  <c r="P16" i="7"/>
  <c r="P12" i="11"/>
  <c r="P16" i="12"/>
  <c r="P11" i="8"/>
  <c r="P14" i="9"/>
  <c r="P12" i="12"/>
  <c r="P8" i="9"/>
  <c r="P16" i="9"/>
  <c r="P17" i="8"/>
  <c r="P12" i="10"/>
  <c r="P10" i="9"/>
  <c r="P14" i="10"/>
  <c r="P8" i="11"/>
  <c r="P10" i="12"/>
  <c r="P8" i="12"/>
  <c r="K39" i="11"/>
  <c r="K112" i="11" s="1"/>
  <c r="K13" i="8"/>
  <c r="B24" i="8" s="1"/>
  <c r="J106" i="8"/>
  <c r="K26" i="8"/>
  <c r="J42" i="12"/>
  <c r="P10" i="7"/>
  <c r="P17" i="7"/>
  <c r="K33" i="7"/>
  <c r="K33" i="11"/>
  <c r="J100" i="7"/>
  <c r="J125" i="11"/>
  <c r="J40" i="7"/>
  <c r="J117" i="7" s="1"/>
  <c r="J118" i="7" s="1"/>
  <c r="J125" i="8"/>
  <c r="P17" i="12"/>
  <c r="O8" i="10"/>
  <c r="P8" i="10" s="1"/>
  <c r="N13" i="11"/>
  <c r="N15" i="11" s="1"/>
  <c r="N18" i="11" s="1"/>
  <c r="J120" i="9"/>
  <c r="J42" i="7"/>
  <c r="J125" i="10"/>
  <c r="J120" i="10"/>
  <c r="K24" i="11"/>
  <c r="K23" i="9"/>
  <c r="K120" i="9" s="1"/>
  <c r="K33" i="8"/>
  <c r="K101" i="8" s="1"/>
  <c r="K120" i="7"/>
  <c r="K13" i="11"/>
  <c r="B24" i="11" s="1"/>
  <c r="J106" i="11"/>
  <c r="K31" i="7"/>
  <c r="K100" i="7" s="1"/>
  <c r="J120" i="8"/>
  <c r="J125" i="7"/>
  <c r="J101" i="7"/>
  <c r="P16" i="8"/>
  <c r="K30" i="8"/>
  <c r="J39" i="10"/>
  <c r="J112" i="10" s="1"/>
  <c r="J40" i="11"/>
  <c r="J117" i="11" s="1"/>
  <c r="J118" i="11" s="1"/>
  <c r="P11" i="12"/>
  <c r="J25" i="10"/>
  <c r="K100" i="8"/>
  <c r="P14" i="11"/>
  <c r="K40" i="11"/>
  <c r="K117" i="11" s="1"/>
  <c r="K118" i="11" s="1"/>
  <c r="N13" i="12"/>
  <c r="N15" i="12" s="1"/>
  <c r="N18" i="12" s="1"/>
  <c r="K100" i="12"/>
  <c r="J100" i="9"/>
  <c r="J40" i="9"/>
  <c r="J117" i="9" s="1"/>
  <c r="J118" i="9" s="1"/>
  <c r="N13" i="7"/>
  <c r="N15" i="7" s="1"/>
  <c r="N18" i="7" s="1"/>
  <c r="P11" i="9"/>
  <c r="K39" i="9" s="1"/>
  <c r="K112" i="9" s="1"/>
  <c r="J43" i="9"/>
  <c r="J70" i="9" s="1"/>
  <c r="J71" i="9" s="1"/>
  <c r="K26" i="7"/>
  <c r="O9" i="9"/>
  <c r="P9" i="9" s="1"/>
  <c r="C28" i="1"/>
  <c r="E12" i="26"/>
  <c r="E43" i="26" s="1"/>
  <c r="E13" i="26"/>
  <c r="E44" i="26" s="1"/>
  <c r="O7" i="9"/>
  <c r="P7" i="9" s="1"/>
  <c r="B37" i="25"/>
  <c r="B59" i="25"/>
  <c r="E22" i="26"/>
  <c r="E64" i="26" s="1"/>
  <c r="B6" i="25"/>
  <c r="F6" i="25" s="1"/>
  <c r="E29" i="26"/>
  <c r="E46" i="26" s="1"/>
  <c r="E11" i="26"/>
  <c r="E58" i="26" s="1"/>
  <c r="K101" i="12"/>
  <c r="K106" i="12"/>
  <c r="P6" i="7"/>
  <c r="J42" i="11"/>
  <c r="J39" i="11"/>
  <c r="J112" i="11" s="1"/>
  <c r="J76" i="11"/>
  <c r="E10" i="13"/>
  <c r="E12" i="13" s="1"/>
  <c r="E15" i="13" s="1"/>
  <c r="K25" i="10"/>
  <c r="K120" i="10"/>
  <c r="K45" i="9"/>
  <c r="D13" i="5"/>
  <c r="C14" i="15"/>
  <c r="C17" i="15" s="1"/>
  <c r="K13" i="7"/>
  <c r="K100" i="11"/>
  <c r="E7" i="16"/>
  <c r="J101" i="12"/>
  <c r="J106" i="12"/>
  <c r="O8" i="7"/>
  <c r="P8" i="7" s="1"/>
  <c r="J39" i="7"/>
  <c r="J112" i="7" s="1"/>
  <c r="J25" i="7"/>
  <c r="K24" i="7"/>
  <c r="K25" i="7" s="1"/>
  <c r="H16" i="14"/>
  <c r="H18" i="14" s="1"/>
  <c r="H21" i="14" s="1"/>
  <c r="G7" i="16"/>
  <c r="J125" i="9"/>
  <c r="K23" i="12"/>
  <c r="J25" i="12"/>
  <c r="N13" i="9"/>
  <c r="N15" i="9" s="1"/>
  <c r="N18" i="9" s="1"/>
  <c r="K31" i="9"/>
  <c r="E13" i="5"/>
  <c r="E15" i="5" s="1"/>
  <c r="E18" i="5" s="1"/>
  <c r="P14" i="7"/>
  <c r="N13" i="8"/>
  <c r="N15" i="8" s="1"/>
  <c r="N18" i="8" s="1"/>
  <c r="N13" i="10"/>
  <c r="N15" i="10" s="1"/>
  <c r="N18" i="10" s="1"/>
  <c r="K25" i="11"/>
  <c r="J125" i="12"/>
  <c r="O6" i="9"/>
  <c r="J76" i="9"/>
  <c r="P6" i="8"/>
  <c r="O13" i="8"/>
  <c r="J100" i="11"/>
  <c r="J43" i="12"/>
  <c r="J70" i="12" s="1"/>
  <c r="J71" i="12" s="1"/>
  <c r="J40" i="12"/>
  <c r="J117" i="12" s="1"/>
  <c r="J118" i="12" s="1"/>
  <c r="K26" i="10"/>
  <c r="J43" i="10"/>
  <c r="J70" i="10" s="1"/>
  <c r="J71" i="10" s="1"/>
  <c r="J42" i="10"/>
  <c r="J40" i="10"/>
  <c r="J117" i="10" s="1"/>
  <c r="J118" i="10" s="1"/>
  <c r="J72" i="9"/>
  <c r="J83" i="9"/>
  <c r="K13" i="12"/>
  <c r="K26" i="12"/>
  <c r="C15" i="14"/>
  <c r="C16" i="14" s="1"/>
  <c r="C18" i="14" s="1"/>
  <c r="C21" i="14" s="1"/>
  <c r="K43" i="7"/>
  <c r="K70" i="7" s="1"/>
  <c r="K71" i="7" s="1"/>
  <c r="K42" i="7"/>
  <c r="K40" i="7"/>
  <c r="K117" i="7" s="1"/>
  <c r="K118" i="7" s="1"/>
  <c r="K45" i="7"/>
  <c r="J72" i="11"/>
  <c r="J83" i="11"/>
  <c r="J39" i="9"/>
  <c r="J112" i="9" s="1"/>
  <c r="J25" i="8"/>
  <c r="J39" i="8"/>
  <c r="J112" i="8" s="1"/>
  <c r="K25" i="8"/>
  <c r="K120" i="8"/>
  <c r="K43" i="11"/>
  <c r="K70" i="11" s="1"/>
  <c r="K71" i="11" s="1"/>
  <c r="K42" i="11"/>
  <c r="O8" i="8"/>
  <c r="P8" i="8" s="1"/>
  <c r="K39" i="8" s="1"/>
  <c r="K112" i="8" s="1"/>
  <c r="C12" i="13"/>
  <c r="C15" i="13" s="1"/>
  <c r="K13" i="9"/>
  <c r="K33" i="10"/>
  <c r="J101" i="10"/>
  <c r="K106" i="8"/>
  <c r="K15" i="10"/>
  <c r="K120" i="11"/>
  <c r="K42" i="8"/>
  <c r="O11" i="10"/>
  <c r="P11" i="10" s="1"/>
  <c r="P13" i="10" s="1"/>
  <c r="J39" i="12"/>
  <c r="J112" i="12" s="1"/>
  <c r="K26" i="9"/>
  <c r="O6" i="11"/>
  <c r="K15" i="11"/>
  <c r="J100" i="12"/>
  <c r="J100" i="10"/>
  <c r="O6" i="12"/>
  <c r="B8" i="25" a="1"/>
  <c r="E21" i="26" a="1"/>
  <c r="E8" i="26" a="1"/>
  <c r="E9" i="26" a="1"/>
  <c r="E10" i="26" a="1"/>
  <c r="E15" i="26" a="1"/>
  <c r="C36" i="25"/>
  <c r="B7" i="25" a="1"/>
  <c r="C48" i="4" l="1"/>
  <c r="I16" i="14"/>
  <c r="I12" i="13"/>
  <c r="O10" i="13"/>
  <c r="M14" i="15"/>
  <c r="S12" i="15"/>
  <c r="P12" i="15"/>
  <c r="J14" i="15"/>
  <c r="M16" i="14"/>
  <c r="K15" i="13"/>
  <c r="Q15" i="13" s="1"/>
  <c r="Q12" i="13"/>
  <c r="T12" i="15"/>
  <c r="N14" i="15"/>
  <c r="P16" i="14"/>
  <c r="J18" i="14"/>
  <c r="T16" i="14"/>
  <c r="N18" i="14"/>
  <c r="K18" i="14"/>
  <c r="Q16" i="14"/>
  <c r="R14" i="15"/>
  <c r="L17" i="15"/>
  <c r="R17" i="15" s="1"/>
  <c r="I18" i="14"/>
  <c r="O16" i="14"/>
  <c r="M12" i="13"/>
  <c r="S10" i="13"/>
  <c r="L18" i="14"/>
  <c r="R16" i="14"/>
  <c r="N12" i="13"/>
  <c r="T10" i="13"/>
  <c r="P12" i="13"/>
  <c r="J15" i="13"/>
  <c r="P15" i="13" s="1"/>
  <c r="K14" i="15"/>
  <c r="Q12" i="15"/>
  <c r="L15" i="13"/>
  <c r="R15" i="13" s="1"/>
  <c r="R12" i="13"/>
  <c r="P13" i="8"/>
  <c r="K39" i="7"/>
  <c r="K112" i="7" s="1"/>
  <c r="K15" i="8"/>
  <c r="K39" i="12"/>
  <c r="K112" i="12" s="1"/>
  <c r="K39" i="10"/>
  <c r="K112" i="10" s="1"/>
  <c r="K101" i="11"/>
  <c r="K106" i="11"/>
  <c r="O13" i="10"/>
  <c r="J72" i="10"/>
  <c r="J73" i="10" s="1"/>
  <c r="J83" i="10"/>
  <c r="K106" i="7"/>
  <c r="K101" i="7"/>
  <c r="K43" i="8"/>
  <c r="K70" i="8" s="1"/>
  <c r="K71" i="8" s="1"/>
  <c r="K76" i="8" s="1"/>
  <c r="K40" i="8"/>
  <c r="K117" i="8" s="1"/>
  <c r="K118" i="8" s="1"/>
  <c r="J77" i="10"/>
  <c r="K25" i="9"/>
  <c r="E8" i="4"/>
  <c r="E11" i="4"/>
  <c r="B7" i="25"/>
  <c r="C37" i="25"/>
  <c r="C41" i="25" s="1"/>
  <c r="D36" i="25"/>
  <c r="E15" i="26"/>
  <c r="E60" i="26" s="1"/>
  <c r="E10" i="26"/>
  <c r="E42" i="26" s="1"/>
  <c r="E9" i="26"/>
  <c r="E41" i="26" s="1"/>
  <c r="E8" i="26"/>
  <c r="E57" i="26" s="1"/>
  <c r="E21" i="26"/>
  <c r="E45" i="26" s="1"/>
  <c r="B8" i="25"/>
  <c r="J38" i="8"/>
  <c r="J110" i="8" s="1"/>
  <c r="J113" i="8" s="1"/>
  <c r="J114" i="8" s="1"/>
  <c r="K18" i="8"/>
  <c r="J41" i="8"/>
  <c r="O13" i="7"/>
  <c r="K101" i="10"/>
  <c r="K106" i="10"/>
  <c r="C24" i="10"/>
  <c r="O15" i="10"/>
  <c r="O18" i="10" s="1"/>
  <c r="C25" i="10" s="1"/>
  <c r="K72" i="11"/>
  <c r="K83" i="11"/>
  <c r="B60" i="25"/>
  <c r="D59" i="25"/>
  <c r="O13" i="12"/>
  <c r="P6" i="12"/>
  <c r="P13" i="12" s="1"/>
  <c r="J38" i="11"/>
  <c r="J110" i="11" s="1"/>
  <c r="J113" i="11" s="1"/>
  <c r="J114" i="11" s="1"/>
  <c r="K18" i="11"/>
  <c r="J41" i="11"/>
  <c r="K43" i="12"/>
  <c r="K70" i="12" s="1"/>
  <c r="K71" i="12" s="1"/>
  <c r="K42" i="12"/>
  <c r="K40" i="12"/>
  <c r="K117" i="12" s="1"/>
  <c r="K118" i="12" s="1"/>
  <c r="K76" i="11"/>
  <c r="E10" i="4"/>
  <c r="K76" i="7"/>
  <c r="J77" i="9"/>
  <c r="J73" i="9"/>
  <c r="J74" i="9" s="1"/>
  <c r="J75" i="9" s="1"/>
  <c r="K83" i="8"/>
  <c r="K72" i="8"/>
  <c r="K100" i="9"/>
  <c r="B24" i="7"/>
  <c r="K15" i="7"/>
  <c r="E13" i="4"/>
  <c r="B24" i="12"/>
  <c r="K15" i="12"/>
  <c r="K42" i="9"/>
  <c r="K43" i="9"/>
  <c r="K70" i="9" s="1"/>
  <c r="K71" i="9" s="1"/>
  <c r="K40" i="9"/>
  <c r="D24" i="10"/>
  <c r="E24" i="10" s="1"/>
  <c r="P15" i="10"/>
  <c r="K125" i="10"/>
  <c r="K83" i="7"/>
  <c r="K72" i="7"/>
  <c r="J86" i="9"/>
  <c r="J84" i="9"/>
  <c r="J85" i="9"/>
  <c r="J89" i="9" s="1"/>
  <c r="J72" i="8"/>
  <c r="J83" i="8"/>
  <c r="K43" i="10"/>
  <c r="K70" i="10" s="1"/>
  <c r="K71" i="10" s="1"/>
  <c r="K42" i="10"/>
  <c r="K40" i="10"/>
  <c r="K117" i="10" s="1"/>
  <c r="K118" i="10" s="1"/>
  <c r="J83" i="12"/>
  <c r="J72" i="12"/>
  <c r="E9" i="4"/>
  <c r="C24" i="8"/>
  <c r="O15" i="8"/>
  <c r="O18" i="8" s="1"/>
  <c r="D24" i="8"/>
  <c r="E24" i="8" s="1"/>
  <c r="P15" i="8"/>
  <c r="K125" i="8"/>
  <c r="P6" i="11"/>
  <c r="P13" i="11" s="1"/>
  <c r="O13" i="11"/>
  <c r="J76" i="10"/>
  <c r="J74" i="10"/>
  <c r="J75" i="10" s="1"/>
  <c r="K18" i="10"/>
  <c r="J38" i="10"/>
  <c r="J110" i="10" s="1"/>
  <c r="J113" i="10" s="1"/>
  <c r="J114" i="10" s="1"/>
  <c r="J41" i="10"/>
  <c r="K25" i="12"/>
  <c r="K120" i="12"/>
  <c r="F13" i="5"/>
  <c r="G13" i="5" s="1"/>
  <c r="D15" i="5"/>
  <c r="K15" i="9"/>
  <c r="B24" i="9"/>
  <c r="J72" i="7"/>
  <c r="J83" i="7"/>
  <c r="B40" i="25"/>
  <c r="J85" i="11"/>
  <c r="J89" i="11" s="1"/>
  <c r="J84" i="11"/>
  <c r="J86" i="11"/>
  <c r="J76" i="12"/>
  <c r="E12" i="4"/>
  <c r="J73" i="11"/>
  <c r="J74" i="11" s="1"/>
  <c r="J75" i="11" s="1"/>
  <c r="J77" i="11"/>
  <c r="K72" i="10"/>
  <c r="K83" i="10"/>
  <c r="O13" i="9"/>
  <c r="P6" i="9"/>
  <c r="P13" i="7"/>
  <c r="E6" i="26" a="1"/>
  <c r="B9" i="25" a="1"/>
  <c r="T18" i="14" l="1"/>
  <c r="N21" i="14"/>
  <c r="T21" i="14" s="1"/>
  <c r="T14" i="15"/>
  <c r="N17" i="15"/>
  <c r="T17" i="15" s="1"/>
  <c r="S14" i="15"/>
  <c r="M17" i="15"/>
  <c r="S17" i="15" s="1"/>
  <c r="K21" i="14"/>
  <c r="Q21" i="14" s="1"/>
  <c r="Q18" i="14"/>
  <c r="P18" i="14"/>
  <c r="J21" i="14"/>
  <c r="P21" i="14" s="1"/>
  <c r="S16" i="14"/>
  <c r="M18" i="14"/>
  <c r="J17" i="15"/>
  <c r="P17" i="15" s="1"/>
  <c r="P14" i="15"/>
  <c r="M15" i="13"/>
  <c r="S15" i="13" s="1"/>
  <c r="S12" i="13"/>
  <c r="O18" i="14"/>
  <c r="I21" i="14"/>
  <c r="O21" i="14" s="1"/>
  <c r="Q14" i="15"/>
  <c r="K17" i="15"/>
  <c r="Q17" i="15" s="1"/>
  <c r="N15" i="13"/>
  <c r="T15" i="13" s="1"/>
  <c r="T12" i="13"/>
  <c r="L21" i="14"/>
  <c r="R21" i="14" s="1"/>
  <c r="R18" i="14"/>
  <c r="O12" i="13"/>
  <c r="I15" i="13"/>
  <c r="O15" i="13" s="1"/>
  <c r="D37" i="25"/>
  <c r="F39" i="25" s="1"/>
  <c r="J84" i="10"/>
  <c r="J86" i="10"/>
  <c r="J85" i="10"/>
  <c r="J89" i="10" s="1"/>
  <c r="K72" i="9"/>
  <c r="K83" i="9"/>
  <c r="B9" i="25"/>
  <c r="E6" i="26"/>
  <c r="E40" i="26" s="1"/>
  <c r="E7" i="4"/>
  <c r="J130" i="8"/>
  <c r="J130" i="11"/>
  <c r="O15" i="9"/>
  <c r="C24" i="9"/>
  <c r="J88" i="11"/>
  <c r="J87" i="11"/>
  <c r="C24" i="11"/>
  <c r="O15" i="11"/>
  <c r="O18" i="11" s="1"/>
  <c r="C25" i="11" s="1"/>
  <c r="K73" i="7"/>
  <c r="K74" i="7" s="1"/>
  <c r="K75" i="7" s="1"/>
  <c r="K77" i="7"/>
  <c r="L89" i="11"/>
  <c r="D24" i="11"/>
  <c r="E24" i="11" s="1"/>
  <c r="P15" i="11"/>
  <c r="K125" i="11"/>
  <c r="K84" i="7"/>
  <c r="K85" i="7"/>
  <c r="K89" i="7" s="1"/>
  <c r="K86" i="7"/>
  <c r="D24" i="7"/>
  <c r="E24" i="7" s="1"/>
  <c r="P15" i="7"/>
  <c r="K125" i="7"/>
  <c r="K41" i="10"/>
  <c r="K38" i="10"/>
  <c r="K110" i="10" s="1"/>
  <c r="K113" i="10" s="1"/>
  <c r="K114" i="10" s="1"/>
  <c r="K130" i="10" s="1"/>
  <c r="P18" i="10"/>
  <c r="C24" i="7"/>
  <c r="O15" i="7"/>
  <c r="O18" i="7" s="1"/>
  <c r="C25" i="7" s="1"/>
  <c r="K38" i="8"/>
  <c r="K110" i="8" s="1"/>
  <c r="K113" i="8" s="1"/>
  <c r="K114" i="8" s="1"/>
  <c r="K130" i="8" s="1"/>
  <c r="P18" i="8"/>
  <c r="K41" i="8"/>
  <c r="J86" i="7"/>
  <c r="J84" i="7"/>
  <c r="J85" i="7"/>
  <c r="J89" i="7" s="1"/>
  <c r="L89" i="7" s="1"/>
  <c r="J73" i="7"/>
  <c r="J74" i="7" s="1"/>
  <c r="J75" i="7" s="1"/>
  <c r="J77" i="7"/>
  <c r="C25" i="8"/>
  <c r="K117" i="9"/>
  <c r="K118" i="9" s="1"/>
  <c r="K76" i="9"/>
  <c r="J119" i="8"/>
  <c r="J122" i="8" s="1"/>
  <c r="J131" i="8" s="1"/>
  <c r="J121" i="8"/>
  <c r="J37" i="8"/>
  <c r="J94" i="8" s="1"/>
  <c r="J95" i="8" s="1"/>
  <c r="B25" i="8"/>
  <c r="J37" i="10"/>
  <c r="J94" i="10" s="1"/>
  <c r="J95" i="10" s="1"/>
  <c r="B25" i="10"/>
  <c r="K18" i="12"/>
  <c r="J41" i="12"/>
  <c r="J38" i="12"/>
  <c r="J110" i="12" s="1"/>
  <c r="J113" i="12" s="1"/>
  <c r="J114" i="12" s="1"/>
  <c r="K76" i="12"/>
  <c r="J77" i="12"/>
  <c r="J73" i="12"/>
  <c r="J74" i="12" s="1"/>
  <c r="J75" i="12" s="1"/>
  <c r="K85" i="11"/>
  <c r="K89" i="11" s="1"/>
  <c r="K84" i="11"/>
  <c r="K86" i="11"/>
  <c r="J41" i="9"/>
  <c r="K18" i="9"/>
  <c r="J38" i="9"/>
  <c r="J110" i="9" s="1"/>
  <c r="J113" i="9" s="1"/>
  <c r="J114" i="9" s="1"/>
  <c r="F15" i="5"/>
  <c r="G15" i="5" s="1"/>
  <c r="D18" i="5"/>
  <c r="F18" i="5" s="1"/>
  <c r="G18" i="5" s="1"/>
  <c r="J86" i="12"/>
  <c r="J84" i="12"/>
  <c r="J85" i="12"/>
  <c r="J89" i="12" s="1"/>
  <c r="J121" i="11"/>
  <c r="J119" i="11"/>
  <c r="J122" i="11" s="1"/>
  <c r="J131" i="11" s="1"/>
  <c r="J80" i="11"/>
  <c r="J78" i="11"/>
  <c r="E21" i="5"/>
  <c r="C21" i="5"/>
  <c r="C22" i="5" s="1"/>
  <c r="J37" i="11"/>
  <c r="J94" i="11" s="1"/>
  <c r="J95" i="11" s="1"/>
  <c r="B25" i="11"/>
  <c r="J38" i="7"/>
  <c r="J110" i="7" s="1"/>
  <c r="J113" i="7" s="1"/>
  <c r="J114" i="7" s="1"/>
  <c r="K18" i="7"/>
  <c r="J41" i="7"/>
  <c r="P13" i="9"/>
  <c r="K76" i="10"/>
  <c r="P15" i="12"/>
  <c r="D24" i="12"/>
  <c r="E24" i="12" s="1"/>
  <c r="K125" i="12"/>
  <c r="K85" i="10"/>
  <c r="K89" i="10" s="1"/>
  <c r="L89" i="10" s="1"/>
  <c r="K84" i="10"/>
  <c r="K86" i="10"/>
  <c r="K77" i="10"/>
  <c r="K73" i="10"/>
  <c r="K74" i="10" s="1"/>
  <c r="K75" i="10" s="1"/>
  <c r="K72" i="12"/>
  <c r="K83" i="12"/>
  <c r="J84" i="8"/>
  <c r="J85" i="8"/>
  <c r="J89" i="8" s="1"/>
  <c r="J86" i="8"/>
  <c r="C24" i="12"/>
  <c r="O15" i="12"/>
  <c r="O18" i="12" s="1"/>
  <c r="C25" i="12" s="1"/>
  <c r="J121" i="10"/>
  <c r="J119" i="10"/>
  <c r="J122" i="10" s="1"/>
  <c r="J131" i="10" s="1"/>
  <c r="J77" i="8"/>
  <c r="J73" i="8"/>
  <c r="J74" i="8" s="1"/>
  <c r="J75" i="8" s="1"/>
  <c r="K77" i="8"/>
  <c r="K73" i="8"/>
  <c r="K74" i="8" s="1"/>
  <c r="K75" i="8" s="1"/>
  <c r="J130" i="10"/>
  <c r="K84" i="8"/>
  <c r="K85" i="8"/>
  <c r="K89" i="8" s="1"/>
  <c r="K86" i="8"/>
  <c r="F63" i="25"/>
  <c r="F65" i="25" s="1"/>
  <c r="D60" i="25"/>
  <c r="J80" i="10"/>
  <c r="J78" i="10"/>
  <c r="J87" i="9"/>
  <c r="J88" i="9"/>
  <c r="J80" i="9"/>
  <c r="J78" i="9"/>
  <c r="K77" i="11"/>
  <c r="K73" i="11"/>
  <c r="K74" i="11" s="1"/>
  <c r="K75" i="11" s="1"/>
  <c r="F7" i="25"/>
  <c r="B12" i="25" s="1"/>
  <c r="F8" i="25"/>
  <c r="B13" i="25" s="1"/>
  <c r="C24" i="1" a="1"/>
  <c r="E7" i="26" a="1"/>
  <c r="D61" i="25" a="1"/>
  <c r="M21" i="14" l="1"/>
  <c r="S21" i="14" s="1"/>
  <c r="S18" i="14"/>
  <c r="L130" i="10"/>
  <c r="L114" i="10"/>
  <c r="K86" i="9"/>
  <c r="K84" i="9"/>
  <c r="K85" i="9"/>
  <c r="K89" i="9" s="1"/>
  <c r="L89" i="9" s="1"/>
  <c r="K77" i="9"/>
  <c r="K73" i="9"/>
  <c r="K74" i="9" s="1"/>
  <c r="K75" i="9" s="1"/>
  <c r="K80" i="9" s="1"/>
  <c r="K128" i="9" s="1"/>
  <c r="J88" i="10"/>
  <c r="J87" i="10"/>
  <c r="D61" i="25"/>
  <c r="E62" i="25" s="1"/>
  <c r="E7" i="26"/>
  <c r="E56" i="26" s="1"/>
  <c r="C24" i="1"/>
  <c r="E6" i="4"/>
  <c r="K80" i="10"/>
  <c r="K128" i="10" s="1"/>
  <c r="K78" i="10"/>
  <c r="J78" i="12"/>
  <c r="J80" i="12"/>
  <c r="K88" i="7"/>
  <c r="K87" i="7"/>
  <c r="K77" i="12"/>
  <c r="K73" i="12"/>
  <c r="K74" i="12" s="1"/>
  <c r="K75" i="12" s="1"/>
  <c r="J80" i="7"/>
  <c r="J78" i="7"/>
  <c r="K38" i="11"/>
  <c r="K110" i="11" s="1"/>
  <c r="K113" i="11" s="1"/>
  <c r="K114" i="11" s="1"/>
  <c r="P18" i="11"/>
  <c r="K41" i="11"/>
  <c r="J128" i="11"/>
  <c r="J130" i="12"/>
  <c r="J88" i="7"/>
  <c r="J87" i="7"/>
  <c r="K78" i="7"/>
  <c r="K80" i="7"/>
  <c r="K128" i="7" s="1"/>
  <c r="K80" i="8"/>
  <c r="K128" i="8" s="1"/>
  <c r="K78" i="8"/>
  <c r="K121" i="8"/>
  <c r="K119" i="8"/>
  <c r="K122" i="8"/>
  <c r="J88" i="12"/>
  <c r="J87" i="12"/>
  <c r="J96" i="10" a="1"/>
  <c r="J96" i="10" s="1"/>
  <c r="J97" i="10" s="1"/>
  <c r="J102" i="10"/>
  <c r="K37" i="8"/>
  <c r="K94" i="8" s="1"/>
  <c r="K95" i="8" s="1"/>
  <c r="D25" i="8"/>
  <c r="E25" i="8"/>
  <c r="J91" i="11"/>
  <c r="K41" i="12"/>
  <c r="K38" i="12"/>
  <c r="K110" i="12" s="1"/>
  <c r="K113" i="12" s="1"/>
  <c r="K114" i="12" s="1"/>
  <c r="K130" i="12" s="1"/>
  <c r="P18" i="12"/>
  <c r="J102" i="8"/>
  <c r="J96" i="8" a="1"/>
  <c r="J96" i="8" s="1"/>
  <c r="J97" i="8" s="1"/>
  <c r="K88" i="10"/>
  <c r="L88" i="10" s="1"/>
  <c r="K87" i="10"/>
  <c r="B25" i="12"/>
  <c r="J37" i="12"/>
  <c r="J94" i="12" s="1"/>
  <c r="J95" i="12" s="1"/>
  <c r="J130" i="9"/>
  <c r="D25" i="10"/>
  <c r="E25" i="10" s="1"/>
  <c r="K37" i="10"/>
  <c r="K94" i="10" s="1"/>
  <c r="K95" i="10" s="1"/>
  <c r="O18" i="9"/>
  <c r="K78" i="11"/>
  <c r="K80" i="11"/>
  <c r="K128" i="11" s="1"/>
  <c r="J37" i="9"/>
  <c r="J94" i="9" s="1"/>
  <c r="J95" i="9" s="1"/>
  <c r="B25" i="9"/>
  <c r="J128" i="9"/>
  <c r="D24" i="9"/>
  <c r="E24" i="9" s="1"/>
  <c r="P15" i="9"/>
  <c r="K125" i="9"/>
  <c r="J119" i="9"/>
  <c r="J121" i="9"/>
  <c r="J122" i="9"/>
  <c r="J131" i="9" s="1"/>
  <c r="K121" i="10"/>
  <c r="K119" i="10"/>
  <c r="K122" i="10"/>
  <c r="K88" i="8"/>
  <c r="K87" i="8"/>
  <c r="J121" i="12"/>
  <c r="J119" i="12"/>
  <c r="J122" i="12"/>
  <c r="J131" i="12" s="1"/>
  <c r="J121" i="7"/>
  <c r="J119" i="7"/>
  <c r="J122" i="7" s="1"/>
  <c r="J131" i="7" s="1"/>
  <c r="J37" i="7"/>
  <c r="J94" i="7" s="1"/>
  <c r="J95" i="7" s="1"/>
  <c r="B25" i="7"/>
  <c r="K87" i="11"/>
  <c r="K88" i="11"/>
  <c r="L88" i="11" s="1"/>
  <c r="K41" i="7"/>
  <c r="K38" i="7"/>
  <c r="K110" i="7" s="1"/>
  <c r="K113" i="7" s="1"/>
  <c r="K114" i="7" s="1"/>
  <c r="K130" i="7" s="1"/>
  <c r="P18" i="7"/>
  <c r="L114" i="8"/>
  <c r="J80" i="8"/>
  <c r="J78" i="8"/>
  <c r="L89" i="8"/>
  <c r="J130" i="7"/>
  <c r="J88" i="8"/>
  <c r="J87" i="8"/>
  <c r="L130" i="8"/>
  <c r="J91" i="9"/>
  <c r="J128" i="10"/>
  <c r="L128" i="10" s="1"/>
  <c r="L80" i="10"/>
  <c r="B66" i="25"/>
  <c r="K86" i="12"/>
  <c r="K85" i="12"/>
  <c r="K89" i="12" s="1"/>
  <c r="L89" i="12" s="1"/>
  <c r="K84" i="12"/>
  <c r="J96" i="11" a="1"/>
  <c r="J96" i="11" s="1"/>
  <c r="J97" i="11" s="1"/>
  <c r="J102" i="11"/>
  <c r="C25" i="1" a="1"/>
  <c r="D48" i="25" a="1"/>
  <c r="E5" i="26" a="1"/>
  <c r="C26" i="1" a="1"/>
  <c r="K78" i="9" l="1"/>
  <c r="L130" i="7"/>
  <c r="L128" i="11"/>
  <c r="J91" i="10"/>
  <c r="J129" i="10" s="1"/>
  <c r="K87" i="9"/>
  <c r="K88" i="9"/>
  <c r="L88" i="9" s="1"/>
  <c r="C26" i="1"/>
  <c r="E5" i="26"/>
  <c r="E55" i="26" s="1"/>
  <c r="D48" i="25"/>
  <c r="F50" i="25" s="1"/>
  <c r="C25" i="1"/>
  <c r="K96" i="8" a="1"/>
  <c r="K96" i="8" s="1"/>
  <c r="K97" i="8" s="1"/>
  <c r="K126" i="8" s="1"/>
  <c r="K102" i="8"/>
  <c r="K91" i="8"/>
  <c r="K129" i="8" s="1"/>
  <c r="K96" i="10" a="1"/>
  <c r="K96" i="10" s="1"/>
  <c r="K97" i="10" s="1"/>
  <c r="K126" i="10" s="1"/>
  <c r="K102" i="10"/>
  <c r="J103" i="10" a="1"/>
  <c r="J103" i="10" s="1"/>
  <c r="J104" i="10" a="1"/>
  <c r="J104" i="10" s="1"/>
  <c r="K121" i="11"/>
  <c r="K119" i="11"/>
  <c r="K122" i="11"/>
  <c r="J126" i="10"/>
  <c r="D25" i="11"/>
  <c r="E25" i="11" s="1"/>
  <c r="K37" i="11"/>
  <c r="K94" i="11" s="1"/>
  <c r="K95" i="11" s="1"/>
  <c r="J91" i="12"/>
  <c r="K130" i="11"/>
  <c r="L130" i="11" s="1"/>
  <c r="L114" i="11"/>
  <c r="K131" i="10"/>
  <c r="L131" i="10" s="1"/>
  <c r="L122" i="10"/>
  <c r="J102" i="12"/>
  <c r="J96" i="12" a="1"/>
  <c r="J96" i="12" s="1"/>
  <c r="J97" i="12" s="1"/>
  <c r="L122" i="8"/>
  <c r="K131" i="8"/>
  <c r="L131" i="8" s="1"/>
  <c r="K37" i="7"/>
  <c r="K94" i="7" s="1"/>
  <c r="K95" i="7" s="1"/>
  <c r="D25" i="7"/>
  <c r="E25" i="7" s="1"/>
  <c r="K91" i="10"/>
  <c r="L87" i="10"/>
  <c r="L80" i="7"/>
  <c r="J128" i="7"/>
  <c r="L128" i="7" s="1"/>
  <c r="C25" i="9"/>
  <c r="J104" i="11" a="1"/>
  <c r="J104" i="11" s="1"/>
  <c r="J103" i="11" a="1"/>
  <c r="J103" i="11" s="1"/>
  <c r="L80" i="8"/>
  <c r="J128" i="8"/>
  <c r="L128" i="8" s="1"/>
  <c r="K80" i="12"/>
  <c r="K128" i="12" s="1"/>
  <c r="K78" i="12"/>
  <c r="K41" i="9"/>
  <c r="P18" i="9"/>
  <c r="K38" i="9"/>
  <c r="J126" i="8"/>
  <c r="K91" i="7"/>
  <c r="K129" i="7" s="1"/>
  <c r="K37" i="12"/>
  <c r="K94" i="12" s="1"/>
  <c r="K95" i="12" s="1"/>
  <c r="D25" i="12"/>
  <c r="E25" i="12" s="1"/>
  <c r="J128" i="12"/>
  <c r="L128" i="9"/>
  <c r="L87" i="7"/>
  <c r="J91" i="7"/>
  <c r="K121" i="12"/>
  <c r="K119" i="12"/>
  <c r="K122" i="12" s="1"/>
  <c r="L88" i="7"/>
  <c r="K121" i="7"/>
  <c r="K119" i="7"/>
  <c r="K122" i="7" s="1"/>
  <c r="K91" i="11"/>
  <c r="K129" i="11" s="1"/>
  <c r="L87" i="11"/>
  <c r="L114" i="12"/>
  <c r="J126" i="11"/>
  <c r="J104" i="8" a="1"/>
  <c r="J104" i="8" s="1"/>
  <c r="J103" i="8" a="1"/>
  <c r="J103" i="8" s="1"/>
  <c r="J96" i="7" a="1"/>
  <c r="J96" i="7" s="1"/>
  <c r="J97" i="7" s="1"/>
  <c r="J102" i="7"/>
  <c r="J91" i="8"/>
  <c r="L87" i="8"/>
  <c r="J96" i="9" a="1"/>
  <c r="J96" i="9" s="1"/>
  <c r="J97" i="9" s="1"/>
  <c r="J102" i="9"/>
  <c r="L91" i="11"/>
  <c r="J129" i="11"/>
  <c r="L130" i="12"/>
  <c r="K88" i="12"/>
  <c r="L88" i="12" s="1"/>
  <c r="K87" i="12"/>
  <c r="K91" i="12" s="1"/>
  <c r="K129" i="12" s="1"/>
  <c r="L80" i="9"/>
  <c r="J129" i="9"/>
  <c r="L88" i="8"/>
  <c r="L114" i="7"/>
  <c r="L80" i="11"/>
  <c r="E23" i="26" a="1"/>
  <c r="C27" i="1" a="1"/>
  <c r="J105" i="11" l="1"/>
  <c r="J107" i="11" s="1"/>
  <c r="L87" i="9"/>
  <c r="K91" i="9"/>
  <c r="L87" i="12"/>
  <c r="C27" i="1"/>
  <c r="E23" i="26"/>
  <c r="E65" i="26" s="1"/>
  <c r="L122" i="12"/>
  <c r="K131" i="12"/>
  <c r="L131" i="12" s="1"/>
  <c r="J126" i="9"/>
  <c r="J129" i="8"/>
  <c r="L129" i="8" s="1"/>
  <c r="L91" i="8"/>
  <c r="J104" i="7" a="1"/>
  <c r="J104" i="7" s="1"/>
  <c r="J103" i="7" a="1"/>
  <c r="J103" i="7" s="1"/>
  <c r="K102" i="11"/>
  <c r="K96" i="11" a="1"/>
  <c r="K96" i="11" s="1"/>
  <c r="K97" i="11" s="1"/>
  <c r="J126" i="7"/>
  <c r="J105" i="8"/>
  <c r="J107" i="8" s="1"/>
  <c r="L80" i="12"/>
  <c r="K129" i="10"/>
  <c r="L129" i="10" s="1"/>
  <c r="L91" i="10"/>
  <c r="L97" i="10"/>
  <c r="L128" i="12"/>
  <c r="L126" i="10"/>
  <c r="L122" i="11"/>
  <c r="K131" i="11"/>
  <c r="L131" i="11" s="1"/>
  <c r="J129" i="7"/>
  <c r="L129" i="7" s="1"/>
  <c r="L91" i="7"/>
  <c r="K96" i="7" a="1"/>
  <c r="K96" i="7" s="1"/>
  <c r="K97" i="7" s="1"/>
  <c r="K126" i="7" s="1"/>
  <c r="K102" i="7"/>
  <c r="K102" i="12"/>
  <c r="K96" i="12" a="1"/>
  <c r="K96" i="12" s="1"/>
  <c r="K97" i="12" s="1"/>
  <c r="K126" i="12" s="1"/>
  <c r="J105" i="10"/>
  <c r="J107" i="10" s="1"/>
  <c r="J126" i="12"/>
  <c r="K104" i="10" a="1"/>
  <c r="K104" i="10" s="1"/>
  <c r="K103" i="10" a="1"/>
  <c r="K103" i="10" s="1"/>
  <c r="L122" i="7"/>
  <c r="K131" i="7"/>
  <c r="L131" i="7" s="1"/>
  <c r="K119" i="9"/>
  <c r="K121" i="9"/>
  <c r="K122" i="9"/>
  <c r="J103" i="9" a="1"/>
  <c r="J103" i="9" s="1"/>
  <c r="J104" i="9" a="1"/>
  <c r="J104" i="9" s="1"/>
  <c r="L97" i="8"/>
  <c r="L126" i="8"/>
  <c r="K110" i="9"/>
  <c r="K113" i="9" s="1"/>
  <c r="K114" i="9" s="1"/>
  <c r="D25" i="9"/>
  <c r="E25" i="9" s="1"/>
  <c r="K37" i="9"/>
  <c r="J103" i="12" a="1"/>
  <c r="J103" i="12" s="1"/>
  <c r="J104" i="12" a="1"/>
  <c r="J104" i="12" s="1"/>
  <c r="K103" i="8" a="1"/>
  <c r="K103" i="8" s="1"/>
  <c r="K104" i="8" a="1"/>
  <c r="K104" i="8" s="1"/>
  <c r="L129" i="11"/>
  <c r="B53" i="25"/>
  <c r="D53" i="25" s="1"/>
  <c r="F52" i="25"/>
  <c r="J127" i="11"/>
  <c r="J133" i="11" s="1"/>
  <c r="J129" i="12"/>
  <c r="L129" i="12" s="1"/>
  <c r="L91" i="12"/>
  <c r="E4" i="26" a="1"/>
  <c r="K105" i="8" l="1"/>
  <c r="K107" i="8" s="1"/>
  <c r="K127" i="8" s="1"/>
  <c r="K133" i="8" s="1"/>
  <c r="K134" i="8" s="1"/>
  <c r="D27" i="8" s="1"/>
  <c r="K105" i="10"/>
  <c r="K107" i="10" s="1"/>
  <c r="K127" i="10" s="1"/>
  <c r="K133" i="10" s="1"/>
  <c r="D26" i="10" s="1"/>
  <c r="K129" i="9"/>
  <c r="L129" i="9" s="1"/>
  <c r="L91" i="9"/>
  <c r="J105" i="9"/>
  <c r="J107" i="9" s="1"/>
  <c r="J127" i="9" s="1"/>
  <c r="J133" i="9" s="1"/>
  <c r="E4" i="26"/>
  <c r="E54" i="26" s="1"/>
  <c r="J46" i="12"/>
  <c r="K46" i="12" s="1"/>
  <c r="J46" i="11"/>
  <c r="K46" i="11" s="1"/>
  <c r="J46" i="9"/>
  <c r="K46" i="9" s="1"/>
  <c r="J46" i="8"/>
  <c r="K46" i="8" s="1"/>
  <c r="J46" i="7"/>
  <c r="K46" i="7" s="1"/>
  <c r="J46" i="10"/>
  <c r="K46" i="10" s="1"/>
  <c r="J127" i="8"/>
  <c r="L97" i="12"/>
  <c r="L126" i="12"/>
  <c r="L126" i="7"/>
  <c r="J105" i="12"/>
  <c r="J107" i="12" s="1"/>
  <c r="L107" i="10"/>
  <c r="J127" i="10"/>
  <c r="L97" i="7"/>
  <c r="K126" i="11"/>
  <c r="L97" i="11"/>
  <c r="K103" i="12" a="1"/>
  <c r="K103" i="12" s="1"/>
  <c r="K104" i="12" a="1"/>
  <c r="K104" i="12" s="1"/>
  <c r="K104" i="11" a="1"/>
  <c r="K104" i="11" s="1"/>
  <c r="K103" i="11" a="1"/>
  <c r="K103" i="11" s="1"/>
  <c r="K105" i="11" s="1"/>
  <c r="K107" i="11" s="1"/>
  <c r="J105" i="7"/>
  <c r="J107" i="7" s="1"/>
  <c r="K103" i="7" a="1"/>
  <c r="K103" i="7" s="1"/>
  <c r="K104" i="7" a="1"/>
  <c r="K104" i="7" s="1"/>
  <c r="K94" i="9"/>
  <c r="K95" i="9" s="1"/>
  <c r="J134" i="11"/>
  <c r="C26" i="11"/>
  <c r="B26" i="11"/>
  <c r="K131" i="9"/>
  <c r="L131" i="9" s="1"/>
  <c r="L122" i="9"/>
  <c r="K130" i="9"/>
  <c r="L130" i="9" s="1"/>
  <c r="L114" i="9"/>
  <c r="L107" i="8" l="1"/>
  <c r="D26" i="8"/>
  <c r="K134" i="10"/>
  <c r="D27" i="10" s="1"/>
  <c r="J127" i="12"/>
  <c r="C27" i="11"/>
  <c r="B27" i="11"/>
  <c r="K96" i="9" a="1"/>
  <c r="K96" i="9" s="1"/>
  <c r="K97" i="9" s="1"/>
  <c r="K102" i="9"/>
  <c r="L127" i="8"/>
  <c r="J133" i="8"/>
  <c r="K105" i="7"/>
  <c r="K107" i="7" s="1"/>
  <c r="K127" i="7" s="1"/>
  <c r="K133" i="7" s="1"/>
  <c r="J127" i="7"/>
  <c r="J134" i="9"/>
  <c r="B26" i="9"/>
  <c r="C26" i="9"/>
  <c r="K127" i="11"/>
  <c r="L127" i="11" s="1"/>
  <c r="L107" i="11"/>
  <c r="L126" i="11"/>
  <c r="K105" i="12"/>
  <c r="K107" i="12" s="1"/>
  <c r="K127" i="12" s="1"/>
  <c r="K133" i="12" s="1"/>
  <c r="L127" i="10"/>
  <c r="J133" i="10"/>
  <c r="K134" i="7" l="1"/>
  <c r="D27" i="7" s="1"/>
  <c r="D26" i="7"/>
  <c r="K103" i="9" a="1"/>
  <c r="K103" i="9" s="1"/>
  <c r="K104" i="9" a="1"/>
  <c r="K104" i="9" s="1"/>
  <c r="K126" i="9"/>
  <c r="L97" i="9"/>
  <c r="J134" i="8"/>
  <c r="L133" i="8"/>
  <c r="J136" i="8" s="1"/>
  <c r="C26" i="8"/>
  <c r="B26" i="8"/>
  <c r="E26" i="8" s="1"/>
  <c r="L127" i="7"/>
  <c r="J133" i="7"/>
  <c r="L107" i="7"/>
  <c r="K134" i="12"/>
  <c r="D27" i="12" s="1"/>
  <c r="D26" i="12"/>
  <c r="L127" i="12"/>
  <c r="J133" i="12"/>
  <c r="C27" i="9"/>
  <c r="B27" i="9"/>
  <c r="L133" i="10"/>
  <c r="J136" i="10" s="1"/>
  <c r="C26" i="10"/>
  <c r="B26" i="10"/>
  <c r="E26" i="10" s="1"/>
  <c r="J134" i="10"/>
  <c r="K133" i="11"/>
  <c r="L107" i="12"/>
  <c r="L134" i="8" l="1"/>
  <c r="B27" i="8"/>
  <c r="E27" i="8" s="1"/>
  <c r="C27" i="8"/>
  <c r="L133" i="12"/>
  <c r="J136" i="12" s="1"/>
  <c r="C26" i="12"/>
  <c r="B26" i="12"/>
  <c r="E26" i="12" s="1"/>
  <c r="J134" i="12"/>
  <c r="K134" i="11"/>
  <c r="D26" i="11"/>
  <c r="E26" i="11" s="1"/>
  <c r="L133" i="11"/>
  <c r="J136" i="11" s="1"/>
  <c r="J134" i="7"/>
  <c r="C26" i="7"/>
  <c r="B26" i="7"/>
  <c r="E26" i="7" s="1"/>
  <c r="L133" i="7"/>
  <c r="J136" i="7" s="1"/>
  <c r="L134" i="10"/>
  <c r="B27" i="10"/>
  <c r="E27" i="10" s="1"/>
  <c r="C27" i="10"/>
  <c r="L126" i="9"/>
  <c r="K105" i="9"/>
  <c r="K107" i="9" s="1"/>
  <c r="K127" i="9" l="1"/>
  <c r="L107" i="9"/>
  <c r="L134" i="7"/>
  <c r="C27" i="7"/>
  <c r="B27" i="7"/>
  <c r="E27" i="7" s="1"/>
  <c r="D27" i="11"/>
  <c r="E27" i="11" s="1"/>
  <c r="L134" i="11"/>
  <c r="C27" i="12"/>
  <c r="L134" i="12"/>
  <c r="B27" i="12"/>
  <c r="E27" i="12" s="1"/>
  <c r="L127" i="9" l="1"/>
  <c r="K133" i="9"/>
  <c r="K134" i="9" l="1"/>
  <c r="D26" i="9"/>
  <c r="E26" i="9" s="1"/>
  <c r="L133" i="9"/>
  <c r="J136" i="9" s="1"/>
  <c r="D27" i="9" l="1"/>
  <c r="E27" i="9" s="1"/>
  <c r="L13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<sst xmlns="http://schemas.openxmlformats.org/spreadsheetml/2006/main" count="4646" uniqueCount="1807">
  <si>
    <t>Y2025 — standalone tax planning sandbox</t>
  </si>
  <si>
    <t>Strategies: enter Amount + Status below. Committed strategies flow to rollup M column. Push to Master_Inputs when final.</t>
  </si>
  <si>
    <t>▸ STRATEGIES</t>
  </si>
  <si>
    <t>StrategyID</t>
  </si>
  <si>
    <t>Strategy Name</t>
  </si>
  <si>
    <t>TargetLine</t>
  </si>
  <si>
    <t>Amount</t>
  </si>
  <si>
    <t>Status</t>
  </si>
  <si>
    <t>Notes</t>
  </si>
  <si>
    <t>CounterLine</t>
  </si>
  <si>
    <t>Line</t>
  </si>
  <si>
    <t>Description</t>
  </si>
  <si>
    <t>Baseline (Master)</t>
  </si>
  <si>
    <t>PY?</t>
  </si>
  <si>
    <t>S1 Override</t>
  </si>
  <si>
    <t>Strategies</t>
  </si>
  <si>
    <t>Effective</t>
  </si>
  <si>
    <t>Eff w/ Strategies</t>
  </si>
  <si>
    <t>Drill</t>
  </si>
  <si>
    <t>STR-001</t>
  </si>
  <si>
    <t>S-Corp Wage Optimization</t>
  </si>
  <si>
    <t>1z</t>
  </si>
  <si>
    <t>Committed</t>
  </si>
  <si>
    <t>Reduce W-2 $25K, offset by K-1 increase</t>
  </si>
  <si>
    <t>Wages</t>
  </si>
  <si>
    <t>STR-002</t>
  </si>
  <si>
    <t>HSA Family Max</t>
  </si>
  <si>
    <t>Family HSA contribution</t>
  </si>
  <si>
    <t>2a</t>
  </si>
  <si>
    <t>Tax-exempt interest (informational — Helper)</t>
  </si>
  <si>
    <t>STR-003</t>
  </si>
  <si>
    <t>Charitable Bunching (DAF)</t>
  </si>
  <si>
    <t>Proposed</t>
  </si>
  <si>
    <t>Donor-advised fund stacking</t>
  </si>
  <si>
    <t>2b</t>
  </si>
  <si>
    <t>Taxable interest</t>
  </si>
  <si>
    <t>STR-004</t>
  </si>
  <si>
    <t>SEP-IRA / Solo 401(k)</t>
  </si>
  <si>
    <t>Approved</t>
  </si>
  <si>
    <t>Retirement contribution</t>
  </si>
  <si>
    <t>3a</t>
  </si>
  <si>
    <t>Qualified dividends (informational — Helper)</t>
  </si>
  <si>
    <t>STR-005</t>
  </si>
  <si>
    <t>Cost Seg Study</t>
  </si>
  <si>
    <t>123 Main St — accelerated depreciation</t>
  </si>
  <si>
    <t>3b</t>
  </si>
  <si>
    <t>Ordinary dividends (total — incl qualified)</t>
  </si>
  <si>
    <t>STR-006</t>
  </si>
  <si>
    <t>Roth Conversion</t>
  </si>
  <si>
    <t>Conversion amount (increases taxable income)</t>
  </si>
  <si>
    <t>7</t>
  </si>
  <si>
    <t>Capital gain or (loss)</t>
  </si>
  <si>
    <t>STR-007</t>
  </si>
  <si>
    <t>Augusta Rule (§280A)</t>
  </si>
  <si>
    <t>Home rental to S-Corp (≤14 days, tax-free)</t>
  </si>
  <si>
    <t>8</t>
  </si>
  <si>
    <t>Other income (incl business income via Sch 1)</t>
  </si>
  <si>
    <t>STR-008</t>
  </si>
  <si>
    <t>Accountable Plan</t>
  </si>
  <si>
    <t>Business expense reimbursement</t>
  </si>
  <si>
    <t>9</t>
  </si>
  <si>
    <t>TOTAL INCOME</t>
  </si>
  <si>
    <t>STR-009</t>
  </si>
  <si>
    <t>Hire Children</t>
  </si>
  <si>
    <t>Wages to children under §3121(b)(3)</t>
  </si>
  <si>
    <t>10</t>
  </si>
  <si>
    <t>Adjustments to income</t>
  </si>
  <si>
    <t>STR-010</t>
  </si>
  <si>
    <t>Entity Restructuring</t>
  </si>
  <si>
    <t>Partnership → S-Corp, etc.</t>
  </si>
  <si>
    <t>11</t>
  </si>
  <si>
    <t>AGI</t>
  </si>
  <si>
    <t>STR-011</t>
  </si>
  <si>
    <t>Installment Sale / 1031</t>
  </si>
  <si>
    <t>Gain deferral strategies</t>
  </si>
  <si>
    <t>12</t>
  </si>
  <si>
    <t>Std/Itemized deduction</t>
  </si>
  <si>
    <t>STR-012</t>
  </si>
  <si>
    <t>Bonus Depreciation §168(k)</t>
  </si>
  <si>
    <t>First-year depreciation</t>
  </si>
  <si>
    <t>13</t>
  </si>
  <si>
    <t>QBI deduction</t>
  </si>
  <si>
    <t>STR-013</t>
  </si>
  <si>
    <t>R&amp;D Credit §41</t>
  </si>
  <si>
    <t>Research credit</t>
  </si>
  <si>
    <t>15</t>
  </si>
  <si>
    <t>TAXABLE INCOME</t>
  </si>
  <si>
    <t>STR-014</t>
  </si>
  <si>
    <t>SALT PTE Election</t>
  </si>
  <si>
    <t>State pass-through entity tax</t>
  </si>
  <si>
    <t>STR-015</t>
  </si>
  <si>
    <t>Timing / Deferral</t>
  </si>
  <si>
    <t>Income acceleration or deferral</t>
  </si>
  <si>
    <t>▸ TAX IMPACT SUMMARY</t>
  </si>
  <si>
    <t>Used by</t>
  </si>
  <si>
    <t>Metric</t>
  </si>
  <si>
    <t>Baseline</t>
  </si>
  <si>
    <t>Eff w/ Strat</t>
  </si>
  <si>
    <t>Savings</t>
  </si>
  <si>
    <t>FICA_Employer/Employee — True Tax Burden box</t>
  </si>
  <si>
    <t>Total Income</t>
  </si>
  <si>
    <t>Third-party W-2 wages (Treatment_Profile=W2_Employee)</t>
  </si>
  <si>
    <t>Calc_SE_Tax (SS-base sharing) · AddlMedicareTax_FN</t>
  </si>
  <si>
    <t>Taxable Income</t>
  </si>
  <si>
    <t>Total W-2 wages (owner + third-party)</t>
  </si>
  <si>
    <t>Total Tax</t>
  </si>
  <si>
    <t>Business income subject to SE tax (Sch C, Sch F, active K-1 PTP)</t>
  </si>
  <si>
    <t>Calc_SE_Tax base · AddlMedicareTax_FN</t>
  </si>
  <si>
    <t>Effective Rate</t>
  </si>
  <si>
    <t>Active business income NOT subject to SE (active S-Corp K-1, etc.)</t>
  </si>
  <si>
    <t>NIIT exclusion (active) · QBI eligible</t>
  </si>
  <si>
    <t>Committed Strategies</t>
  </si>
  <si>
    <t>Net Strategy Impact</t>
  </si>
  <si>
    <t>Passive business income / loss (passive K-1s, Sch E rental)</t>
  </si>
  <si>
    <t>PassiveLossAllowed_FN · NIIT inclusion</t>
  </si>
  <si>
    <t>Tax-exempt interest (Line 2a; reported but not taxed)</t>
  </si>
  <si>
    <t>NIIT_FN (MAGI base)</t>
  </si>
  <si>
    <t>Qualified dividends (carve-out of Line 3b; LTCG stack)</t>
  </si>
  <si>
    <t>Calc_CapGainsTax stacking</t>
  </si>
  <si>
    <t>Long-term capital gains (LT preferential rate; stacks with qualified div)</t>
  </si>
  <si>
    <t>Calc_CapGainsTax</t>
  </si>
  <si>
    <t>Short-term capital gains (taxed as ordinary income)</t>
  </si>
  <si>
    <t>Calc_OrdinaryTax (ST folded into ordinary income)</t>
  </si>
  <si>
    <t>§1250 unrecaptured gain (sub-carve of CG_LT; capped at 25% rate)</t>
  </si>
  <si>
    <t>Calc_1250Tax</t>
  </si>
  <si>
    <t>Formula / Value</t>
  </si>
  <si>
    <t>Used by LAMBDA</t>
  </si>
  <si>
    <t>Ordinary income (TaxableIncome - CG_LT - QUAL_DIV - SEC1250)</t>
  </si>
  <si>
    <t>Calc_CapGainsTax stacking base · Calc_OrdinaryTax (after carve-outs)</t>
  </si>
  <si>
    <t>Modified AGI = AGI + tax-exempt interest</t>
  </si>
  <si>
    <t>Calc_NIIT · PassiveLossAllowed_FN</t>
  </si>
  <si>
    <t>Net Investment Income = taxable int + div + cap gain + passive</t>
  </si>
  <si>
    <t>Calc_NIIT</t>
  </si>
  <si>
    <t>QBI-eligible business income (active business)</t>
  </si>
  <si>
    <t>Calc_QBI_Simple · QBI_FN</t>
  </si>
  <si>
    <t>Taxable Income BEFORE QBI deduction (= AGI - StdItemDed)</t>
  </si>
  <si>
    <t>Calc_QBI_Simple (cap reference)</t>
  </si>
  <si>
    <t>Net business loss (only when negative; for EBL limit)</t>
  </si>
  <si>
    <t>ExcessBusinessLossLimit_FN</t>
  </si>
  <si>
    <t>Net SE income (alias of BI_SE_SUBJECT for LAMBDA clarity)</t>
  </si>
  <si>
    <t>Calc_SE_Tax · AddlMedicareTax_FN · SETax_FN</t>
  </si>
  <si>
    <t>Unadjusted Basis Immediately After Acquisition (QBI W-2/UBIA test)</t>
  </si>
  <si>
    <t>QBI_FN</t>
  </si>
  <si>
    <t>Is Specified Service Trade or Business? (TRUE/FALSE)</t>
  </si>
  <si>
    <t>NOL carryforward available (from prior-year Carryovers; populate manually for now)</t>
  </si>
  <si>
    <t>NOLDeductionAllowed_FN</t>
  </si>
  <si>
    <t>Bucket</t>
  </si>
  <si>
    <t>Treatment_Profile</t>
  </si>
  <si>
    <t>Payor</t>
  </si>
  <si>
    <t>Baseline_Amount</t>
  </si>
  <si>
    <t>Helper_Amount</t>
  </si>
  <si>
    <t>▸ 7-COMPONENT TAX CALCULATOR</t>
  </si>
  <si>
    <t>Δ Savings</t>
  </si>
  <si>
    <t>Dual columns: Baseline (H) vs With Planning (I)</t>
  </si>
  <si>
    <t>1. SELF-EMPLOYMENT TAX</t>
  </si>
  <si>
    <t>SE Tax Label</t>
  </si>
  <si>
    <t>Net SE Earnings</t>
  </si>
  <si>
    <t>SE Base (× 0.9235)</t>
  </si>
  <si>
    <t>W-2 Wages</t>
  </si>
  <si>
    <t>Remaining SS Wage Base</t>
  </si>
  <si>
    <t>Social Security Tax (12.4%)</t>
  </si>
  <si>
    <t>Medicare Tax (2.9%)</t>
  </si>
  <si>
    <t>Addl Medicare (0.9% &gt; threshold)</t>
  </si>
  <si>
    <t>TOTAL SE TAX</t>
  </si>
  <si>
    <t>2. PAYROLL TAX</t>
  </si>
  <si>
    <t>Social Security (6.2%)</t>
  </si>
  <si>
    <t>Medicare (1.45%)</t>
  </si>
  <si>
    <t>TOTAL PAYROLL TAX</t>
  </si>
  <si>
    <t>Employer Social Security (6.2%)</t>
  </si>
  <si>
    <t>Employer Medicare (1.45%)</t>
  </si>
  <si>
    <t>TOTAL PAYROLL TAX (Employee + Employer)</t>
  </si>
  <si>
    <t>3. ORDINARY INCOME TAX</t>
  </si>
  <si>
    <t>Ordinary Taxable (TI - LTCG - QD)</t>
  </si>
  <si>
    <t>Tax (SUMPRODUCT bracket lookup)</t>
  </si>
  <si>
    <t>TOTAL ORDINARY TAX</t>
  </si>
  <si>
    <t>4. CAPITAL GAINS / QUALIFIED DIVIDENDS TAX</t>
  </si>
  <si>
    <t>LTCG + Qualified Dividends</t>
  </si>
  <si>
    <t>Sec 1250 Recapture Gain</t>
  </si>
  <si>
    <t>Stacking Base (Ordinary TI for bracket floor)</t>
  </si>
  <si>
    <t>Full CG Rate Tax (SUMPRODUCT stack)</t>
  </si>
  <si>
    <t>CG Rate Tax on Ordinary only</t>
  </si>
  <si>
    <t>Net LTCG/QD Tax</t>
  </si>
  <si>
    <t>TOTAL CAP GAINS TAX</t>
  </si>
  <si>
    <t>5. NET INVESTMENT INCOME TAX (NIIT)</t>
  </si>
  <si>
    <t>MAGI</t>
  </si>
  <si>
    <t>NIIT Threshold</t>
  </si>
  <si>
    <t>Net Investment Income (NII)</t>
  </si>
  <si>
    <t>NIIT Base (lesser of NII or MAGI excess)</t>
  </si>
  <si>
    <t>NIIT (3.8%)</t>
  </si>
  <si>
    <t>6. QBI DEDUCTION (§199A)</t>
  </si>
  <si>
    <t>QBI-Eligible Income</t>
  </si>
  <si>
    <t>20% of QBI</t>
  </si>
  <si>
    <t>50% of W-2 Wages</t>
  </si>
  <si>
    <t>25% W-2 + 2.5% UBIA</t>
  </si>
  <si>
    <t>Phase-in applies?</t>
  </si>
  <si>
    <t>QBI DEDUCTION</t>
  </si>
  <si>
    <t>7. COMBINED TAX SUMMARY</t>
  </si>
  <si>
    <t>Ordinary Tax</t>
  </si>
  <si>
    <t>Capital Gains Tax</t>
  </si>
  <si>
    <t>Self-Employment Tax</t>
  </si>
  <si>
    <t>Payroll Tax (Employee + Employer)</t>
  </si>
  <si>
    <t>NIIT</t>
  </si>
  <si>
    <t>Less: QBI Tax Benefit</t>
  </si>
  <si>
    <t>TOTAL COMBINED TAX</t>
  </si>
  <si>
    <t>Effective Rate (vs Total Income)</t>
  </si>
  <si>
    <t>TOTAL TAX SAVINGS FROM PLANNING:</t>
  </si>
  <si>
    <t>TAX WORKBOOK — CONTROL PANEL</t>
  </si>
  <si>
    <t>Settings, navigation, and input reference — start here.</t>
  </si>
  <si>
    <t>▸ SETTINGS</t>
  </si>
  <si>
    <t>PLAN STATUS</t>
  </si>
  <si>
    <t>Plan Year</t>
  </si>
  <si>
    <t>Plan Maturity</t>
  </si>
  <si>
    <t>Standard Assumptions</t>
  </si>
  <si>
    <t>Engagement Leader</t>
  </si>
  <si>
    <t>TBD</t>
  </si>
  <si>
    <t>Active Client</t>
  </si>
  <si>
    <t>SAMPLE</t>
  </si>
  <si>
    <t>Last Refresh</t>
  </si>
  <si>
    <t>TAX PROFILE</t>
  </si>
  <si>
    <t>Filing Status</t>
  </si>
  <si>
    <t>MFJ</t>
  </si>
  <si>
    <t>State of Residence</t>
  </si>
  <si>
    <t>UT</t>
  </si>
  <si>
    <t>Taxpayer Age</t>
  </si>
  <si>
    <t>Spouse Age</t>
  </si>
  <si>
    <t>Dependent Children</t>
  </si>
  <si>
    <t>REPS Qualified</t>
  </si>
  <si>
    <t>No</t>
  </si>
  <si>
    <t>Business is SSTB?</t>
  </si>
  <si>
    <t>▸ ACTIVE YEAR SNAPSHOT</t>
  </si>
  <si>
    <t>QBI Deduction</t>
  </si>
  <si>
    <t>▸ NAVIGATION</t>
  </si>
  <si>
    <t>INPUT / CONFIG</t>
  </si>
  <si>
    <t>Baseline income/deductions + committed strategies</t>
  </si>
  <si>
    <t>Filed return data by year for PY reconciliation</t>
  </si>
  <si>
    <t>PAL, CL, NOL manual inputs + calculator</t>
  </si>
  <si>
    <t>YEAR SANDBOXES</t>
  </si>
  <si>
    <t>Strategies (A5:F10), rollup, 7-calculator</t>
  </si>
  <si>
    <t>DASHBOARDS / RECON</t>
  </si>
  <si>
    <t>KPIs + charts with year dropdown</t>
  </si>
  <si>
    <t>Prior year baseline vs AsFiled reconciliation</t>
  </si>
  <si>
    <t>Multi-year GETPIVOTDATA bridge + VP_ named ranges</t>
  </si>
  <si>
    <t>PIVOT ENGINE (do not modify)</t>
  </si>
  <si>
    <t>SUMIFS grid: 1040 lines × years</t>
  </si>
  <si>
    <t>SUMIFS grid: Line 8 breakout by treatment</t>
  </si>
  <si>
    <t>SUMIFS grid: informational lines (2a, 3a)</t>
  </si>
  <si>
    <t>SUMIFS grid: helper amounts × years</t>
  </si>
  <si>
    <t>VISUAL PIVOTS</t>
  </si>
  <si>
    <t>PivotTable: income by 1040 line</t>
  </si>
  <si>
    <t>PivotTable: business by treatment</t>
  </si>
  <si>
    <t>PivotTable: income by payor</t>
  </si>
  <si>
    <t>PivotTable: helper carve-outs</t>
  </si>
  <si>
    <t>REFERENCE</t>
  </si>
  <si>
    <t>Rate tables + Treatment_Profile_Map (5 tables)</t>
  </si>
  <si>
    <t>Validation source lists</t>
  </si>
  <si>
    <t>Canon v1.4 + Pecking Order + Strategies catalog</t>
  </si>
  <si>
    <t>100+ terms, PTET table + Tax Limitations</t>
  </si>
  <si>
    <t>26-question strategy intake (auto-detects from data)</t>
  </si>
  <si>
    <t>External file paths + extraction mapping</t>
  </si>
  <si>
    <t>Projected vs filed accuracy tracking</t>
  </si>
  <si>
    <t>Audit trail</t>
  </si>
  <si>
    <t>Onboarding + LAMBDA/VBA/Schema docs</t>
  </si>
  <si>
    <t>MASTER INPUTS — committed baseline source-input items (one row per source document per year)</t>
  </si>
  <si>
    <t>Adjustments and strategies live on the year sheet. Master is just where baseline data lives.</t>
  </si>
  <si>
    <t>InputID</t>
  </si>
  <si>
    <t>Year</t>
  </si>
  <si>
    <t>ClientID</t>
  </si>
  <si>
    <t>ClientName</t>
  </si>
  <si>
    <t>Source_Document</t>
  </si>
  <si>
    <t>Activity_Type</t>
  </si>
  <si>
    <t>Provenance</t>
  </si>
  <si>
    <t>Helper_Treatment</t>
  </si>
  <si>
    <t>SE_Subject</t>
  </si>
  <si>
    <t>NIIT_Class</t>
  </si>
  <si>
    <t>QBI_Eligible</t>
  </si>
  <si>
    <t>Primary_Line</t>
  </si>
  <si>
    <t>Consider</t>
  </si>
  <si>
    <t>CED|2024|Wages|01</t>
  </si>
  <si>
    <t>CEDILLO</t>
  </si>
  <si>
    <t>Ron Cedillo</t>
  </si>
  <si>
    <t>W2_SCorpOwner</t>
  </si>
  <si>
    <t>W-2</t>
  </si>
  <si>
    <t>PBC - Reviewed</t>
  </si>
  <si>
    <t>Acme S-Corp</t>
  </si>
  <si>
    <t>OWNER_PAY</t>
  </si>
  <si>
    <t>Active</t>
  </si>
  <si>
    <t>Owner reasonable comp</t>
  </si>
  <si>
    <t>CED|2024|BI|01</t>
  </si>
  <si>
    <t>Business Income</t>
  </si>
  <si>
    <t>K1_PTP_Passive</t>
  </si>
  <si>
    <t>K-1</t>
  </si>
  <si>
    <t>Cedillo Partnership</t>
  </si>
  <si>
    <t>K1_SPLIT</t>
  </si>
  <si>
    <t>Passive</t>
  </si>
  <si>
    <t>Yes</t>
  </si>
  <si>
    <t>Passive loss</t>
  </si>
  <si>
    <t>CED|2024|II|01</t>
  </si>
  <si>
    <t>Investment Income</t>
  </si>
  <si>
    <t>Div_Ordinary</t>
  </si>
  <si>
    <t>1099-DIV</t>
  </si>
  <si>
    <t>Brokerage</t>
  </si>
  <si>
    <t>QUAL_DIV</t>
  </si>
  <si>
    <t>Portfolio</t>
  </si>
  <si>
    <t>All non-qualified</t>
  </si>
  <si>
    <t>CED|2024|CG|01</t>
  </si>
  <si>
    <t>Capital Gains</t>
  </si>
  <si>
    <t>LTCG_Stock</t>
  </si>
  <si>
    <t>1099-B</t>
  </si>
  <si>
    <t>LTCG_SPLIT</t>
  </si>
  <si>
    <t>All long-term</t>
  </si>
  <si>
    <t>SAM|2025|Wages|01</t>
  </si>
  <si>
    <t>Sample Client</t>
  </si>
  <si>
    <t>Estimate - Preparer</t>
  </si>
  <si>
    <t>SampleCo S-Corp</t>
  </si>
  <si>
    <t>SAM|2025|BI|01</t>
  </si>
  <si>
    <t>K1_SCorp_Active</t>
  </si>
  <si>
    <t>PY Rolled Forward</t>
  </si>
  <si>
    <t>SampleCo S-Corp K-1</t>
  </si>
  <si>
    <t>Active S-corp K-1</t>
  </si>
  <si>
    <t>SAM|2025|II_Div|01</t>
  </si>
  <si>
    <t>Div_Qualified</t>
  </si>
  <si>
    <t>PBC - Received</t>
  </si>
  <si>
    <t>$7K qualified</t>
  </si>
  <si>
    <t>SAM|2025|II_Int|01</t>
  </si>
  <si>
    <t>Int_Taxable</t>
  </si>
  <si>
    <t>1099-INT</t>
  </si>
  <si>
    <t>NONE</t>
  </si>
  <si>
    <t>All taxable</t>
  </si>
  <si>
    <t>SAM|2025|CG|01</t>
  </si>
  <si>
    <t>PBC - Requested</t>
  </si>
  <si>
    <t>SAM|2025|Itm|01</t>
  </si>
  <si>
    <t>Itemized</t>
  </si>
  <si>
    <t>Itm_SALT</t>
  </si>
  <si>
    <t>Property Tax Receipt</t>
  </si>
  <si>
    <t>SALT</t>
  </si>
  <si>
    <t>N/A</t>
  </si>
  <si>
    <t>SALT cap</t>
  </si>
  <si>
    <t>SAM|2025|Strategy|WageOpt|01</t>
  </si>
  <si>
    <t>Strategy</t>
  </si>
  <si>
    <t>Planning</t>
  </si>
  <si>
    <t>Reduce owner W-2 by $25K</t>
  </si>
  <si>
    <t>STR-001 Committed</t>
  </si>
  <si>
    <t>SAM|2025|Strategy|WageOpt|02</t>
  </si>
  <si>
    <t>Corresponding K-1 increase from wage reduction</t>
  </si>
  <si>
    <t>SAM|2025|Strategy|HSA|01</t>
  </si>
  <si>
    <t>Adjustment</t>
  </si>
  <si>
    <t>Adj_HSA</t>
  </si>
  <si>
    <t>Family HSA max contribution</t>
  </si>
  <si>
    <t>STR-002 Committed</t>
  </si>
  <si>
    <t>SAM|2025|Strategy|CostSeg|01</t>
  </si>
  <si>
    <t>SchE_Rental</t>
  </si>
  <si>
    <t>123 Main St, Salt Lake City</t>
  </si>
  <si>
    <t>PASSIVE</t>
  </si>
  <si>
    <t>Cost seg accelerated depreciation</t>
  </si>
  <si>
    <t>STR-005 Committed</t>
  </si>
  <si>
    <t>ASFILED — Filed Tax Return Data</t>
  </si>
  <si>
    <t>Filed return amounts by 1040 line. Use Year column filter to view one year at a time. Add rows per year as needed. PY_Recon uses SUMIFS against this table.</t>
  </si>
  <si>
    <t>Filed_Amount</t>
  </si>
  <si>
    <t>CED|2024|AF|Wages|01</t>
  </si>
  <si>
    <t>Filed 1040</t>
  </si>
  <si>
    <t>Filed Return</t>
  </si>
  <si>
    <t>Per filed Form 1040 Line 1z</t>
  </si>
  <si>
    <t>CED|2024|AF|BI|01</t>
  </si>
  <si>
    <t>Per filed Sch 1 / K-1</t>
  </si>
  <si>
    <t>CED|2024|AF|II|01</t>
  </si>
  <si>
    <t>Per filed 1040 Line 3b</t>
  </si>
  <si>
    <t>CED|2024|AF|CG|01</t>
  </si>
  <si>
    <t>Per filed 1040 Line 7</t>
  </si>
  <si>
    <t>PLACEHOLDER|2023</t>
  </si>
  <si>
    <t>Estimate</t>
  </si>
  <si>
    <t>Enter 2023 filed data here — add rows as needed</t>
  </si>
  <si>
    <t>PLACEHOLDER|2025</t>
  </si>
  <si>
    <t>Enter 2025 filed data here — add rows as needed</t>
  </si>
  <si>
    <t>PLACEHOLDER|2026</t>
  </si>
  <si>
    <t>Enter 2026 filed data here — add rows as needed</t>
  </si>
  <si>
    <t>PLACEHOLDER|2027</t>
  </si>
  <si>
    <t>Enter 2027 filed data here — add rows as needed</t>
  </si>
  <si>
    <t>PLACEHOLDER|2028</t>
  </si>
  <si>
    <t>Enter 2028 filed data here — add rows as needed</t>
  </si>
  <si>
    <t>TAX PLAN DASHBOARD</t>
  </si>
  <si>
    <t>Select year below. KPIs pull baseline from visual pivots via GETPIVOTDATA.</t>
  </si>
  <si>
    <t>Dashboard Year:</t>
  </si>
  <si>
    <t>HEADLINE METRICS</t>
  </si>
  <si>
    <t>CHART DATA — Income by 1040 Line</t>
  </si>
  <si>
    <t>1040 Line</t>
  </si>
  <si>
    <t>Wages (Line 1z)</t>
  </si>
  <si>
    <t>Business Income (Line 8)</t>
  </si>
  <si>
    <t>1z Wages</t>
  </si>
  <si>
    <t>Capital Gains (Line 7)</t>
  </si>
  <si>
    <t>2b Tax Interest</t>
  </si>
  <si>
    <t>Investment Income (3b)</t>
  </si>
  <si>
    <t>3b Dividends</t>
  </si>
  <si>
    <t>Std/Itemized Ded (Line 12)</t>
  </si>
  <si>
    <t>7 Cap Gains</t>
  </si>
  <si>
    <t>Qualified Dividends</t>
  </si>
  <si>
    <t>8 Business</t>
  </si>
  <si>
    <t>Owner W-2 Wages</t>
  </si>
  <si>
    <t>CHART DATA — Business by Treatment</t>
  </si>
  <si>
    <t>BUSINESS INCOME BREAKDOWN</t>
  </si>
  <si>
    <t>Treatment</t>
  </si>
  <si>
    <t>S-Corp K-1 Active</t>
  </si>
  <si>
    <t>PTP K-1 Passive</t>
  </si>
  <si>
    <t>Schedule E Rental</t>
  </si>
  <si>
    <t>Total Business Income</t>
  </si>
  <si>
    <t>PY RECON — Baseline vs Filed Return</t>
  </si>
  <si>
    <t>Compares computed Baseline (tblMaster_Inputs) vs AsFiled (tblAsFiled) for Active_Year + Active_Client. Verify the engine before trusting roll-forward.</t>
  </si>
  <si>
    <t>Recon Year:</t>
  </si>
  <si>
    <t>Client:</t>
  </si>
  <si>
    <t>Computed (Baseline)</t>
  </si>
  <si>
    <t>Filed (AsFiled)</t>
  </si>
  <si>
    <t>Variance</t>
  </si>
  <si>
    <t>Wages, salaries, tips</t>
  </si>
  <si>
    <t>Ordinary dividends</t>
  </si>
  <si>
    <t>Other income (Sch 1 — business)</t>
  </si>
  <si>
    <t>Standard / Itemized deduction</t>
  </si>
  <si>
    <t>RECON SUMMARY</t>
  </si>
  <si>
    <t>Lines matched:</t>
  </si>
  <si>
    <t>of</t>
  </si>
  <si>
    <t>Overall status:</t>
  </si>
  <si>
    <t>PIVOT GETPIVOTDATA — Multi-Year Named Range Bridge</t>
  </si>
  <si>
    <t>Full year grid + Active_Year column (→ VP_ named ranges). GETPIVOTDATA pulls directly from visual pivots.</t>
  </si>
  <si>
    <t>INCOME BY 1040 LINE</t>
  </si>
  <si>
    <t>Named Range</t>
  </si>
  <si>
    <t>Active Year</t>
  </si>
  <si>
    <t>VP_Line_1z_Wages</t>
  </si>
  <si>
    <t>Wages (1z)</t>
  </si>
  <si>
    <t>VP_Line_2b_TaxInt</t>
  </si>
  <si>
    <t>Tax Interest (2b)</t>
  </si>
  <si>
    <t>VP_Line_3b_OrdDiv</t>
  </si>
  <si>
    <t>Ord Dividends (3b)</t>
  </si>
  <si>
    <t>VP_Line_7_CapGain</t>
  </si>
  <si>
    <t>Cap Gains (7)</t>
  </si>
  <si>
    <t>VP_Line_8_OtherInc</t>
  </si>
  <si>
    <t>Business/Other (8)</t>
  </si>
  <si>
    <t>VP_Line_12_Deduction</t>
  </si>
  <si>
    <t>Std/Item Ded (12)</t>
  </si>
  <si>
    <t>VP_TotalIncome</t>
  </si>
  <si>
    <t>Grand Total</t>
  </si>
  <si>
    <t>HELPER CARVE-OUTS</t>
  </si>
  <si>
    <t>VP_OWNER_PAY</t>
  </si>
  <si>
    <t>Owner Wages</t>
  </si>
  <si>
    <t>VP_QUAL_DIV</t>
  </si>
  <si>
    <t>BUSINESS INCOME BY TREATMENT</t>
  </si>
  <si>
    <t>VP_BI_K1_SCorp_Active</t>
  </si>
  <si>
    <t>VP_BI_K1_PTP_Passive</t>
  </si>
  <si>
    <t>VP_BI_SchE_Rental</t>
  </si>
  <si>
    <t>Sch E Rental</t>
  </si>
  <si>
    <t>VP_BI_Total</t>
  </si>
  <si>
    <t>Business Total</t>
  </si>
  <si>
    <t>Y2023 — standalone tax planning sandbox</t>
  </si>
  <si>
    <t>Owner W-2 wages</t>
  </si>
  <si>
    <t>FICA/Employee</t>
  </si>
  <si>
    <t>Third-party W-2 wages</t>
  </si>
  <si>
    <t>SE Tax sharing</t>
  </si>
  <si>
    <t>Total W-2 wages</t>
  </si>
  <si>
    <t>Business income subject to SE</t>
  </si>
  <si>
    <t>SE Tax base</t>
  </si>
  <si>
    <t>Active business income NOT SE</t>
  </si>
  <si>
    <t>NIIT/QBI</t>
  </si>
  <si>
    <t>Passive business income/loss</t>
  </si>
  <si>
    <t>Passive Loss/NIIT</t>
  </si>
  <si>
    <t>Tax-exempt interest</t>
  </si>
  <si>
    <t>Qualified dividends carve-out</t>
  </si>
  <si>
    <t>LTCG stacking</t>
  </si>
  <si>
    <t>Long-term capital gains</t>
  </si>
  <si>
    <t>Cap Gains Tax</t>
  </si>
  <si>
    <t>Short-term capital gains</t>
  </si>
  <si>
    <t>§1250 unrecaptured gain</t>
  </si>
  <si>
    <t>1250 Tax</t>
  </si>
  <si>
    <t>Value</t>
  </si>
  <si>
    <t>TI - LTCG - QUAL_DIV - SEC1250</t>
  </si>
  <si>
    <t>AGI + tax-exempt interest</t>
  </si>
  <si>
    <t>Net investment income</t>
  </si>
  <si>
    <t>QBI-eligible business income</t>
  </si>
  <si>
    <t>QBI</t>
  </si>
  <si>
    <t>TI before QBI deduction</t>
  </si>
  <si>
    <t>QBI cap</t>
  </si>
  <si>
    <t>Net business loss</t>
  </si>
  <si>
    <t>EBL</t>
  </si>
  <si>
    <t>Net SE income</t>
  </si>
  <si>
    <t>SE Tax</t>
  </si>
  <si>
    <t>Y2024 — standalone tax planning sandbox</t>
  </si>
  <si>
    <t>Tax-exempt interest (Helper)</t>
  </si>
  <si>
    <t>Qualified dividends (Helper)</t>
  </si>
  <si>
    <t>Other income (business via Sch 1)</t>
  </si>
  <si>
    <t>Owner W-2</t>
  </si>
  <si>
    <t>Third-party W-2</t>
  </si>
  <si>
    <t>Total W-2</t>
  </si>
  <si>
    <t>SE business income</t>
  </si>
  <si>
    <t>Active non-SE business</t>
  </si>
  <si>
    <t>Passive business</t>
  </si>
  <si>
    <t>Qualified dividends</t>
  </si>
  <si>
    <t>Long-term cap gains</t>
  </si>
  <si>
    <t>Short-term cap gains</t>
  </si>
  <si>
    <t>§1250 gain</t>
  </si>
  <si>
    <t>TI-LTCG-QUAL_DIV-SEC1250</t>
  </si>
  <si>
    <t>AGI+tax-exempt</t>
  </si>
  <si>
    <t>Net inv income</t>
  </si>
  <si>
    <t>QBI-eligible</t>
  </si>
  <si>
    <t>TI before QBI</t>
  </si>
  <si>
    <t>Net biz loss</t>
  </si>
  <si>
    <t>Y2026 — standalone tax planning sandbox</t>
  </si>
  <si>
    <t>Capital gain/(loss)</t>
  </si>
  <si>
    <t>Other income (business)</t>
  </si>
  <si>
    <t>Adjustments</t>
  </si>
  <si>
    <t>Std/Itemized ded</t>
  </si>
  <si>
    <t>SE business</t>
  </si>
  <si>
    <t>Active non-SE</t>
  </si>
  <si>
    <t>Tax-exempt int</t>
  </si>
  <si>
    <t>Qualified div</t>
  </si>
  <si>
    <t>LT cap gains</t>
  </si>
  <si>
    <t>ST cap gains</t>
  </si>
  <si>
    <t>TI-LTCG-QD-1250</t>
  </si>
  <si>
    <t>Net SE</t>
  </si>
  <si>
    <t>Y2027 — standalone tax planning sandbox</t>
  </si>
  <si>
    <t>Y2028 — standalone tax planning sandbox</t>
  </si>
  <si>
    <t>PIVOT — SUMMARY (most condensed; multi-year baseline from Master_Inputs)</t>
  </si>
  <si>
    <t>Pure baseline aggregation. No overrides, no strategies. Year sheets handle those locally.</t>
  </si>
  <si>
    <t>2023</t>
  </si>
  <si>
    <t>2024</t>
  </si>
  <si>
    <t>2025</t>
  </si>
  <si>
    <t>2026</t>
  </si>
  <si>
    <t>2027</t>
  </si>
  <si>
    <t>2028</t>
  </si>
  <si>
    <t>2</t>
  </si>
  <si>
    <t>Interest (taxable, tax-exempt info on Detailed)</t>
  </si>
  <si>
    <t>3</t>
  </si>
  <si>
    <t>Dividends (qualified info on Detailed)</t>
  </si>
  <si>
    <t>Other income (biz total)</t>
  </si>
  <si>
    <t>PIVOT — MEDIUM (biz income broken out by entity type; multi-year baseline)</t>
  </si>
  <si>
    <t>Same as summary but Line 8 broken into Schedule C / Schedule E rental / Partnership K-1 / S-Corp K-1 / Sch F / Trust K-1.</t>
  </si>
  <si>
    <t>Interest</t>
  </si>
  <si>
    <t>Dividends</t>
  </si>
  <si>
    <t>8.SchC</t>
  </si>
  <si>
    <t>Schedule C</t>
  </si>
  <si>
    <t>8.SchE</t>
  </si>
  <si>
    <t>Schedule E rental</t>
  </si>
  <si>
    <t>8.PTP</t>
  </si>
  <si>
    <t>Partnership K-1 (active+passive)</t>
  </si>
  <si>
    <t>8.SCorp</t>
  </si>
  <si>
    <t>S-Corp K-1 (active+passive)</t>
  </si>
  <si>
    <t>8.SchF</t>
  </si>
  <si>
    <t>Schedule F / farm</t>
  </si>
  <si>
    <t>8.Trust</t>
  </si>
  <si>
    <t>Trust K-1</t>
  </si>
  <si>
    <t>Other income (Line 8 total)</t>
  </si>
  <si>
    <t>PIVOT — DETAILED (full 1040 page-1 lines incl. informational 2a/3a; multi-year baseline)</t>
  </si>
  <si>
    <t>2a and 3a are informational (carve-outs of helpers); they don't add to Line 9 Total Income.</t>
  </si>
  <si>
    <t>Tax-exempt interest (informational)</t>
  </si>
  <si>
    <t>Qualified dividends (informational)</t>
  </si>
  <si>
    <t>Ordinary dividends (total incl qualified)</t>
  </si>
  <si>
    <t>Other income (biz via Sch 1)</t>
  </si>
  <si>
    <t>PIVOT — HELPERS / TAX-CALC INPUTS (multi-year; sub-carves of main pivot lines; do NOT add to 1040 totals)</t>
  </si>
  <si>
    <t>These exist for LAMBDA inputs only — qualified div for LTCG stacking, owner W-2 for FICA, etc.</t>
  </si>
  <si>
    <t>W2_OWNER</t>
  </si>
  <si>
    <t>Owner W-2 wages (Treatment_Profile=W2_SCorpOwner)</t>
  </si>
  <si>
    <t>W2_THIRD_PARTY</t>
  </si>
  <si>
    <t>W2_TOTAL</t>
  </si>
  <si>
    <t>Total W-2 (owner + third-party)</t>
  </si>
  <si>
    <t>BI_SE_SUBJECT</t>
  </si>
  <si>
    <t>Biz income subject to SE (Sch C/F + active K-1 PTP)</t>
  </si>
  <si>
    <t>BI_ACTIVE_NONSE</t>
  </si>
  <si>
    <t>Active biz income NOT subject to SE</t>
  </si>
  <si>
    <t>BI_PASSIVE</t>
  </si>
  <si>
    <t>Passive biz income (passive K-1s, Sch E)</t>
  </si>
  <si>
    <t>TAX_EXEMPT</t>
  </si>
  <si>
    <t>Tax-exempt interest (informational; Line 2a)</t>
  </si>
  <si>
    <t>Qualified dividends (carve of 3b; LTCG stack)</t>
  </si>
  <si>
    <t>CG_LT</t>
  </si>
  <si>
    <t>Long-term cap gains (LTCG_Stock + LTCG_RE + LTCG_K1_Passthrough + Sec1250_Recap)</t>
  </si>
  <si>
    <t>CG_ST</t>
  </si>
  <si>
    <t>Short-term cap gains (STCG_Stock)</t>
  </si>
  <si>
    <t>SEC1250</t>
  </si>
  <si>
    <t>§1250 unrecaptured (sub-carve of CG_LT; 25% cap)</t>
  </si>
  <si>
    <t>Visual Pivot — Income by 1040 Line</t>
  </si>
  <si>
    <t>(All)</t>
  </si>
  <si>
    <t>Sum of Baseline_Amount</t>
  </si>
  <si>
    <t>Visual Pivot — Business Income by Treatment Profile</t>
  </si>
  <si>
    <t>(Multiple Items)</t>
  </si>
  <si>
    <t>Visual Pivot — By Payor</t>
  </si>
  <si>
    <t>(blank)</t>
  </si>
  <si>
    <t>Visual Pivot — Helper Carve-Outs</t>
  </si>
  <si>
    <t>Sum of Helper_Amount</t>
  </si>
  <si>
    <t>TAX REFERENCE — IRS Rate Tables</t>
  </si>
  <si>
    <t>Structured tables for bracket lookups. Add new year rows when IRS publishes inflation adjustments.</t>
  </si>
  <si>
    <t>tblBrackets_FIT — Progressive Ordinary Income Brackets (2023–2028)</t>
  </si>
  <si>
    <t>2027–2028 are projected (= 2026 values). Update when IRS publishes. 2025 std deduction updated per OBBBA.</t>
  </si>
  <si>
    <t>FilingStatus</t>
  </si>
  <si>
    <t>Lower</t>
  </si>
  <si>
    <t>Upper</t>
  </si>
  <si>
    <t>Rate</t>
  </si>
  <si>
    <t>Add_To</t>
  </si>
  <si>
    <t>Single</t>
  </si>
  <si>
    <t>HOH</t>
  </si>
  <si>
    <t>MFS</t>
  </si>
  <si>
    <t>tblStdDed — Standard Deduction Lookup (2023–2028)</t>
  </si>
  <si>
    <t>tblBrackets_LTCG — Long-Term Capital Gains / Qualified Dividend Brackets (2023–2028)</t>
  </si>
  <si>
    <t>tblThresholds — Tax Computation Constants by Year × Filing Status</t>
  </si>
  <si>
    <t>Item</t>
  </si>
  <si>
    <t>NIIT_Threshold</t>
  </si>
  <si>
    <t>NIIT_Rate</t>
  </si>
  <si>
    <t>QBI_Threshold_Start</t>
  </si>
  <si>
    <t>QBI_Threshold_End</t>
  </si>
  <si>
    <t>SS_Wage_Base</t>
  </si>
  <si>
    <t>SS_Rate_Combined</t>
  </si>
  <si>
    <t>Medicare_Rate_Combined</t>
  </si>
  <si>
    <t>SE_Earnings_Factor</t>
  </si>
  <si>
    <t>Addl_Medicare_Rate</t>
  </si>
  <si>
    <t>Addl_Medicare_Threshold</t>
  </si>
  <si>
    <t>Sec1250_Max_Rate</t>
  </si>
  <si>
    <t>EBL_Limit</t>
  </si>
  <si>
    <t>tblTreatmentProfileMap — Treatment Profile → Tax Classification Mapping</t>
  </si>
  <si>
    <t>Profile</t>
  </si>
  <si>
    <t>Consider_Prompt</t>
  </si>
  <si>
    <t>SchC_Active</t>
  </si>
  <si>
    <t>SE_INCOME</t>
  </si>
  <si>
    <t>SE earnings?</t>
  </si>
  <si>
    <t>Sole prop active SE</t>
  </si>
  <si>
    <t>short-term rental? RE Pro election?</t>
  </si>
  <si>
    <t>Rental real estate default passive</t>
  </si>
  <si>
    <t>SchE_REPro</t>
  </si>
  <si>
    <t>ACTIVE_RE</t>
  </si>
  <si>
    <t>meets 750hr / &gt;50% test?</t>
  </si>
  <si>
    <t>RE Pro election</t>
  </si>
  <si>
    <t>SchF_Active</t>
  </si>
  <si>
    <t>farm income averaging?</t>
  </si>
  <si>
    <t>Farm income</t>
  </si>
  <si>
    <t>K1_PTP_Active</t>
  </si>
  <si>
    <t>active vs passive?</t>
  </si>
  <si>
    <t>Active partnership K-1</t>
  </si>
  <si>
    <t>PAL limits?</t>
  </si>
  <si>
    <t>Passive partnership K-1</t>
  </si>
  <si>
    <t>Active S-Corp K-1</t>
  </si>
  <si>
    <t>K1_SCorp_Passive</t>
  </si>
  <si>
    <t>rare — confirm</t>
  </si>
  <si>
    <t>Passive S-Corp K-1</t>
  </si>
  <si>
    <t>Trust_K1</t>
  </si>
  <si>
    <t>TRUST_DIST</t>
  </si>
  <si>
    <t>character of distribution?</t>
  </si>
  <si>
    <t>W2_Employee</t>
  </si>
  <si>
    <t>(n/a)</t>
  </si>
  <si>
    <t>Standard W-2 wages</t>
  </si>
  <si>
    <t>owner pay portion?</t>
  </si>
  <si>
    <t>S-Corp owner reasonable comp</t>
  </si>
  <si>
    <t>tax-exempt portion?</t>
  </si>
  <si>
    <t>Int_Exempt</t>
  </si>
  <si>
    <t>(all exempt)</t>
  </si>
  <si>
    <t>qualified portion?</t>
  </si>
  <si>
    <t>All-qualified dividends (3b=3a). Helper = full amount. Do NOT also enter Div_Ordinary for same income.</t>
  </si>
  <si>
    <t>qualified portion? (mutually exclusive with Div_Qualified)</t>
  </si>
  <si>
    <t>Total ordinary dividends (3b); Helper = qualified portion (3a). Do NOT also enter Div_Qualified for same income.</t>
  </si>
  <si>
    <t>wash sales? carryover?</t>
  </si>
  <si>
    <t>STCG_Stock</t>
  </si>
  <si>
    <t>LTCG_RE</t>
  </si>
  <si>
    <t>§1250 portion? §1031?</t>
  </si>
  <si>
    <t>LT cap gain on RE</t>
  </si>
  <si>
    <t>Sec1250_Recap</t>
  </si>
  <si>
    <t>capped at 25%</t>
  </si>
  <si>
    <t>§1250 recapture</t>
  </si>
  <si>
    <t>LTCG_K1_Passthrough</t>
  </si>
  <si>
    <t>character per K-1 box?</t>
  </si>
  <si>
    <t>K-1 passthrough</t>
  </si>
  <si>
    <t>HSA</t>
  </si>
  <si>
    <t>family vs self?</t>
  </si>
  <si>
    <t>Adj_IRA</t>
  </si>
  <si>
    <t>IRA</t>
  </si>
  <si>
    <t>deductible portion?</t>
  </si>
  <si>
    <t>Adj_Retirement</t>
  </si>
  <si>
    <t>RETIREMENT</t>
  </si>
  <si>
    <t>plan type / limit?</t>
  </si>
  <si>
    <t>Retirement plan</t>
  </si>
  <si>
    <t>Adj_SEHealth</t>
  </si>
  <si>
    <t>SE_HEALTH</t>
  </si>
  <si>
    <t>SE earnings cap?</t>
  </si>
  <si>
    <t>SE health insurance</t>
  </si>
  <si>
    <t>Adj_StudentLoan</t>
  </si>
  <si>
    <t>STUDENT_LOAN</t>
  </si>
  <si>
    <t>MAGI phase-out?</t>
  </si>
  <si>
    <t>Student loan interest</t>
  </si>
  <si>
    <t>Itm_Medical</t>
  </si>
  <si>
    <t>MEDICAL</t>
  </si>
  <si>
    <t>7.5% AGI floor</t>
  </si>
  <si>
    <t>Medical</t>
  </si>
  <si>
    <t>$10K cap</t>
  </si>
  <si>
    <t>Itm_Mortgage</t>
  </si>
  <si>
    <t>MORTGAGE</t>
  </si>
  <si>
    <t>principal cap by date</t>
  </si>
  <si>
    <t>Mortgage int</t>
  </si>
  <si>
    <t>Itm_Charity</t>
  </si>
  <si>
    <t>CHARITY</t>
  </si>
  <si>
    <t>60% AGI cap</t>
  </si>
  <si>
    <t>Charity</t>
  </si>
  <si>
    <t>Cr_CTC</t>
  </si>
  <si>
    <t>Credit</t>
  </si>
  <si>
    <t>CTC</t>
  </si>
  <si>
    <t>children under 17?</t>
  </si>
  <si>
    <t>Cr_Education</t>
  </si>
  <si>
    <t>EDUCATION</t>
  </si>
  <si>
    <t>AOTC vs LLC?</t>
  </si>
  <si>
    <t>Education credits</t>
  </si>
  <si>
    <t>Cr_FTC</t>
  </si>
  <si>
    <t>FTC</t>
  </si>
  <si>
    <t>Form 1116 required?</t>
  </si>
  <si>
    <t>Pmt_Withholding</t>
  </si>
  <si>
    <t>Payment</t>
  </si>
  <si>
    <t>Withholding</t>
  </si>
  <si>
    <t>Pmt_EstTax</t>
  </si>
  <si>
    <t>safe harbor met?</t>
  </si>
  <si>
    <t>Estimated tax</t>
  </si>
  <si>
    <t>DROPDOWN LISTS — top-level + per-bucket cascade named ranges</t>
  </si>
  <si>
    <t>Yes_No</t>
  </si>
  <si>
    <t>TaxLines</t>
  </si>
  <si>
    <t>PY Actuals</t>
  </si>
  <si>
    <t>Estimate - Client</t>
  </si>
  <si>
    <t>Implemented</t>
  </si>
  <si>
    <t>Rejected</t>
  </si>
  <si>
    <t>Extraction - Imported</t>
  </si>
  <si>
    <t>Extraction - Tied</t>
  </si>
  <si>
    <t>System Calculated</t>
  </si>
  <si>
    <t>▸ PER-BUCKET TREATMENT_PROFILE LISTS</t>
  </si>
  <si>
    <t>BusinessIncome_Profiles</t>
  </si>
  <si>
    <t>Wages_Profiles</t>
  </si>
  <si>
    <t>InvestmentIncome_Profiles</t>
  </si>
  <si>
    <t>CapitalGains_Profiles</t>
  </si>
  <si>
    <t>Adjustment_Profiles</t>
  </si>
  <si>
    <t>Itemized_Profiles</t>
  </si>
  <si>
    <t>Credit_Profiles</t>
  </si>
  <si>
    <t>Payment_Profiles</t>
  </si>
  <si>
    <t>▸ PER-BUCKET SOURCE_DOCUMENT LISTS</t>
  </si>
  <si>
    <t>BusinessIncome_Docs</t>
  </si>
  <si>
    <t>Wages_Docs</t>
  </si>
  <si>
    <t>InvestmentIncome_Docs</t>
  </si>
  <si>
    <t>CapitalGains_Docs</t>
  </si>
  <si>
    <t>Adjustment_Docs</t>
  </si>
  <si>
    <t>Itemized_Docs</t>
  </si>
  <si>
    <t>Credit_Docs</t>
  </si>
  <si>
    <t>Payment_Docs</t>
  </si>
  <si>
    <t>HSA Stmt</t>
  </si>
  <si>
    <t>Charity Receipts</t>
  </si>
  <si>
    <t>CTC Verification</t>
  </si>
  <si>
    <t>Withholding Stmt</t>
  </si>
  <si>
    <t>P&amp;L Statement</t>
  </si>
  <si>
    <t>Paystub Summary</t>
  </si>
  <si>
    <t>Settlement Statement</t>
  </si>
  <si>
    <t>IRA Receipt</t>
  </si>
  <si>
    <t>1098 Mortgage</t>
  </si>
  <si>
    <t>1098-T</t>
  </si>
  <si>
    <t>Est Tax Vouchers</t>
  </si>
  <si>
    <t>QuickBooks Export</t>
  </si>
  <si>
    <t>S-Corp Officer Comp Wkpr</t>
  </si>
  <si>
    <t>Broker Year-End Stmt</t>
  </si>
  <si>
    <t>K-1 (passthrough)</t>
  </si>
  <si>
    <t>Retirement Plan Stmt</t>
  </si>
  <si>
    <t>FTC Workpaper</t>
  </si>
  <si>
    <t>Sch C Workpaper</t>
  </si>
  <si>
    <t>8949 detail</t>
  </si>
  <si>
    <t>1098-E</t>
  </si>
  <si>
    <t>Medical Receipts</t>
  </si>
  <si>
    <t>Sch E Workpaper</t>
  </si>
  <si>
    <t>SE Health Premium</t>
  </si>
  <si>
    <t>Sch F Workpaper</t>
  </si>
  <si>
    <t>PY Return</t>
  </si>
  <si>
    <t>FRAMEWORK REFERENCE</t>
  </si>
  <si>
    <t>Canon §3 (Wealth Architecture) · §4 (5 Core Strategies) · §5 (7 Supplemental) · §9 (Principles &amp; Guardrails)</t>
  </si>
  <si>
    <t>SECTION A — THE WEALTH ARCHITECTURE PRINCIPLE</t>
  </si>
  <si>
    <t>"Real estate is the thread."</t>
  </si>
  <si>
    <t>Tax planning is offensive capital allocation, not defensive minimization. The framework aligns tax strategy with wealth strategy.</t>
  </si>
  <si>
    <t>Direction A — Already investing in RE:</t>
  </si>
  <si>
    <t>Tax strategy aligns with the wealth strategy the client is already executing.</t>
  </si>
  <si>
    <t>Direction B — Not yet investing, but should be:</t>
  </si>
  <si>
    <t>The operating business already supports holding properties with near-zero transactional friction. Framework points the way.</t>
  </si>
  <si>
    <t>SECTION B — THE FIVE CORE STRATEGIES (Bucket A)</t>
  </si>
  <si>
    <t>Dependency-ordered. #1 enables #2 (wage). #2 enables #3 (retirement caps). #4 and #5 parallel.</t>
  </si>
  <si>
    <t>Why this strategy</t>
  </si>
  <si>
    <t>Mechanics</t>
  </si>
  <si>
    <t>Output</t>
  </si>
  <si>
    <t>Referral Trigger</t>
  </si>
  <si>
    <t>#1 — Entity Structuring Optimization</t>
  </si>
  <si>
    <t>Foundation. Every downstream strategy depends on entity form. Can't optimize wages without an S-Corp; can't optimize retirement caps without wage placement.</t>
  </si>
  <si>
    <t>S-Corp placement (operating vs HoldCo over OpCo); QBI eligibility; §199A aggregation; §1.469-4 grouping for multi-property REPS.</t>
  </si>
  <si>
    <t>Org chart (current → target); Form 2553 plan; QBI calc; aggregation/grouping elections.</t>
  </si>
  <si>
    <t>FileForms (entity compliance)</t>
  </si>
  <si>
    <t>#2 — Wage Optimization</t>
  </si>
  <si>
    <t>Level decision dependent on #1's placement. Wage drives #3 contribution caps and §199A wage-limit test.</t>
  </si>
  <si>
    <t>Soft FLOOR: 33% of total active income subject to SE tax. Soft CEILING: $150K per-business. Canon §4 v1.4.</t>
  </si>
  <si>
    <t>Recommended annual wage per business + aggregate; SE tax savings calc; wage capacity for retirement.</t>
  </si>
  <si>
    <t>—</t>
  </si>
  <si>
    <t>#3 — Retirement Contribution Optimization</t>
  </si>
  <si>
    <t>Contribution caps are function of #2's wage. Solo 401(k) employer cap = 25% of W-2 wage.</t>
  </si>
  <si>
    <t>Default vehicle: Self-Directed Solo 401(k). Pre-tax employee deferral + 25% employer. HSA Family layer + age catch-ups.</t>
  </si>
  <si>
    <t>Recommended plan type; annual contribution plan; HSA tie-in; age-band catch-up surfacing.</t>
  </si>
  <si>
    <t>Self-Directed Solo 401(k) provider (Q3 2026 productization)</t>
  </si>
  <si>
    <t>#4 — Bonus Depreciation Optimization</t>
  </si>
  <si>
    <t>Parallel to #2-#3. Primary lever for converting RE wealth into active loss offsets.</t>
  </si>
  <si>
    <t>REPS qualification (TP / Spouse / Both) + Cost Seg study. Canon §4 v1.4 default: 25% Y1 acceleration of total basis.</t>
  </si>
  <si>
    <t>Property-by-property cost seg recommendation; annual depreciation projection; absorption-sized property basis.</t>
  </si>
  <si>
    <t>Cost Seg partner</t>
  </si>
  <si>
    <t>#5 — Low Hanging Fruit Optimization</t>
  </si>
  <si>
    <t>Parallel to #4. Operates independently of architectural decisions; absorbs ordinary business expense.</t>
  </si>
  <si>
    <t>Accountable Plan reimbursements + Augusta Rule (≤14 days) + Children Employment (kiddie standard deduction).</t>
  </si>
  <si>
    <t>LHF checklist with implementation deadlines; required documentation templates.</t>
  </si>
  <si>
    <t>SECTION C — SEVEN SUPPLEMENTAL STRATEGIES (Bucket B)</t>
  </si>
  <si>
    <t>Code</t>
  </si>
  <si>
    <t>When It Applies</t>
  </si>
  <si>
    <t>Cadence</t>
  </si>
  <si>
    <t>Avatar Frequency</t>
  </si>
  <si>
    <t>B1</t>
  </si>
  <si>
    <t>PTET (Pass-Through Entity Tax)</t>
  </si>
  <si>
    <t>Client lives/operates in PTET-enabled state with active business</t>
  </si>
  <si>
    <t>Annual election</t>
  </si>
  <si>
    <t>High in graduated states (CA, NY, NJ, MA, OR, MN, HI) — see GLOSSARY Section C</t>
  </si>
  <si>
    <t>B2</t>
  </si>
  <si>
    <t>TAXLOSS (Tax Loss Harvesting)</t>
  </si>
  <si>
    <t>Client has taxable brokerage account</t>
  </si>
  <si>
    <t>Recurring annual (year-end)</t>
  </si>
  <si>
    <t>Moderate — most avatars have brokerage exposure</t>
  </si>
  <si>
    <t>B3</t>
  </si>
  <si>
    <t>INCSHIFT (Income/Expense Shifting)</t>
  </si>
  <si>
    <t>Universal timing lever</t>
  </si>
  <si>
    <t>Year-end execution</t>
  </si>
  <si>
    <t>Universal — every active client</t>
  </si>
  <si>
    <t>B4</t>
  </si>
  <si>
    <t>ROTH (Roth Conversions)</t>
  </si>
  <si>
    <t>Bracket-management (low-income year OR expected higher rates)</t>
  </si>
  <si>
    <t>As opportunities arise</t>
  </si>
  <si>
    <t>Situational — Year 1 transitions, NOL years</t>
  </si>
  <si>
    <t>B5</t>
  </si>
  <si>
    <t>DAF (Donor-Advised Fund)</t>
  </si>
  <si>
    <t>Meaningful charitable contributions; bunching opportunity</t>
  </si>
  <si>
    <t>Recurring annual</t>
  </si>
  <si>
    <t>Moderate — typically $25K+ annual giving</t>
  </si>
  <si>
    <t>B6</t>
  </si>
  <si>
    <t>EXCH1031 (1031 Exchange)</t>
  </si>
  <si>
    <t>Property sale transaction pending</t>
  </si>
  <si>
    <t>Transaction-triggered</t>
  </si>
  <si>
    <t>High for active RE — every disposition is a candidate</t>
  </si>
  <si>
    <t>B7</t>
  </si>
  <si>
    <t>OPPZONE (Opportunity Zones)</t>
  </si>
  <si>
    <t>Capital gain event in 180-day window</t>
  </si>
  <si>
    <t>Gain-event triggered</t>
  </si>
  <si>
    <t>Low — gain-event-dependent</t>
  </si>
  <si>
    <t>SECTION D — PRINCIPLES &amp; GUARDRAILS (Canon §9)</t>
  </si>
  <si>
    <t>One framework, one ordering</t>
  </si>
  <si>
    <t>Dependency = engagement = canonical. Don't introduce alternative orderings.</t>
  </si>
  <si>
    <t>Real estate is the thread</t>
  </si>
  <si>
    <t>Framework is real-estate-native. Direction A or Direction B; external articulation may vary but framework execution does not.</t>
  </si>
  <si>
    <t>Plan Maturity is data-quality-driven, not calendar-driven</t>
  </si>
  <si>
    <t>Nov-signed client stays Standard Assumptions through mid-Q2. Normal.</t>
  </si>
  <si>
    <t>Tax Plan asset is the recurring deliverable</t>
  </si>
  <si>
    <t>Same document Day 1 (Insights) → Day 365+ (Monitoring). Progressively sharpens.</t>
  </si>
  <si>
    <t>Three-Number Headline</t>
  </si>
  <si>
    <t>Tax Without, Tax With, Take-Home Cash With. Third number is the family-alignment metric.</t>
  </si>
  <si>
    <t>Strategy #2 has operating defaults, not absolutes</t>
  </si>
  <si>
    <t>33% SE wage floor; $150K per-business ceiling. Planner Advisory makes overrides explicit.</t>
  </si>
  <si>
    <t>Strategy #1 stops at the recommendation</t>
  </si>
  <si>
    <t>Operating the entity = Back Office scope, not Tax Planning. Separate engagement.</t>
  </si>
  <si>
    <t>Take-Home Cash Floor</t>
  </si>
  <si>
    <t>When plan's W/ take-home drops below ~60-70% of W/O baseline, flag for family alignment review.</t>
  </si>
  <si>
    <t>§9 INTERNAL Flags Discipline</t>
  </si>
  <si>
    <t>Every plan ships with Strategist's internal flag list. Excluded from client deliverable, retained for plan review.</t>
  </si>
  <si>
    <t>Cascade methodology</t>
  </si>
  <si>
    <t>Each strategy's marginal value computed by switching it OFF and recomputing. Plan Synergy captures interaction effects.</t>
  </si>
  <si>
    <t>Plan Synergy line is mandatory</t>
  </si>
  <si>
    <t>Every artifact decomposing strategy savings must show Plan Synergy. Cannot collapse to single strategy.</t>
  </si>
  <si>
    <t>Absorption Principle — Property basis is OUTPUT, not input</t>
  </si>
  <si>
    <t>Residual Capacity = AGI − Standard Deduction in S4-OFF scenario. Drives recommended property basis.</t>
  </si>
  <si>
    <t>Scaling Test — Two-rule deal qualifier</t>
  </si>
  <si>
    <t>Deal qualifies only if: (1) DSCR ≥ 1.20 on stabilized debt service; (2) basis fits absorption capacity ±10%.</t>
  </si>
  <si>
    <t>═══════════════════════════════════════════════════════</t>
  </si>
  <si>
    <t>TAX COMPUTATION PECKING ORDER</t>
  </si>
  <si>
    <t>The correct sequence for computing federal taxes</t>
  </si>
  <si>
    <t>CLASSIFY ALL INCOME</t>
  </si>
  <si>
    <t>Before computing anything, tag every dollar with:
- Character bucket: Ordinary, QD, LTCG, STCG, 1250, Collectibles, 1231
- NIIT/Activity bucket: Active, Passive, Portfolio, Exempt
This drives everything downstream.</t>
  </si>
  <si>
    <t>COMPUTE SE TAX EARLY</t>
  </si>
  <si>
    <t>SE tax is computed on net SE earnings × 92.35%
The 1/2 SE tax deduction reduces AGI
This affects MAGI for NIIT and many phaseouts</t>
  </si>
  <si>
    <t>BUILD AGI</t>
  </si>
  <si>
    <t>AGI = All taxable income - Above-the-line deductions
Includes: Wages, SE income, capital gains, dividends, interest
Minus: 1/2 SE tax, retirement contributions, HSA, etc.</t>
  </si>
  <si>
    <t>BUILD MAGI</t>
  </si>
  <si>
    <t>For NIIT: MAGI = AGI (for most people)
Note: QBI does NOT reduce AGI or MAGI</t>
  </si>
  <si>
    <t>BUILD TAXABLE INCOME (pre-QBI)</t>
  </si>
  <si>
    <t>Taxable Income = AGI - Standard/Itemized deduction
Compare: Standard vs Itemized, take the greater</t>
  </si>
  <si>
    <t>COMPUTE QBI DEDUCTION</t>
  </si>
  <si>
    <t>QBI deduction keys off taxable income (pre-QBI)
Needs: QBI amount, SSTB status, W-2 wages, UBIA
Limited to 20% of QBI or taxable income</t>
  </si>
  <si>
    <t>COMPUTE ORDINARY INCOME TAX</t>
  </si>
  <si>
    <t>Uses stacking: Ordinary income fills brackets first
Taxable Ordinary = Taxable Income - LTCG - QD
Apply progressive tax rates</t>
  </si>
  <si>
    <t>COMPUTE CAPITAL GAINS TAX</t>
  </si>
  <si>
    <t>LTCG + QD stack ON TOP of ordinary income
Apply 0%/15%/20% rates based on total taxable income
Special buckets: 1250 (25% max), Collectibles (28% max)</t>
  </si>
  <si>
    <t>COMPUTE NIIT</t>
  </si>
  <si>
    <t>NIIT = 3.8% × MIN(NII, MAGI - threshold)
NII includes: Interest, dividends, cap gains, passive income
Excludes: W-2 wages, active business income</t>
  </si>
  <si>
    <t>FINAL OVERLAYS</t>
  </si>
  <si>
    <t>Additional Medicare Tax (0.9%) on wages + SE over threshold
AMT if applicable
Credits, penalties, withholding</t>
  </si>
  <si>
    <t>STRATEGY CATALOG</t>
  </si>
  <si>
    <t>TAX PLANNING STRATEGIES</t>
  </si>
  <si>
    <t>ID</t>
  </si>
  <si>
    <t>Group</t>
  </si>
  <si>
    <t>Impact Type</t>
  </si>
  <si>
    <t>Complexity</t>
  </si>
  <si>
    <t>Tax Lines Affected</t>
  </si>
  <si>
    <t>Est. Savings</t>
  </si>
  <si>
    <t>STD-001</t>
  </si>
  <si>
    <t>Low Hanging Fruit</t>
  </si>
  <si>
    <t>Retirement Plan Contributions</t>
  </si>
  <si>
    <t>Solo 401k, SEP IRA, or Cash Balance plan contributions reduce SE/business income</t>
  </si>
  <si>
    <t>Low</t>
  </si>
  <si>
    <t>Line 10 (Non-SE) ↓</t>
  </si>
  <si>
    <t>STD-002</t>
  </si>
  <si>
    <t>Augusta Rule</t>
  </si>
  <si>
    <t>Rent home to business up to 14 days tax-free</t>
  </si>
  <si>
    <t>Line 10 (Non-SE) ↑</t>
  </si>
  <si>
    <t>STD-003</t>
  </si>
  <si>
    <t>Reimburse business expenses tax-free</t>
  </si>
  <si>
    <t>STD-004</t>
  </si>
  <si>
    <t>Employee Health/Fringe Benefits</t>
  </si>
  <si>
    <t>Health insurance and fringe benefits through business</t>
  </si>
  <si>
    <t>STD-005</t>
  </si>
  <si>
    <t>Hiring Children</t>
  </si>
  <si>
    <t>Pay children for legitimate work in business</t>
  </si>
  <si>
    <t>Medium</t>
  </si>
  <si>
    <t>Line 10 (Non-SE) ↑, Line 1 ↑</t>
  </si>
  <si>
    <t>STD-006</t>
  </si>
  <si>
    <t>Income Timing</t>
  </si>
  <si>
    <t>Defer/accelerate income between tax years</t>
  </si>
  <si>
    <t>Various</t>
  </si>
  <si>
    <t>STD-007</t>
  </si>
  <si>
    <t>Entity Restructure (S-Corp)</t>
  </si>
  <si>
    <t>Convert Schedule C to S-Corp for wage/distribution split</t>
  </si>
  <si>
    <t>Multi</t>
  </si>
  <si>
    <t>High</t>
  </si>
  <si>
    <t>Line 9 ↓, Line 10 ↑, Line 1 ↑</t>
  </si>
  <si>
    <t>STD-008</t>
  </si>
  <si>
    <t>Wage Optimization</t>
  </si>
  <si>
    <t>Optimize S-Corp salary for SE tax vs QBI</t>
  </si>
  <si>
    <t>Line 1, Line 10</t>
  </si>
  <si>
    <t>STD-009</t>
  </si>
  <si>
    <t>Cap Gain</t>
  </si>
  <si>
    <t>1031 Exchange</t>
  </si>
  <si>
    <t>Defer gains on real estate sale</t>
  </si>
  <si>
    <t>Line 7 (LTCG) ↓</t>
  </si>
  <si>
    <t>STD-010</t>
  </si>
  <si>
    <t>Opportunity Zone</t>
  </si>
  <si>
    <t>Invest gains in OZ for deferral/exclusion</t>
  </si>
  <si>
    <t>STD-011</t>
  </si>
  <si>
    <t>Tax Loss Harvesting</t>
  </si>
  <si>
    <t>Sell losers to offset gains</t>
  </si>
  <si>
    <t>Line 7 ↓</t>
  </si>
  <si>
    <t>STD-012</t>
  </si>
  <si>
    <t>CRE</t>
  </si>
  <si>
    <t>Cost Segregation</t>
  </si>
  <si>
    <t>Accelerate depreciation via cost seg study</t>
  </si>
  <si>
    <t>STD-013</t>
  </si>
  <si>
    <t>RE Professional Election</t>
  </si>
  <si>
    <t>Convert passive to active for loss utilization</t>
  </si>
  <si>
    <t>Line 14 → Line 10</t>
  </si>
  <si>
    <t>STD-014</t>
  </si>
  <si>
    <t>Section 179 Expensing</t>
  </si>
  <si>
    <t>Immediate expense vs depreciation</t>
  </si>
  <si>
    <t>ADV-001</t>
  </si>
  <si>
    <t>Advanced</t>
  </si>
  <si>
    <t>Cash Balance Plan</t>
  </si>
  <si>
    <t>Defined benefit plan for high earners</t>
  </si>
  <si>
    <t>ADV-002</t>
  </si>
  <si>
    <t>Charitable Strategies</t>
  </si>
  <si>
    <t>CRUT, CRAT, DAF for charitable deductions</t>
  </si>
  <si>
    <t>Line 12 (Itemized) ↑</t>
  </si>
  <si>
    <t>ADV-003</t>
  </si>
  <si>
    <t>QBI Optimization</t>
  </si>
  <si>
    <t>Grouping and aggregation elections</t>
  </si>
  <si>
    <t>Computed</t>
  </si>
  <si>
    <t>GLOSSARY &amp; MECHANICS</t>
  </si>
  <si>
    <t>Plain-language definitions, multi-year reference data, and full PTET state table. Source: Accruity Tax Planning Framework Canon v1.4 + Tax Plan Asset v1.8.7.</t>
  </si>
  <si>
    <t>SECTION A — GLOSSARY (in plain language)</t>
  </si>
  <si>
    <t>Term</t>
  </si>
  <si>
    <t>What It Is</t>
  </si>
  <si>
    <t>Why It Matters Here</t>
  </si>
  <si>
    <t>§1.469-4 Grouping Election</t>
  </si>
  <si>
    <t>Election under Treasury Reg §1.469-4 to treat multiple rental activities as a single activity for material-participation testing.</t>
  </si>
  <si>
    <t>Required for multi-property REPS — without it, taxpayer must materially participate in EACH property.</t>
  </si>
  <si>
    <t>§199A (QBI)</t>
  </si>
  <si>
    <t>20% deduction for qualified business income from pass-through entities. Phases out for SSTBs above MFJ $394,600 (2025).</t>
  </si>
  <si>
    <t>Strategy #1 lever — entity structure determines QBI eligibility.</t>
  </si>
  <si>
    <t>§280A (Augusta Rule)</t>
  </si>
  <si>
    <t>Allows homeowner to rent personal home for ≤14 days/yr tax-free; rent paid by S-Corp is deductible business expense.</t>
  </si>
  <si>
    <t>Strategy #5 — Low Hanging Fruit. Requires fair market rate + business purpose docs.</t>
  </si>
  <si>
    <t>§460 Dealer Property</t>
  </si>
  <si>
    <t>Property held primarily for sale to customers in ordinary course of business — triggers dealer treatment, ordinary income, no §1031.</t>
  </si>
  <si>
    <t>Wholesale/flip-heavy businesses risk dealer classification — flag for Active Business Type.</t>
  </si>
  <si>
    <t>Absorption Principle</t>
  </si>
  <si>
    <t>Canon v1.4 principle: property basis (cost seg target) is an OUTPUT of the plan, not an input. Right-size basis to absorb residual capacity.</t>
  </si>
  <si>
    <t>Drives Tab 1 §6 Absorption Diagnostics. Residual Capacity = AGI − Standard Deduction.</t>
  </si>
  <si>
    <t>Written reimbursement policy where S-Corp reimburses owner-employee for business expenses paid personally; reimbursements are NOT taxable wages.</t>
  </si>
  <si>
    <t>Strategy #5 LHF — must be adopted in writing BEFORE expenses incurred.</t>
  </si>
  <si>
    <t>Bonus Depreciation</t>
  </si>
  <si>
    <t>Tax provision allowing accelerated depreciation of qualifying property (5/7/15-year). Phasing down: 60% in 2024, 40% in 2025, 20% in 2026.</t>
  </si>
  <si>
    <t>Strategy #4 lever — primary mechanism for converting RE wealth into active loss offsets.</t>
  </si>
  <si>
    <t>BRRRR</t>
  </si>
  <si>
    <t>Buy-Rehab-Rent-Refinance-Repeat. RE investment strategy where forced appreciation via rehab funds the next acquisition.</t>
  </si>
  <si>
    <t>Common framework client model — cost seg + REPS multiplies BRRRR economics.</t>
  </si>
  <si>
    <t>Cascade Methodology</t>
  </si>
  <si>
    <t>Canon v1.4 method for computing each strategy's marginal savings. Strategy turned OFF in isolation, then back on; the delta is its marginal.</t>
  </si>
  <si>
    <t>Required methodology for Strategy savings decomposition. Plan Synergy line captures residual.</t>
  </si>
  <si>
    <t>Engineering-based study reclassifying portions of a building from 27.5/39-year to 5/7/15-year personal property and land improvements.</t>
  </si>
  <si>
    <t>Strategy #4 enabler. Canon §4 v1.4 default: 25% Y1 acceleration of total basis.</t>
  </si>
  <si>
    <t>Direction A / Direction B</t>
  </si>
  <si>
    <t>Canon §3 Wealth Architecture designations. A: client already invests in RE. B: not yet, but framework supports building toward it.</t>
  </si>
  <si>
    <t>Determines plan framing language and execution priority.</t>
  </si>
  <si>
    <t>FICA</t>
  </si>
  <si>
    <t>Federal Insurance Contributions Act tax. 7.65% employee + 7.65% employer = 15.3% on wages up to SS wage base; 1.45% Medicare uncapped.</t>
  </si>
  <si>
    <t>Strategy #2 lever — S-Corp wage placement controls FICA exposure.</t>
  </si>
  <si>
    <t>Schedule K-1 reporting owner's share of pass-through entity income, deductions, credits, distributions.</t>
  </si>
  <si>
    <t>Active vs. passive K-1 distinction drives SE tax, NIIT, and §469 PAL treatment.</t>
  </si>
  <si>
    <t>Net Investment Income Tax. 3.8% on net investment income for MAGI &gt; $250K MFJ / $200K Single. Thresholds NOT inflation-adjusted.</t>
  </si>
  <si>
    <t>Frozen since 2013. Reclassification of passive K-1s as active eliminates NIIT exposure.</t>
  </si>
  <si>
    <t>Plan Maturity Stages</t>
  </si>
  <si>
    <t>Four-stage progression: Standard Assumptions → Assumption-Refined → Actuals-Driven → Optimized.</t>
  </si>
  <si>
    <t>Canon §7+§9 — data-quality-driven, NOT calendar-driven.</t>
  </si>
  <si>
    <t>Plan Synergy</t>
  </si>
  <si>
    <t>Canon v1.4 line shown in every strategy decomposition. Difference between Σ(individual marginals) and Total Plan Savings.</t>
  </si>
  <si>
    <t>Captures interaction effects (e.g., #4 cost seg makes #3 retirement room go further).</t>
  </si>
  <si>
    <t>PTET</t>
  </si>
  <si>
    <t>Pass-Through Entity Tax. Elective state-level workaround for $10K SALT cap. Entity pays state tax directly, owner claims federal deduction.</t>
  </si>
  <si>
    <t>Supplemental B1. 33 states have PTET regimes. CA at 9.3% is the headline lever.</t>
  </si>
  <si>
    <t>QBI Aggregation (§199A-4)</t>
  </si>
  <si>
    <t>Election to combine multiple businesses into single trade/business for §199A wage+UBIA limits testing.</t>
  </si>
  <si>
    <t>Strategy #1 — required when multiple S-Corps share wage capacity.</t>
  </si>
  <si>
    <t>QBI Overall Cap</t>
  </si>
  <si>
    <t>§199A 20% × Pre-QBI Taxable Income cap. As cost seg reduces TI, this cap reduces — interaction with Strategy #4.</t>
  </si>
  <si>
    <t>Why Plan Synergy line is needed: cost seg shrinks QBI deduction.</t>
  </si>
  <si>
    <t>REPS</t>
  </si>
  <si>
    <t>Real Estate Professional Status. 750+ hours/yr in real property + &gt;50% of personal service hours. Reclassifies rental losses from passive to active.</t>
  </si>
  <si>
    <t>Strategy #4 prerequisite. Spouse can independently qualify.</t>
  </si>
  <si>
    <t>REPS Substantiation</t>
  </si>
  <si>
    <t>Contemporaneous time-log documentation required to defend REPS. Quarterly substantiation log per Canon §4 v1.4.</t>
  </si>
  <si>
    <t>Audit-risk-driven; deficient logs are the #1 REPS denial reason.</t>
  </si>
  <si>
    <t>Residual Capacity</t>
  </si>
  <si>
    <t>Canon v1.4 corrected — bonus depreciation required to drive Federal Income Tax to $0. Computes as AGI − Standard Deduction in S4-OFF scenario.</t>
  </si>
  <si>
    <t>Drives recommended property basis (right-sized cost seg target).</t>
  </si>
  <si>
    <t>S-Corp Election</t>
  </si>
  <si>
    <t>IRS election (Form 2553) for LLC or corporation to be taxed as S-Corp. Allows wage/distribution split — Strategy #2 enabler.</t>
  </si>
  <si>
    <t>Deadline: 2 months 15 days from year start. Late-relief: Rev Proc 2013-30.</t>
  </si>
  <si>
    <t>Scaling Test</t>
  </si>
  <si>
    <t>Canon v1.4 two-rule deal qualifier: (1) DSCR ≥ 1.20 on stabilized debt service; (2) basis fits absorption capacity ±10%.</t>
  </si>
  <si>
    <t>If deal fails either test, framework doesn't apply — escalate to specialized advisory.</t>
  </si>
  <si>
    <t>Self-Employment Tax. 15.3% (12.4% SS up to wage base + 2.9% Medicare uncapped) on net SE earnings × 92.35%.</t>
  </si>
  <si>
    <t>Strategy #2 reduces SE tax via S-Corp wage placement.</t>
  </si>
  <si>
    <t>SS Wage Base</t>
  </si>
  <si>
    <t>Annual cap on Social Security tax base. 2024 $168,600 / 2025 $176,100 / 2026 $184,500. Medicare uncapped.</t>
  </si>
  <si>
    <t>SE tax 12.4% SS portion only applies up to this cap.</t>
  </si>
  <si>
    <t>SSTB</t>
  </si>
  <si>
    <t>Specified Service Trade or Business — health, law, accounting, performing arts, consulting, athletics, financial services, investing, and 'reputation/skill of employees' businesses.</t>
  </si>
  <si>
    <t>QBI deduction phases out COMPLETELY above MFJ $494,600 (2025) for SSTBs; non-SSTBs only cap, not phase out.</t>
  </si>
  <si>
    <t>Standard Deduction (MFJ)</t>
  </si>
  <si>
    <t>Default 1040 deduction. 2024 $29,200 / 2025 $30,000 / 2026 $30,750.</t>
  </si>
  <si>
    <t>Itemizing only helps when itemized total &gt; standard. Most avatars take standard.</t>
  </si>
  <si>
    <t>STR Election (Short-Term Rental)</t>
  </si>
  <si>
    <t>Rentals with average stay ≤7 days OR ≤30 days with substantial services are NOT passive under §469. Material participation required.</t>
  </si>
  <si>
    <t>Alternative path to active loss treatment without REPS hours.</t>
  </si>
  <si>
    <t>Take-Home Cash / Lifestyle Liquidity</t>
  </si>
  <si>
    <t>Lifestyle-spendable cash after taxes, retirement contributions, and HSA. The 'family alignment' number.</t>
  </si>
  <si>
    <t>Canon §3 — Three-Number Headline includes Take-Home Cash floor (~60-70% of W/O baseline).</t>
  </si>
  <si>
    <t>Tie-Check</t>
  </si>
  <si>
    <t>Canon v1.4 hard reconciliation gate. Σ Strategy Marginals + Plan Synergy MUST = Total Plan Savings.</t>
  </si>
  <si>
    <t>Computed at Tab 2 Engine R221. Failure = recompute strategies.</t>
  </si>
  <si>
    <t>Wealth Architecture Principle</t>
  </si>
  <si>
    <t>Accruity's core framing: tax planning is offensive capital allocation, not defensive minimization. Real estate is the thread.</t>
  </si>
  <si>
    <t>Canon §3 — drives all messaging and strategy ordering.</t>
  </si>
  <si>
    <t>SECTION B — YEAR-BY-YEAR REFERENCE DATA</t>
  </si>
  <si>
    <t>Federal Income Tax Brackets — MFJ (taxable income floor)</t>
  </si>
  <si>
    <t>Bracket</t>
  </si>
  <si>
    <t>Key Limits &amp; Thresholds — MFJ (multi-year)</t>
  </si>
  <si>
    <t>Note</t>
  </si>
  <si>
    <t>Default 1040 deduction</t>
  </si>
  <si>
    <t>SE tax 15.3% cap</t>
  </si>
  <si>
    <t>Addl Medicare Threshold (MFJ)</t>
  </si>
  <si>
    <t>0.9% surcharge above</t>
  </si>
  <si>
    <t>NIIT Threshold (MFJ)</t>
  </si>
  <si>
    <t>3.8% on net investment income</t>
  </si>
  <si>
    <t>§199A Threshold Start (MFJ)</t>
  </si>
  <si>
    <t>QBI phase-in begin</t>
  </si>
  <si>
    <t>§199A Threshold End (MFJ)</t>
  </si>
  <si>
    <t>QBI phase-in complete (SSTB cliff)</t>
  </si>
  <si>
    <t>401(k) Employee Deferral</t>
  </si>
  <si>
    <t>Owner-employee contribution</t>
  </si>
  <si>
    <t>401(k) Total Contribution Cap</t>
  </si>
  <si>
    <t>Employee + employer combined</t>
  </si>
  <si>
    <t>HSA Family Limit</t>
  </si>
  <si>
    <t>Family HDHP coverage</t>
  </si>
  <si>
    <t>Kiddie Standard Deduction</t>
  </si>
  <si>
    <t>Strategy #5 — Employing Children</t>
  </si>
  <si>
    <t>Excess Business Loss MFJ (461(l))</t>
  </si>
  <si>
    <t>Loss above this becomes NOL</t>
  </si>
  <si>
    <t>Retirement Catch-Up Provisions (SECURE 2.0)</t>
  </si>
  <si>
    <t>Age 50-59</t>
  </si>
  <si>
    <t>$7,500 401(k) catch-up</t>
  </si>
  <si>
    <t>Standard catch-up</t>
  </si>
  <si>
    <t>Age 60-63</t>
  </si>
  <si>
    <t>$11,250 401(k) enhanced catch-up</t>
  </si>
  <si>
    <t>SECURE 2.0 super catch-up</t>
  </si>
  <si>
    <t>Age 64+</t>
  </si>
  <si>
    <t>Reverts to standard</t>
  </si>
  <si>
    <t>Age 55+ HSA</t>
  </si>
  <si>
    <t>$1,000 additional HSA</t>
  </si>
  <si>
    <t>Independent of 401(k) catch-up</t>
  </si>
  <si>
    <t>SECTION C — PTET (Pass-Through Entity Tax) — 33-STATE REFERENCE</t>
  </si>
  <si>
    <t>PTET workaround for $10K SALT cap. Pass-through pays state income tax directly; owner takes federal deduction.</t>
  </si>
  <si>
    <t>State</t>
  </si>
  <si>
    <t>PTET Rate</t>
  </si>
  <si>
    <t>Materiality for Avatar</t>
  </si>
  <si>
    <t>CA</t>
  </si>
  <si>
    <t>Elective</t>
  </si>
  <si>
    <t>⭐⭐⭐ Highest</t>
  </si>
  <si>
    <t>Graduated to 13.3%, PTET at 9.3% qualified net income</t>
  </si>
  <si>
    <t>NY</t>
  </si>
  <si>
    <t>⭐⭐ Material</t>
  </si>
  <si>
    <t>Graduated; ~6.85% effective for avatar</t>
  </si>
  <si>
    <t>NJ</t>
  </si>
  <si>
    <t>Graduated 5.675%-10.9%; 9.12% on $1M+</t>
  </si>
  <si>
    <t>OR</t>
  </si>
  <si>
    <t>High graduated rate state</t>
  </si>
  <si>
    <t>MN</t>
  </si>
  <si>
    <t>HI</t>
  </si>
  <si>
    <t>Highest top rate among PTET states</t>
  </si>
  <si>
    <t>MA</t>
  </si>
  <si>
    <t>⭐ Material</t>
  </si>
  <si>
    <t>Flat 5% + millionaire surtax</t>
  </si>
  <si>
    <t>VT</t>
  </si>
  <si>
    <t>Moderate</t>
  </si>
  <si>
    <t>MD</t>
  </si>
  <si>
    <t>~8% rate</t>
  </si>
  <si>
    <t>CT</t>
  </si>
  <si>
    <t>MANDATORY</t>
  </si>
  <si>
    <t>Only mandatory PTET state</t>
  </si>
  <si>
    <t>WI</t>
  </si>
  <si>
    <t>ME</t>
  </si>
  <si>
    <t>MT</t>
  </si>
  <si>
    <t>SC</t>
  </si>
  <si>
    <t>DE</t>
  </si>
  <si>
    <t>RI</t>
  </si>
  <si>
    <t>NE</t>
  </si>
  <si>
    <t>VA</t>
  </si>
  <si>
    <t>IA</t>
  </si>
  <si>
    <t>KS</t>
  </si>
  <si>
    <t>GA</t>
  </si>
  <si>
    <t>NM</t>
  </si>
  <si>
    <t>AL</t>
  </si>
  <si>
    <t>5% rate</t>
  </si>
  <si>
    <t>OH</t>
  </si>
  <si>
    <t>~5%</t>
  </si>
  <si>
    <t>MS</t>
  </si>
  <si>
    <t>IL</t>
  </si>
  <si>
    <t>WV</t>
  </si>
  <si>
    <t>OK</t>
  </si>
  <si>
    <t>MO</t>
  </si>
  <si>
    <t>MI</t>
  </si>
  <si>
    <t>Flat 4.25%</t>
  </si>
  <si>
    <t>LA</t>
  </si>
  <si>
    <t>NC</t>
  </si>
  <si>
    <t>KY</t>
  </si>
  <si>
    <t>AR</t>
  </si>
  <si>
    <t>IN</t>
  </si>
  <si>
    <t>AZ</t>
  </si>
  <si>
    <t>Flat 2.5%</t>
  </si>
  <si>
    <t>PA</t>
  </si>
  <si>
    <t>No PTET</t>
  </si>
  <si>
    <t>3.07% flat, no PTET</t>
  </si>
  <si>
    <t>DC</t>
  </si>
  <si>
    <t>Graduated, no PTET</t>
  </si>
  <si>
    <t>ND</t>
  </si>
  <si>
    <t>Has income tax, no PTET</t>
  </si>
  <si>
    <t>FL</t>
  </si>
  <si>
    <t>No state income tax</t>
  </si>
  <si>
    <t>TX</t>
  </si>
  <si>
    <t>WA</t>
  </si>
  <si>
    <t>NV</t>
  </si>
  <si>
    <t>WY</t>
  </si>
  <si>
    <t>SD</t>
  </si>
  <si>
    <t>AK</t>
  </si>
  <si>
    <t>TN</t>
  </si>
  <si>
    <t>NH</t>
  </si>
  <si>
    <t>Taxes investment only</t>
  </si>
  <si>
    <t>TAX LIMITATIONS REFERENCE</t>
  </si>
  <si>
    <t>TAX LIMITATIONS TRACKER</t>
  </si>
  <si>
    <t>1. PASSIVE ACTIVITY LOSS LIMITATIONS (IRC §469)</t>
  </si>
  <si>
    <t>NIIT_Class Determination:</t>
  </si>
  <si>
    <t>• Active = Taxpayer materially participates (no PAL limit applies)</t>
  </si>
  <si>
    <t>• Passive = Rental activities OR business without material participation</t>
  </si>
  <si>
    <t>• Portfolio = Interest, dividends, capital gains from investments</t>
  </si>
  <si>
    <t>• N/A = Deductions, credits, payments (not subject to NIIT)</t>
  </si>
  <si>
    <t>Passive Loss Limitation Rules:</t>
  </si>
  <si>
    <t>• Passive losses can ONLY offset passive income</t>
  </si>
  <si>
    <t>• Excess passive losses are suspended and carried forward indefinitely</t>
  </si>
  <si>
    <t>• Released upon complete disposition of the passive activity</t>
  </si>
  <si>
    <t>• $25,000 rental real estate exception (AGI phase-out $100k-$150k for active participants)</t>
  </si>
  <si>
    <t>• Real estate professionals may treat rental activities as active (&gt;750 hrs + &gt;50% of personal services)</t>
  </si>
  <si>
    <t>2. CAPITAL LOSS LIMITATIONS (IRC §1211)</t>
  </si>
  <si>
    <t>Capital Loss Limitation Rules:</t>
  </si>
  <si>
    <t>• Capital losses offset capital gains (STCG vs LTCG, then netting)</t>
  </si>
  <si>
    <t>• Excess capital loss deduction limited to $3,000 per year ($1,500 MFS)</t>
  </si>
  <si>
    <t>• Excess capital losses carried forward indefinitely (retain character as ST or LT)</t>
  </si>
  <si>
    <t>• Wash sale rules (IRC §1091) - no loss if substantially identical security repurchased within 30 days</t>
  </si>
  <si>
    <t>3. NET OPERATING LOSS (NOL) CARRYFORWARDS (IRC §172)</t>
  </si>
  <si>
    <t>NOL Limitation Rules (TCJA 2017 onwards):</t>
  </si>
  <si>
    <t>• NOL deduction limited to 80% of taxable income (for NOLs arising after 2017)</t>
  </si>
  <si>
    <t>• NOLs carried forward indefinitely (no expiration)</t>
  </si>
  <si>
    <t>• No carryback allowed (except 2018-2020 losses under CARES Act)</t>
  </si>
  <si>
    <t>• Excess Business Loss limitation: $289,000 single / $578,000 MFJ (2023) - excess becomes NOL</t>
  </si>
  <si>
    <t>4. PASSIVE LOSS TRACKING WORKSHEET</t>
  </si>
  <si>
    <t>Activity</t>
  </si>
  <si>
    <t>Source_Type</t>
  </si>
  <si>
    <t>Current Year Income/(Loss)</t>
  </si>
  <si>
    <t>Prior Year Suspended Loss</t>
  </si>
  <si>
    <t>Example: Rental Property A</t>
  </si>
  <si>
    <t>Schedule E - Rental</t>
  </si>
  <si>
    <t>Example: Partnership B</t>
  </si>
  <si>
    <t>Partnership K-1</t>
  </si>
  <si>
    <t>TOTALS:</t>
  </si>
  <si>
    <t>5. CAPITAL LOSS TRACKING WORKSHEET</t>
  </si>
  <si>
    <t>Type</t>
  </si>
  <si>
    <t>Current Year Gains/(Losses)</t>
  </si>
  <si>
    <t>Prior Year C/F</t>
  </si>
  <si>
    <t>Total Available</t>
  </si>
  <si>
    <t>Offset Against Gains</t>
  </si>
  <si>
    <t>Short-term</t>
  </si>
  <si>
    <t>Long-term</t>
  </si>
  <si>
    <t>Net Capital Gain/(Loss):</t>
  </si>
  <si>
    <t>Ordinary Income Offset (max $3,000):</t>
  </si>
  <si>
    <t>Capital Loss Carryforward:</t>
  </si>
  <si>
    <t>6. NET OPERATING LOSS (NOL) TRACKING</t>
  </si>
  <si>
    <t>NOL Generated</t>
  </si>
  <si>
    <t>Prior C/F Balance</t>
  </si>
  <si>
    <t>Total Available NOL</t>
  </si>
  <si>
    <t>Current Year TI (before NOL)</t>
  </si>
  <si>
    <t>QUICK CARRYOVER CALCULATOR — Manual Entry</t>
  </si>
  <si>
    <t>Simplified first-step inputs - calculates allowed amounts after limitations</t>
  </si>
  <si>
    <t>A. CURRENT YEAR ACTIVITY</t>
  </si>
  <si>
    <t>B. ALLOWED AMOUNTS (After Limitations)</t>
  </si>
  <si>
    <t>Allowed</t>
  </si>
  <si>
    <t>Rule Applied</t>
  </si>
  <si>
    <t>CY Passive Activity Income/(Loss)</t>
  </si>
  <si>
    <t>Enter positive for income, negative for loss</t>
  </si>
  <si>
    <t>Passive Loss Allowed</t>
  </si>
  <si>
    <t>PAL: Losses offset passive income only</t>
  </si>
  <si>
    <t>CY Capital Gains/(Losses)</t>
  </si>
  <si>
    <t>Net capital gains (positive) or losses (negative)</t>
  </si>
  <si>
    <t>Capital Loss vs Ordinary</t>
  </si>
  <si>
    <t>CL: Max $3,000 deduction vs ordinary</t>
  </si>
  <si>
    <t>CY Business Income/(Loss) - Non-Passive</t>
  </si>
  <si>
    <t>Schedule C, SE portion of K-1s, etc.</t>
  </si>
  <si>
    <t>Capital Gain to Tax</t>
  </si>
  <si>
    <t>CG: Taxed at preferential rates</t>
  </si>
  <si>
    <t>Prior Year Taxable Income</t>
  </si>
  <si>
    <t>For NOL 80% limitation calculation</t>
  </si>
  <si>
    <t>NOL Deduction Allowed</t>
  </si>
  <si>
    <t>NOL: Limited to 80% of taxable income</t>
  </si>
  <si>
    <t>C. SUMMARY - ADJUSTMENT TO TAX CALCULATOR</t>
  </si>
  <si>
    <t>Total Deductions Allowed</t>
  </si>
  <si>
    <t>Transfer to year sheet tax calculator (Section 7, row 129)</t>
  </si>
  <si>
    <t>Capital Gains for CG Tax</t>
  </si>
  <si>
    <t>Enter in year sheet helpers (CG_LT at J31, CG_ST at J32)</t>
  </si>
  <si>
    <t>Note: Enter values manually. Wire to year sheet helpers/tax calc inputs as needed.</t>
  </si>
  <si>
    <t>LOSS CARRYOVERS &amp; LIMITATIONS</t>
  </si>
  <si>
    <t>Track NOL, Capital Loss, and Passive Activity Loss carryforwards</t>
  </si>
  <si>
    <t>SIMPLE CARRYOVER INPUTS</t>
  </si>
  <si>
    <t>Enter prior year carryovers below. The detailed calculations are in sections 1-3.</t>
  </si>
  <si>
    <t>Carryover Type</t>
  </si>
  <si>
    <t>Year(s) of Loss</t>
  </si>
  <si>
    <t>STCL Carryforward</t>
  </si>
  <si>
    <t>Short-term capital loss from prior year(s)</t>
  </si>
  <si>
    <t>LTCL Carryforward</t>
  </si>
  <si>
    <t>Long-term capital loss from prior year(s)</t>
  </si>
  <si>
    <t>NOL Carryforward (Pre-2018)</t>
  </si>
  <si>
    <t>Net operating loss (100% usable)</t>
  </si>
  <si>
    <t>NOL Carryforward (Post-2017)</t>
  </si>
  <si>
    <t>Net operating loss (80% limit)</t>
  </si>
  <si>
    <t>Suspended PAL - Rental</t>
  </si>
  <si>
    <t>Suspended passive losses from rentals</t>
  </si>
  <si>
    <t>Suspended PAL - Other</t>
  </si>
  <si>
    <t>Suspended passive losses from other activities</t>
  </si>
  <si>
    <t>TOTAL CARRYOVERS</t>
  </si>
  <si>
    <t>1. CAPITAL LOSS CARRYOVER</t>
  </si>
  <si>
    <t>STCL</t>
  </si>
  <si>
    <t>LTCL</t>
  </si>
  <si>
    <t>Total</t>
  </si>
  <si>
    <t>Limit</t>
  </si>
  <si>
    <t>Used</t>
  </si>
  <si>
    <t>Prior Year STCL Carryover</t>
  </si>
  <si>
    <t>Enter PY carryover from prior return</t>
  </si>
  <si>
    <t>Prior Year LTCL Carryover</t>
  </si>
  <si>
    <t>Current Year Net CG/(CL)</t>
  </si>
  <si>
    <t>From Tax Calculator (before carryover)</t>
  </si>
  <si>
    <t>Net Capital Gain/(Loss)</t>
  </si>
  <si>
    <t>Combined PY carryover + CY activity</t>
  </si>
  <si>
    <t>Capital Loss Limitation</t>
  </si>
  <si>
    <t>Max $3,000 CL vs ordinary income ($1,500 MFS)</t>
  </si>
  <si>
    <t>CL Used Against Ordinary Income</t>
  </si>
  <si>
    <t>Limited to $3,000 or net loss if smaller</t>
  </si>
  <si>
    <t>STCL Carryover to Next Year</t>
  </si>
  <si>
    <t>STCL carries forward indefinitely</t>
  </si>
  <si>
    <t>LTCL Carryover to Next Year</t>
  </si>
  <si>
    <t>LTCL carries forward indefinitely</t>
  </si>
  <si>
    <t>2. NET OPERATING LOSS (NOL) CARRYOVER</t>
  </si>
  <si>
    <t>Pre-2018 NOL</t>
  </si>
  <si>
    <t>Post-2017 NOL</t>
  </si>
  <si>
    <t>Prior Year NOL Carryover (Pre-2018)</t>
  </si>
  <si>
    <t>Pre-TCJA NOL (100% usable, 20-yr limit)</t>
  </si>
  <si>
    <t>Prior Year NOL Carryover (Post-2017)</t>
  </si>
  <si>
    <t>Post-TCJA NOL (80% limit, indefinite)</t>
  </si>
  <si>
    <t>Total NOL Carryover Available</t>
  </si>
  <si>
    <t>Taxable Income (before NOL)</t>
  </si>
  <si>
    <t>From Tax Calculator</t>
  </si>
  <si>
    <t>80% Limitation (Post-2017 NOL)</t>
  </si>
  <si>
    <t>Post-2017 NOL limited to 80% of TI</t>
  </si>
  <si>
    <t>Pre-2018 NOL Used</t>
  </si>
  <si>
    <t>Use oldest NOL first (FIFO)</t>
  </si>
  <si>
    <t>Post-2017 NOL Used</t>
  </si>
  <si>
    <t>Limited to 80% of remaining TI</t>
  </si>
  <si>
    <t>Total NOL Deduction</t>
  </si>
  <si>
    <t>NOL Carryover to Next Year</t>
  </si>
  <si>
    <t>Remaining NOL for future years</t>
  </si>
  <si>
    <t>3. PASSIVE ACTIVITY LOSS (PAL) CARRYOVER</t>
  </si>
  <si>
    <t>Rental RE</t>
  </si>
  <si>
    <t>Other Passive</t>
  </si>
  <si>
    <t>Prior Year Suspended PAL - Rental</t>
  </si>
  <si>
    <t>Enter PY suspended rental losses</t>
  </si>
  <si>
    <t>Prior Year Suspended PAL - Other</t>
  </si>
  <si>
    <t>Enter PY suspended passive losses</t>
  </si>
  <si>
    <t>Current Year Passive Income/(Loss)</t>
  </si>
  <si>
    <t>From Tax Calculator (NIIT Passive)</t>
  </si>
  <si>
    <t>Net Passive Activity</t>
  </si>
  <si>
    <t>PY carryover + CY activity</t>
  </si>
  <si>
    <t>AGI for $25K Allowance Test</t>
  </si>
  <si>
    <t>Phaseout starts at $100K AGI</t>
  </si>
  <si>
    <t>$25K Rental RE Allowance</t>
  </si>
  <si>
    <t>$25K reduced by 50% of AGI over $100K</t>
  </si>
  <si>
    <t>PAL Allowed - Rental RE</t>
  </si>
  <si>
    <t>Limited by $25K allowance (if loss)</t>
  </si>
  <si>
    <t>PAL Allowed - Other Passive</t>
  </si>
  <si>
    <t>Offset only against passive income</t>
  </si>
  <si>
    <t>Total PAL Allowed</t>
  </si>
  <si>
    <t>Suspended PAL to Next Year - Rental</t>
  </si>
  <si>
    <t>Carryover until disposition or income</t>
  </si>
  <si>
    <t>Suspended PAL to Next Year - Other</t>
  </si>
  <si>
    <t>4. LIMITATION RULES REFERENCE</t>
  </si>
  <si>
    <t>Max $3,000/yr against ordinary income ($1,500 MFS). Excess carries forward indefinitely. Use STCL first, then LTCL.</t>
  </si>
  <si>
    <t>NOL (Pre-2018)</t>
  </si>
  <si>
    <t>100% usable against taxable income. 20-year carryforward limit (from year of loss). Use FIFO.</t>
  </si>
  <si>
    <t>NOL (Post-2017)</t>
  </si>
  <si>
    <t>Limited to 80% of taxable income. Indefinite carryforward. No carryback (except farming).</t>
  </si>
  <si>
    <t>Passive Activity Loss</t>
  </si>
  <si>
    <t>Only offsets passive income. $25K rental RE allowance (phases out $100K-$150K AGI). Fully allowed on disposition.</t>
  </si>
  <si>
    <t>At-Risk Rules (§465)</t>
  </si>
  <si>
    <t>Losses limited to amount at risk. Applies before PAL rules. Track separately by activity.</t>
  </si>
  <si>
    <t>Basis Limitation (S-Corp/Pship)</t>
  </si>
  <si>
    <t>Losses limited to basis in entity. Track stock/debt basis and AAA for S-corps.</t>
  </si>
  <si>
    <t>Excess Business Loss</t>
  </si>
  <si>
    <t>$305,000 single / $610,000 MFJ limit (2025). Excess becomes NOL carryforward.</t>
  </si>
  <si>
    <t>TAX STRATEGY QUESTIONNAIRE</t>
  </si>
  <si>
    <t>26 questions — Detection column (E) wired to dynamic named ranges (follows Active_Year).</t>
  </si>
  <si>
    <t>#</t>
  </si>
  <si>
    <t>Category</t>
  </si>
  <si>
    <t>Question</t>
  </si>
  <si>
    <t>Detection (E)</t>
  </si>
  <si>
    <t>Flag (F)</t>
  </si>
  <si>
    <t>Recommendation</t>
  </si>
  <si>
    <t>Helper H (unused)</t>
  </si>
  <si>
    <t>Helper I (unused)</t>
  </si>
  <si>
    <t>Tax Rate</t>
  </si>
  <si>
    <t>Marginal tax bracket — at or above 24%?</t>
  </si>
  <si>
    <t>Income shifting / deferral; bracket-fill Roth conversions if room.</t>
  </si>
  <si>
    <t>Effective tax rate &gt; 15%?</t>
  </si>
  <si>
    <t>High effective rate = optimization opportunity. Review structural levers.</t>
  </si>
  <si>
    <t>QBI Deduction (§199A) — taken or missed?</t>
  </si>
  <si>
    <t>Verify QBI: SSTB status, W-2 wage / UBIA limits, taxable income phase-in.</t>
  </si>
  <si>
    <t>AMT</t>
  </si>
  <si>
    <t>AMT triggered?</t>
  </si>
  <si>
    <t>Review ISO exercise, large SALT, private-activity muni interest.</t>
  </si>
  <si>
    <t>Self-Employment tax — S-Corp candidate?</t>
  </si>
  <si>
    <t>Evaluate S-Corp election; reasonable comp vs distribution split.</t>
  </si>
  <si>
    <t>Business</t>
  </si>
  <si>
    <t>How many business entities (Sch C + K-1s)?</t>
  </si>
  <si>
    <t>Each entity is a planning surface — see year sheet strategies table.</t>
  </si>
  <si>
    <t>Each entity is a planning surface — see STRATEGY_INPUTS.</t>
  </si>
  <si>
    <t>Entity Structure</t>
  </si>
  <si>
    <t>Any Partnership K-1s eligible for S-Corp election?</t>
  </si>
  <si>
    <t>S-Corp election may save SE tax via wage/distribution split.</t>
  </si>
  <si>
    <t>Passive Losses</t>
  </si>
  <si>
    <t>Suspended passive losses?</t>
  </si>
  <si>
    <t>Review Form 8582; grouping elections, REPS, disposition timing.</t>
  </si>
  <si>
    <t>Real Estate</t>
  </si>
  <si>
    <t>Rental real estate present?</t>
  </si>
  <si>
    <t>Evaluate REPS, short-term rental loophole, cost seg, 1031 timing.</t>
  </si>
  <si>
    <t>Cost Seg</t>
  </si>
  <si>
    <t>Cost segregation opportunity?</t>
  </si>
  <si>
    <t>Cost seg study on $500K+ basis properties not yet segregated; bonus dep window.</t>
  </si>
  <si>
    <t>Dispositions</t>
  </si>
  <si>
    <t>Property dispositions in current year?</t>
  </si>
  <si>
    <t>1031 exchange? Installment sale? Opp Zone deferral if gain.</t>
  </si>
  <si>
    <t>Positive capital gains?</t>
  </si>
  <si>
    <t>Tax loss harvesting; tax-gain harvesting in low-bracket year.</t>
  </si>
  <si>
    <t>Charitable</t>
  </si>
  <si>
    <t>Charitable contributions claimed?</t>
  </si>
  <si>
    <t>DAF bunching; QCD from IRA at age 70½+; LTCG property donations.</t>
  </si>
  <si>
    <t>SALT cap impact?</t>
  </si>
  <si>
    <t>PTET election (state-level workaround) may unlock above-cap SALT.</t>
  </si>
  <si>
    <t>Retirement</t>
  </si>
  <si>
    <t>Retirement contributions made?</t>
  </si>
  <si>
    <t>NO</t>
  </si>
  <si>
    <t>Max 401(k), SEP-IRA, Solo 401(k), DB plan; mega backdoor Roth.</t>
  </si>
  <si>
    <t>HSA contributions made?</t>
  </si>
  <si>
    <t>$0 - No HSA visible</t>
  </si>
  <si>
    <t>Max HSA family contribution ($8,550 in 2025; +$1,000 age 55+).</t>
  </si>
  <si>
    <t>Family</t>
  </si>
  <si>
    <t>Hiring children opportunity?</t>
  </si>
  <si>
    <t>Strategy #5 LHF — kiddie standard deduction ~$15K/child, no FICA under 18.</t>
  </si>
  <si>
    <t>Augusta Rule (§280A) opportunity?</t>
  </si>
  <si>
    <t>≤14 days home rental to S-Corp at fair market rate; tax-free to homeowner.</t>
  </si>
  <si>
    <t>Accountable Plan needed?</t>
  </si>
  <si>
    <t>Written reimbursement plan must be adopted BEFORE expenses incurred.</t>
  </si>
  <si>
    <t>NIIT (3.8%) exposure?</t>
  </si>
  <si>
    <t>Reclassify passive K-1s as active; muni bonds; defer investment income.</t>
  </si>
  <si>
    <t>Over-withholding?</t>
  </si>
  <si>
    <t>Adjust W-4 to reduce over-withholding (interest-free loan to IRS).</t>
  </si>
  <si>
    <t>International</t>
  </si>
  <si>
    <t>Foreign income / FBAR / 8938?</t>
  </si>
  <si>
    <t>Requires client inquiry — FBAR / Form 8938</t>
  </si>
  <si>
    <t>UNKNOWN</t>
  </si>
  <si>
    <t>Ask client about foreign accounts, foreign income, foreign entities.</t>
  </si>
  <si>
    <t>Life Changes</t>
  </si>
  <si>
    <t>Marriage / divorce / new baby / move?</t>
  </si>
  <si>
    <t>Requires client inquiry — marriage / divorce / birth / move</t>
  </si>
  <si>
    <t>Major life events drive filing status, dependents, and state residency.</t>
  </si>
  <si>
    <t>Estate</t>
  </si>
  <si>
    <t>Estate planning needs?</t>
  </si>
  <si>
    <t>Requires client inquiry — estate / gifts / trusts</t>
  </si>
  <si>
    <t>$13.99M federal exemption (2025) but state thresholds far lower.</t>
  </si>
  <si>
    <t>Credits</t>
  </si>
  <si>
    <t>Child Tax Credit claimed?</t>
  </si>
  <si>
    <t>INFO</t>
  </si>
  <si>
    <t>$2,000/child (2025); refundable portion via ACTC; phase-out &gt; $400K MFJ.</t>
  </si>
  <si>
    <t>Reasonable Comp</t>
  </si>
  <si>
    <t>Reasonable comp / wages-to-income ratio?</t>
  </si>
  <si>
    <t>If wages &gt; 30%: lower comp + raise distribution. If $0: reasonable comp risk.</t>
  </si>
  <si>
    <t>PRIORITY SUMMARY</t>
  </si>
  <si>
    <t>Action Items (NO):</t>
  </si>
  <si>
    <t>Review Items:</t>
  </si>
  <si>
    <t>OK Items:</t>
  </si>
  <si>
    <t>🚨 HIGH PRIORITY (Action Required)</t>
  </si>
  <si>
    <t>Q15</t>
  </si>
  <si>
    <t>$0 - No retirement contributions visible</t>
  </si>
  <si>
    <t>Q16</t>
  </si>
  <si>
    <t>Q25</t>
  </si>
  <si>
    <t>No CTC visible</t>
  </si>
  <si>
    <t>⚠️ MEDIUM PRIORITY (Planning Opportunity)</t>
  </si>
  <si>
    <t>Q3</t>
  </si>
  <si>
    <t>Q6</t>
  </si>
  <si>
    <t>Q7</t>
  </si>
  <si>
    <t>Q9</t>
  </si>
  <si>
    <t>Q10</t>
  </si>
  <si>
    <t>Q18</t>
  </si>
  <si>
    <t>Q26</t>
  </si>
  <si>
    <t>ℹ️ INFO (Requires Client Inquiry)</t>
  </si>
  <si>
    <t>Q22</t>
  </si>
  <si>
    <t>Q23</t>
  </si>
  <si>
    <t>Q24</t>
  </si>
  <si>
    <t>✓ OK (No Issue Detected)</t>
  </si>
  <si>
    <t>Q1</t>
  </si>
  <si>
    <t>Q2</t>
  </si>
  <si>
    <t>Q4</t>
  </si>
  <si>
    <t>Q5</t>
  </si>
  <si>
    <t>Q8</t>
  </si>
  <si>
    <t>Q11</t>
  </si>
  <si>
    <t>Q12</t>
  </si>
  <si>
    <t>Q13</t>
  </si>
  <si>
    <t>Q14</t>
  </si>
  <si>
    <t>Q17</t>
  </si>
  <si>
    <t>Q19</t>
  </si>
  <si>
    <t>Q20</t>
  </si>
  <si>
    <t>Q21</t>
  </si>
  <si>
    <t>Source: SKILL_Questionnaire_Logic.md (LET-free for openpyxl/Excel compat)</t>
  </si>
  <si>
    <t>FILE CONNECTIONS — Extraction Integration</t>
  </si>
  <si>
    <t>Maps extraction source files → target sheets in this workbook. Set file paths below, then use import macro to pull data.</t>
  </si>
  <si>
    <t>SECTION 1 — EXTRACTION FILE PATHS</t>
  </si>
  <si>
    <t>Slot</t>
  </si>
  <si>
    <t>File Path (enter here)</t>
  </si>
  <si>
    <t>What It Fills</t>
  </si>
  <si>
    <t>Current Year</t>
  </si>
  <si>
    <t>CurrentYearExtractionPath</t>
  </si>
  <si>
    <t>Fills Master_Inputs rows for current year + AsFiled</t>
  </si>
  <si>
    <t>Prior Year 1</t>
  </si>
  <si>
    <t>PriorYear1ExtractionPath</t>
  </si>
  <si>
    <t>Fills AsFiled rows for prior year</t>
  </si>
  <si>
    <t>Prior Year 2</t>
  </si>
  <si>
    <t>PriorYear2ExtractionPath</t>
  </si>
  <si>
    <t>Fills AsFiled rows for PY-2</t>
  </si>
  <si>
    <t>SECTION 2 — SHEET MAPPING (Extraction → This Workbook)</t>
  </si>
  <si>
    <t>Extraction Sheet</t>
  </si>
  <si>
    <t>Target Sheet</t>
  </si>
  <si>
    <t>How It Maps</t>
  </si>
  <si>
    <t>Form_1040_Summary</t>
  </si>
  <si>
    <t>Master_Inputs + AsFiled</t>
  </si>
  <si>
    <t>Line items → rows in tblMaster_Inputs (Baseline_Amount) and tblAsFiled (Filed_Amount)</t>
  </si>
  <si>
    <t>Year column determines which year's data</t>
  </si>
  <si>
    <t>Activity_Detail</t>
  </si>
  <si>
    <t>Master_Inputs</t>
  </si>
  <si>
    <t>K-1s, Sch C/E/F → individual rows with Treatment_Profile classification</t>
  </si>
  <si>
    <t>Use Treatment_Profile_Map for classification</t>
  </si>
  <si>
    <t>Deductions_and_Adjustments</t>
  </si>
  <si>
    <t>Above-line adjustments and itemized deductions → rows with Bucket=Adjustment/Itemized</t>
  </si>
  <si>
    <t>Primary_Line = 10 or 12</t>
  </si>
  <si>
    <t>PBC_Checklist</t>
  </si>
  <si>
    <t>AsFiled</t>
  </si>
  <si>
    <t>Document status tracking → Provenance column in tblAsFiled</t>
  </si>
  <si>
    <t>Status = Filed Return</t>
  </si>
  <si>
    <t>Tax Strategy Questionnaire</t>
  </si>
  <si>
    <t>Questionnaire</t>
  </si>
  <si>
    <t>Pre-answered questions → Detection column</t>
  </si>
  <si>
    <t>Wire to our named ranges</t>
  </si>
  <si>
    <t>SECTION 3 — OUR WORKBOOK ARCHITECTURE</t>
  </si>
  <si>
    <t>Sheet</t>
  </si>
  <si>
    <t>Purpose</t>
  </si>
  <si>
    <t>Key Table/Range</t>
  </si>
  <si>
    <t>Central fact table — all income/deduction items</t>
  </si>
  <si>
    <t>tblMaster_Inputs (A4:S15+)</t>
  </si>
  <si>
    <t>tblAsFiled (B5:O14+)</t>
  </si>
  <si>
    <t>Y2023-Y2028</t>
  </si>
  <si>
    <t>Year sandboxes with strategies + 7-calculator</t>
  </si>
  <si>
    <t>tblY{YEAR}_Strategies + rollup H5:O18 + calc H65:K132</t>
  </si>
  <si>
    <t>Tax_Ref</t>
  </si>
  <si>
    <t>Rate tables: FIT, LTCG, StdDed, Thresholds</t>
  </si>
  <si>
    <t>4 tables (B8:G573)</t>
  </si>
  <si>
    <t>Treatment_Profile_Map</t>
  </si>
  <si>
    <t>Profile → SE/NIIT/QBI/Line/Helper mapping</t>
  </si>
  <si>
    <t>tblTreatmentProfileMap (A4:I38)</t>
  </si>
  <si>
    <t>Plan_Settings</t>
  </si>
  <si>
    <t>Engagement config (year, client, filing status)</t>
  </si>
  <si>
    <t>Named ranges: Active_Year, Active_Client, Filing_Status</t>
  </si>
  <si>
    <t>Pivot_Summary/Medium/Detailed/Helpers</t>
  </si>
  <si>
    <t>SUMIFS grids feeding named ranges</t>
  </si>
  <si>
    <t>DO NOT MODIFY</t>
  </si>
  <si>
    <t>Visual_Pivot_*</t>
  </si>
  <si>
    <t>PivotTables feeding Pivot_GPD via GETPIVOTDATA</t>
  </si>
  <si>
    <t>4 pivot sheets</t>
  </si>
  <si>
    <t>SECTION 4 — IMPORT WORKFLOW</t>
  </si>
  <si>
    <t>1. Set extraction file paths in Section 1 above</t>
  </si>
  <si>
    <t>2. Run import macro (VBA) or manually paste data</t>
  </si>
  <si>
    <t>3. Classify rows using Treatment_Profile_Map</t>
  </si>
  <si>
    <t>4. Verify via PY_Recon (baseline vs AsFiled)</t>
  </si>
  <si>
    <t>5. Review year sheet calculators for tax impact</t>
  </si>
  <si>
    <t>PROJECTION HISTORY — Track projection accuracy over time</t>
  </si>
  <si>
    <t>Populated by year-end rollover. One row per (Year × Line). Compare against Pivot_Summary and year sheet calculators.</t>
  </si>
  <si>
    <t>Projected (when made)</t>
  </si>
  <si>
    <t>Filed (actual)</t>
  </si>
  <si>
    <t>Variance $</t>
  </si>
  <si>
    <t>Variance %</t>
  </si>
  <si>
    <t>Accuracy Grade</t>
  </si>
  <si>
    <t>HOW TO USE THIS SHEET</t>
  </si>
  <si>
    <t>1. The year-end rollover macro (modRollover.ExecuteRollover) automatically appends rows when TaxYear increments.</t>
  </si>
  <si>
    <t>2. BEFORE incrementing TaxYear, the macro snapshots the current 'TaxYear+1 PROJECTION' column.</t>
  </si>
  <si>
    <t>3. AFTER filing, the actual 'TaxYear Adjusted' values get written into the 'Filed' column.</t>
  </si>
  <si>
    <t>4. The 'Variance' and 'Accuracy Grade' columns auto-calculate.</t>
  </si>
  <si>
    <t>5. TAX_SUMMARY column 'PY Projected' uses XLOOKUP against this sheet to show prior-year projections.</t>
  </si>
  <si>
    <t>ACCURACY GRADES</t>
  </si>
  <si>
    <t xml:space="preserve">  A = within 5% of projection</t>
  </si>
  <si>
    <t xml:space="preserve">  B = within 10%</t>
  </si>
  <si>
    <t xml:space="preserve">  C = within 20%</t>
  </si>
  <si>
    <t xml:space="preserve">  D = &gt; 20% variance</t>
  </si>
  <si>
    <t>CHANGE LOG</t>
  </si>
  <si>
    <t>Track all changes made to inputs for audit trail</t>
  </si>
  <si>
    <t>Timestamp</t>
  </si>
  <si>
    <t>User</t>
  </si>
  <si>
    <t>Cell</t>
  </si>
  <si>
    <t>Old Value</t>
  </si>
  <si>
    <t>New Value</t>
  </si>
  <si>
    <t>SETUP GUIDE — Master_Pivot_Framework</t>
  </si>
  <si>
    <t>Quick reference for workbook architecture, data entry, and configuration.</t>
  </si>
  <si>
    <t>1. GETTING STARTED</t>
  </si>
  <si>
    <t>• Set Plan Year, Client, Filing Status in Plan_Settings (B6, B9, B13)</t>
  </si>
  <si>
    <t>• These drive named ranges (Active_Year, Active_Client, Filing_Status) used throughout</t>
  </si>
  <si>
    <t>• Strategy elections (S-Corp, SSTB, REPS, etc.) are also on Plan_Settings</t>
  </si>
  <si>
    <t>2. DATA ENTRY</t>
  </si>
  <si>
    <t>Master_Inputs (tblMaster_Inputs):</t>
  </si>
  <si>
    <t xml:space="preserve">  • Each row = one income/deduction item from source documents</t>
  </si>
  <si>
    <t xml:space="preserve">  • Column F: Treatment_Profile (maps to Treatment_Profile_Map for auto-classification)</t>
  </si>
  <si>
    <t xml:space="preserve">  • Column K: Baseline_Amount (the dollar amount)</t>
  </si>
  <si>
    <t xml:space="preserve">  • Column L-M: Helper_Amount + Helper_Treatment (for carve-outs: QUAL_DIV, TAX_EXEMPT, SEC1250)</t>
  </si>
  <si>
    <t xml:space="preserve">  • Column N-P: SE_Subject, NIIT_Class, QBI_Eligible (tax classification)</t>
  </si>
  <si>
    <t xml:space="preserve">  • Column Q: Primary_Line (1040 line: 1z, 2b, 3b, 7, 8, 10, 12)</t>
  </si>
  <si>
    <t xml:space="preserve">  • See Input_Table_Mods sheet for full column documentation</t>
  </si>
  <si>
    <t>AsFiled (tblAsFiled):</t>
  </si>
  <si>
    <t xml:space="preserve">  • Filed return data for PY reconciliation</t>
  </si>
  <si>
    <t xml:space="preserve">  • One section per year — use Year column filter</t>
  </si>
  <si>
    <t xml:space="preserve">  • PY_Recon compares Master_Inputs baseline vs AsFiled via SUMIFS</t>
  </si>
  <si>
    <t>3. YEAR SHEET SANDBOXES (Y2023-Y2028)</t>
  </si>
  <si>
    <t xml:space="preserve">  • Each year sheet = independent planning sandbox</t>
  </si>
  <si>
    <t xml:space="preserve">  • Strategies table (A5:F): add sandbox what-if strategies</t>
  </si>
  <si>
    <t xml:space="preserve">  • Rollup (H5:O18): 1040 line summary with Baseline, PY?, Override, Strategies, Effective</t>
  </si>
  <si>
    <t xml:space="preserve">  • Helpers (H22:K33): tax classification breakdowns (W2, SE, passive, etc.)</t>
  </si>
  <si>
    <t xml:space="preserve">  • Tax Calc Inputs (H35:K46): derived values for calculator</t>
  </si>
  <si>
    <t xml:space="preserve">  • 7-Calculator (H69:K132): SE, Payroll, Ordinary, Cap Gains, NIIT, QBI, Combined</t>
  </si>
  <si>
    <t xml:space="preserve">  • Drill Detail (H48:O63): FILTER lookup into Master_Inputs by line</t>
  </si>
  <si>
    <t>4. WORKFLOW: SANDBOX → COMMITTED</t>
  </si>
  <si>
    <t xml:space="preserve">  • Year sheet strategies = sandbox (what-if modeling)</t>
  </si>
  <si>
    <t xml:space="preserve">  • When decided, promote to Master_Inputs with Activity_Type='Strategy'</t>
  </si>
  <si>
    <t xml:space="preserve">  • Master_Inputs strategies become the committed baseline</t>
  </si>
  <si>
    <t>5. COLOR CODING</t>
  </si>
  <si>
    <t xml:space="preserve">  • Blue text = input cells (enter data here)</t>
  </si>
  <si>
    <t xml:space="preserve">  • Black text = formulas</t>
  </si>
  <si>
    <t xml:space="preserve">  • Green text = cross-sheet references</t>
  </si>
  <si>
    <t xml:space="preserve">  • Yellow highlight = key output / attention needed</t>
  </si>
  <si>
    <t>6. TAB COLORS</t>
  </si>
  <si>
    <t xml:space="preserve">  • Green tabs = Input/Config sheets</t>
  </si>
  <si>
    <t xml:space="preserve">  • Blue tabs = Year sandboxes</t>
  </si>
  <si>
    <t xml:space="preserve">  • Gold tabs = Dashboards/Reconciliation</t>
  </si>
  <si>
    <t xml:space="preserve">  • Gray tabs = Pivot engine (DO NOT MODIFY)</t>
  </si>
  <si>
    <t xml:space="preserve">  • Purple tabs = Visual pivot tables</t>
  </si>
  <si>
    <t xml:space="preserve">  • Red tabs = Reference documentation</t>
  </si>
  <si>
    <t>7. KEY NAMED RANGES</t>
  </si>
  <si>
    <t xml:space="preserve">  • Active_Year → Plan_Settings!C6</t>
  </si>
  <si>
    <t xml:space="preserve">  • Active_Client → Plan_Settings!C9</t>
  </si>
  <si>
    <t xml:space="preserve">  • Filing_Status → Plan_Settings!C13</t>
  </si>
  <si>
    <t xml:space="preserve">  • TaxableIncome, AGI, OrdIncome, MAGI, NII, etc. → Y2025 (active year sheet)</t>
  </si>
  <si>
    <t xml:space="preserve">  • VP_* (13 ranges) → Pivot_GPD active year column</t>
  </si>
  <si>
    <t>MASTER_INPUTS COLUMN SCHEMA — tblMaster_Inputs (A4:S)</t>
  </si>
  <si>
    <t>Documents the current column structure of our Master_Inputs table.</t>
  </si>
  <si>
    <t>Column</t>
  </si>
  <si>
    <t>Header</t>
  </si>
  <si>
    <t>A</t>
  </si>
  <si>
    <t>Unique row identifier (e.g., SAM|2025|Wages|01)</t>
  </si>
  <si>
    <t>B</t>
  </si>
  <si>
    <t>Tax year this item belongs to (2023-2028)</t>
  </si>
  <si>
    <t>C</t>
  </si>
  <si>
    <t>Client code (e.g., SAMPLE, CEDILLO)</t>
  </si>
  <si>
    <t>D</t>
  </si>
  <si>
    <t>Full client name</t>
  </si>
  <si>
    <t>E</t>
  </si>
  <si>
    <t>Income category: Wages, Business Income, Investment Income, Capital Gains, Adjustment, Itemized, Credit, Payment</t>
  </si>
  <si>
    <t>F</t>
  </si>
  <si>
    <t>Specific tax treatment (e.g., W2_SCorpOwner, K1_SCorp_Active, LTCG_Stock). Maps to Treatment_Profile_Map.</t>
  </si>
  <si>
    <t>G</t>
  </si>
  <si>
    <t>Document type (W-2, K-1, 1099, etc.)</t>
  </si>
  <si>
    <t>H</t>
  </si>
  <si>
    <t>Baseline or Strategy</t>
  </si>
  <si>
    <t>I</t>
  </si>
  <si>
    <t>Data source (Estimate, Filed Return, QB Export, etc.)</t>
  </si>
  <si>
    <t>J</t>
  </si>
  <si>
    <t>Entity/payor name</t>
  </si>
  <si>
    <t>K</t>
  </si>
  <si>
    <t>Dollar amount for this item</t>
  </si>
  <si>
    <t>L</t>
  </si>
  <si>
    <t>Sub-amount for carve-outs (qualified div portion, tax-exempt portion, etc.)</t>
  </si>
  <si>
    <t>M</t>
  </si>
  <si>
    <t>Carve-out type: QUAL_DIV, TAX_EXEMPT, SEC1250, OWNER_PAY, etc.</t>
  </si>
  <si>
    <t>N</t>
  </si>
  <si>
    <t>Yes/No — subject to self-employment tax</t>
  </si>
  <si>
    <t>O</t>
  </si>
  <si>
    <t>Active/Passive/Portfolio/N/A — for NIIT and PAL classification</t>
  </si>
  <si>
    <t>P</t>
  </si>
  <si>
    <t>Yes/No — eligible for §199A QBI deduction</t>
  </si>
  <si>
    <t>Q</t>
  </si>
  <si>
    <t>Form 1040 line number (1z, 2b, 3b, 7, 8, 10, 12, etc.)</t>
  </si>
  <si>
    <t>R</t>
  </si>
  <si>
    <t>Prompt for preparer review</t>
  </si>
  <si>
    <t>S</t>
  </si>
  <si>
    <t>Free-text notes</t>
  </si>
  <si>
    <t>LAMBDA FUNCTION DEFINITIONS — Adapted for Master_Pivot_Framework</t>
  </si>
  <si>
    <t>Define in Name Manager (Ctrl+F3 → New). Formulas reference tblBrackets_FIT, tblBrackets_LTCG, tblThresholds on Tax_Ref sheet.</t>
  </si>
  <si>
    <t>Name</t>
  </si>
  <si>
    <t>Parameters</t>
  </si>
  <si>
    <t>Calc_OrdinaryTax</t>
  </si>
  <si>
    <t>Progressive bracket tax on ordinary income (uses tblBrackets_FIT via SUMPRODUCT)</t>
  </si>
  <si>
    <t>taxable_income, filing_status, tax_year</t>
  </si>
  <si>
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</si>
  <si>
    <t>NOTE: tblBrackets_FIT structured refs fail in cross-sheet SUMPRODUCT. Year sheets use direct cell refs (Tax_Ref!$B$9:$B$176 etc.) instead.</t>
  </si>
  <si>
    <t>LTCG/QD tax with stacking on ordinary income (uses tblBrackets_LTCG)</t>
  </si>
  <si>
    <t>cap_gains, ord_income, filing_status, tax_year</t>
  </si>
  <si>
    <t>Stacking method: compute CG-rate tax on (ord+CG), subtract CG-rate tax on (ord). Delta = incremental CG tax.</t>
  </si>
  <si>
    <t>Year sheets use direct refs: Tax_Ref!$B$210:$B$281 (Year), $C$ (FS), $D$ (Lower), $E$ (Upper), $F$ (Rate)</t>
  </si>
  <si>
    <t>Sec 1250 unrecaptured gain tax at 25% max rate</t>
  </si>
  <si>
    <t>sec1250_gain</t>
  </si>
  <si>
    <t>Formula: =sec1250_gain * 0.25</t>
  </si>
  <si>
    <t>Calc_SE_Tax</t>
  </si>
  <si>
    <t>Self-employment tax with W-2 wage interaction</t>
  </si>
  <si>
    <t>se_income, w2_wages, filing_status, tax_year</t>
  </si>
  <si>
    <t>Uses tblThresholds for: SS_Wage_Base, SS_Rate_Combined, Medicare_Rate_Combined, Addl_Medicare_Threshold, Addl_Medicare_Rate, SE_Earnings_Factor</t>
  </si>
  <si>
    <t>SE Base = se_income × SE_Earnings_Factor. SS portion capped at (SS_Wage_Base - w2_wages). Medicare uncapped.</t>
  </si>
  <si>
    <t>Net Investment Income Tax (3.8%)</t>
  </si>
  <si>
    <t>magi, nii, filing_status, tax_year</t>
  </si>
  <si>
    <t>Formula: =MIN(MAX(0,nii), MAX(0,magi-NIIT_Threshold)) × NIIT_Rate</t>
  </si>
  <si>
    <t>Uses tblThresholds for NIIT_Threshold ($250K MFJ, $200K Single) and NIIT_Rate (0.038)</t>
  </si>
  <si>
    <t>Calc_QBI_Simple</t>
  </si>
  <si>
    <t>Simplified QBI deduction (20%)</t>
  </si>
  <si>
    <t>qbi_income, taxable_income, filing_status, tax_year, is_sstb, w2_wages, ubia</t>
  </si>
  <si>
    <t>If below QBI_Threshold_Start: MIN(QBI×20%, TI×20%). If above: MIN(QBI×20%, TI×20%, W2/UBIA limit). SSTB above QBI_Threshold_End: $0.</t>
  </si>
  <si>
    <t>Uses tblThresholds for QBI_Threshold_Start, QBI_Threshold_End</t>
  </si>
  <si>
    <t>HOW TO DEPLOY: Formulas → Name Manager → New → paste formula. Year sheets already compute these inline via SUMPRODUCT + cell math (hybrid approach).</t>
  </si>
  <si>
    <t>⚠️ VBA MACRO REFERENCE — FROM V3 PRODUCTION WORKBOOK</t>
  </si>
  <si>
    <t>DISCLAIMER: Column references below (I:AM) match the v3 Master_Inputs schema, NOT our current schema (A:S). Adapt before using.</t>
  </si>
  <si>
    <t>Copy this code into VBA Editor (Alt+F11)</t>
  </si>
  <si>
    <t>TRACKING COLUMNS (Auto-updated by the Worksheet_Change event):</t>
  </si>
  <si>
    <t xml:space="preserve">  Column E: Update_Date - Date/time of last change to that row</t>
  </si>
  <si>
    <t xml:space="preserve">  Column F: Updated_By - Username who made the change  </t>
  </si>
  <si>
    <t xml:space="preserve">  Column G: Prior_Value - Value before the change was made</t>
  </si>
  <si>
    <t>Change_Log sheet columns (auto-populated):</t>
  </si>
  <si>
    <t xml:space="preserve">  A: Timestamp  B: User  C: Sheet  D: Cell  E: Old Value  F: New Value  G: Notes</t>
  </si>
  <si>
    <t>SECTION 1: ThisWorkbook MODULE</t>
  </si>
  <si>
    <t>Right-click "ThisWorkbook" in VBA Project Explorer and View Code.</t>
  </si>
  <si>
    <t>Paste this code:</t>
  </si>
  <si>
    <t>Private Sub Workbook_Open()</t>
  </si>
  <si>
    <t xml:space="preserve">    Dim ws As Worksheet</t>
  </si>
  <si>
    <t xml:space="preserve">    On Error Resume Next</t>
  </si>
  <si>
    <t xml:space="preserve">    Set ws = ThisWorkbook.Sheets("Field_Mapping")</t>
  </si>
  <si>
    <t xml:space="preserve">    If ws Is Nothing Then</t>
  </si>
  <si>
    <t xml:space="preserve">        MsgBox "Warning: Field_Mapping sheet not found.", vbExclamation</t>
  </si>
  <si>
    <t xml:space="preserve">    End If</t>
  </si>
  <si>
    <t xml:space="preserve">    On Error GoTo 0</t>
  </si>
  <si>
    <t xml:space="preserve">    Application.Calculation = xlCalculationAutomatic</t>
  </si>
  <si>
    <t>End Sub</t>
  </si>
  <si>
    <t>SECTION 2: Master_Inputs SHEET MODULE</t>
  </si>
  <si>
    <t>Right-click "Master_Inputs" sheet tab and select View Code.</t>
  </si>
  <si>
    <t>Paste ALL of this code:</t>
  </si>
  <si>
    <t>Option Explicit</t>
  </si>
  <si>
    <t>Private mPriorValue As Variant</t>
  </si>
  <si>
    <t>Private mPriorCell As String</t>
  </si>
  <si>
    <t>Private Sub Worksheet_SelectionChange(ByVal Target As Range)</t>
  </si>
  <si>
    <t xml:space="preserve">    ' Capture prior value BEFORE user makes changes</t>
  </si>
  <si>
    <t xml:space="preserve">    If Target.Cells.Count = 1 And Target.Row &gt;= 4 Then</t>
  </si>
  <si>
    <t xml:space="preserve">        mPriorValue = Target.Value</t>
  </si>
  <si>
    <t xml:space="preserve">        mPriorCell = Target.Address</t>
  </si>
  <si>
    <t/>
  </si>
  <si>
    <t xml:space="preserve">    ' Show field info in status bar</t>
  </si>
  <si>
    <t xml:space="preserve">    Dim inputRange As Range</t>
  </si>
  <si>
    <t xml:space="preserve">    Set inputRange = Me.Range("R:AM")</t>
  </si>
  <si>
    <t xml:space="preserve">    If Intersect(Target, inputRange) Is Nothing Then</t>
  </si>
  <si>
    <t xml:space="preserve">        Application.StatusBar = False</t>
  </si>
  <si>
    <t xml:space="preserve">        Exit Sub</t>
  </si>
  <si>
    <t xml:space="preserve">    If Target.Row &lt; 4 Or Target.Cells.Count &gt; 1 Then Exit Sub</t>
  </si>
  <si>
    <t xml:space="preserve">    Dim inputType As String, sourceType As String</t>
  </si>
  <si>
    <t xml:space="preserve">    inputType = Me.Cells(Target.Row, "I").Value</t>
  </si>
  <si>
    <t xml:space="preserve">    sourceType = Me.Cells(Target.Row, "K").Value</t>
  </si>
  <si>
    <t xml:space="preserve">    If inputType = "" Then</t>
  </si>
  <si>
    <t xml:space="preserve">        Application.StatusBar = "Select Input Type and Source Type first"</t>
  </si>
  <si>
    <t xml:space="preserve">    Else</t>
  </si>
  <si>
    <t xml:space="preserve">        Application.StatusBar = Me.Cells(3, Target.Column).Value &amp; " | " &amp; inputType &amp; " | " &amp; sourceType</t>
  </si>
  <si>
    <t>Private Sub Worksheet_Change(ByVal Target As Range)</t>
  </si>
  <si>
    <t xml:space="preserve">    ' MAIN CHANGE HANDLER - Updates tracking columns and logs changes</t>
  </si>
  <si>
    <t xml:space="preserve">    Dim dataRange As Range, cell As Range</t>
  </si>
  <si>
    <t xml:space="preserve">    Dim logSheet As Worksheet</t>
  </si>
  <si>
    <t xml:space="preserve">    Dim logRow As Long</t>
  </si>
  <si>
    <t xml:space="preserve">    Dim oldValue As Variant</t>
  </si>
  <si>
    <t xml:space="preserve">    ' Only track changes in data area (columns I onwards, row 4+)</t>
  </si>
  <si>
    <t xml:space="preserve">    Set dataRange = Me.Range("I:AM")</t>
  </si>
  <si>
    <t xml:space="preserve">    If Intersect(Target, dataRange) Is Nothing Then Exit Sub</t>
  </si>
  <si>
    <t xml:space="preserve">    If Target.Row &lt; 4 Then Exit Sub</t>
  </si>
  <si>
    <t xml:space="preserve">    Application.EnableEvents = False</t>
  </si>
  <si>
    <t xml:space="preserve">    On Error GoTo CleanExit</t>
  </si>
  <si>
    <t xml:space="preserve">    ' Get Change_Log sheet</t>
  </si>
  <si>
    <t xml:space="preserve">    Set logSheet = ThisWorkbook.Sheets("Change_Log")</t>
  </si>
  <si>
    <t xml:space="preserve">    For Each cell In Intersect(Target, dataRange)</t>
  </si>
  <si>
    <t xml:space="preserve">        If cell.Row &gt;= 4 Then</t>
  </si>
  <si>
    <t xml:space="preserve">            ' Get captured prior value</t>
  </si>
  <si>
    <t xml:space="preserve">            If mPriorCell = cell.Address Then</t>
  </si>
  <si>
    <t xml:space="preserve">                oldValue = mPriorValue</t>
  </si>
  <si>
    <t xml:space="preserve">            Else</t>
  </si>
  <si>
    <t xml:space="preserve">                oldValue = ""</t>
  </si>
  <si>
    <t xml:space="preserve">            End If</t>
  </si>
  <si>
    <t xml:space="preserve">            ' UPDATE TRACKING COLUMNS</t>
  </si>
  <si>
    <t xml:space="preserve">            ' Column E: Update_Date</t>
  </si>
  <si>
    <t xml:space="preserve">            Me.Cells(cell.Row, "E").Value = Now()</t>
  </si>
  <si>
    <t>STRATEGY ARCHITECTURE</t>
  </si>
  <si>
    <t>SINGLE SOURCE OF TRUTH: tblMaster_Inputs (Master_Inputs sheet)</t>
  </si>
  <si>
    <t>Activity_Type column distinguishes Baseline from Strategy rows.</t>
  </si>
  <si>
    <t>DATA FLOW:</t>
  </si>
  <si>
    <t xml:space="preserve">  Master_Inputs (Activity_Type=Baseline) → Year sheet J column (Baseline amounts)</t>
  </si>
  <si>
    <t xml:space="preserve">  Master_Inputs (Activity_Type=Strategy) → Year sheet M column (Strategy impacts)</t>
  </si>
  <si>
    <t xml:space="preserve">  J + M → Year sheet N column (Effective = Baseline + Strategies)</t>
  </si>
  <si>
    <t xml:space="preserve">  N column → 7-Calculator, Helpers, Tax Calc Inputs</t>
  </si>
  <si>
    <t xml:space="preserve">  tblMaster_Inputs → Pivots, Dashboards (sees both Baseline and Strategy)</t>
  </si>
  <si>
    <t>MULTI-LINE STRATEGIES:</t>
  </si>
  <si>
    <t xml:space="preserve">  Strategies that affect multiple 1040 lines get multiple rows in Master_Inputs.</t>
  </si>
  <si>
    <t xml:space="preserve">  Example: S-Corp Wage Optimization</t>
  </si>
  <si>
    <t xml:space="preserve">    Row 1: Activity_Type=Strategy, Primary_Line=1z, Amount=-25000 (reduce W-2)</t>
  </si>
  <si>
    <t xml:space="preserve">    Row 2: Activity_Type=Strategy, Primary_Line=8, Amount=+25000 (increase K-1)</t>
  </si>
  <si>
    <t xml:space="preserve">  The net tax impact is calculated by the year sheet 7-calculator.</t>
  </si>
  <si>
    <t>YEAR SHEET STRATEGY VIEW (A5:D10):</t>
  </si>
  <si>
    <t xml:space="preserve">  Read-only summary pulled from Master_Inputs via INDEX formulas.</t>
  </si>
  <si>
    <t xml:space="preserve">  Shows count, net impact, and first 4 strategy line items for that year.</t>
  </si>
  <si>
    <t xml:space="preserve">  To add/edit strategies, go to Master_Inputs.</t>
  </si>
  <si>
    <t>PROPERTY/ENTITY TRACKING:</t>
  </si>
  <si>
    <t xml:space="preserve">  Use the Payor column for property addresses (cost seg, rental) or entity names.</t>
  </si>
  <si>
    <t xml:space="preserve">  This feeds Visual_Pivot_ByPayor for per-property analysis.</t>
  </si>
  <si>
    <t>Jeff_Ref_ID</t>
  </si>
  <si>
    <t>ADV-004</t>
  </si>
  <si>
    <t>STD-009 + ADV-006</t>
  </si>
  <si>
    <t>Child wages reported on child's own return — counter-impact is cross-return, not within this 1040</t>
  </si>
  <si>
    <t>Strategy Δ</t>
  </si>
  <si>
    <t>STRATEGY IMPACT SUMMARY</t>
  </si>
  <si>
    <t>Jeff Ref</t>
  </si>
  <si>
    <t>Target Line</t>
  </si>
  <si>
    <t>TAX IMPACT</t>
  </si>
  <si>
    <t>Baseline Tax</t>
  </si>
  <si>
    <t>Tax w/ Strategies</t>
  </si>
  <si>
    <t>Tax Savings ($)</t>
  </si>
  <si>
    <t>Eff. Rate Reduction</t>
  </si>
  <si>
    <t>Net Impact</t>
  </si>
  <si>
    <t>SampleCo K-1</t>
  </si>
  <si>
    <t>123 Main St</t>
  </si>
  <si>
    <t>long-term capital gains (LT preferential rate; stacks with qualified div)</t>
  </si>
  <si>
    <t xml:space="preserve">where I can simply go through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</si>
</sst>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yyyy\-mm\-dd"/>
    <numFmt numFmtId="167" formatCode="0.0%"/>
  </numFmts>
  <fonts count="46" x14ac:knownFonts="1">
    <font>
      <sz val="11"/>
      <color theme="1"/>
      <name val="Calibri"/>
      <family val="2"/>
      <scheme val="minor"/>
    </font>
    <font>
      <b/>
      <sz val="14"/>
      <color rgb="FF305496"/>
      <name val="Calibri"/>
      <family val="2"/>
    </font>
    <font>
      <b/>
      <sz val="11"/>
      <color rgb="FFFFFFFF"/>
      <name val="Calibri"/>
      <family val="2"/>
    </font>
    <font>
      <b/>
      <sz val="10"/>
      <color rgb="FF305496"/>
      <name val="Calibri"/>
      <family val="2"/>
    </font>
    <font>
      <i/>
      <sz val="9"/>
      <color rgb="FF595959"/>
      <name val="Calibri"/>
      <family val="2"/>
    </font>
    <font>
      <u/>
      <sz val="11"/>
      <color rgb="FF0563C1"/>
      <name val="Calibri"/>
      <family val="2"/>
    </font>
    <font>
      <b/>
      <sz val="11"/>
      <color rgb="FF305496"/>
      <name val="Calibri"/>
      <family val="2"/>
    </font>
    <font>
      <b/>
      <sz val="11"/>
      <name val="Calibri"/>
      <family val="2"/>
    </font>
    <font>
      <i/>
      <sz val="11"/>
      <color rgb="FF595959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0000FF"/>
      <name val="Calibri"/>
      <family val="2"/>
      <scheme val="minor"/>
    </font>
    <font>
      <sz val="10"/>
      <color rgb="FF44444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/>
      <sz val="11"/>
      <color rgb="FF1F4E79"/>
      <name val="Calibri"/>
      <family val="2"/>
      <scheme val="minor"/>
    </font>
    <font>
      <b/>
      <u/>
      <sz val="12"/>
      <color rgb="FF1F4E79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0"/>
      <color rgb="FF0563C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  <font>
      <b/>
      <u/>
      <sz val="10"/>
      <color rgb="FF333333"/>
      <name val="Calibri"/>
      <family val="2"/>
      <scheme val="minor"/>
    </font>
    <font>
      <u/>
      <sz val="10"/>
      <color rgb="FF333333"/>
      <name val="Calibri"/>
      <family val="2"/>
      <scheme val="minor"/>
    </font>
    <font>
      <i/>
      <sz val="10"/>
      <color rgb="FF666666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14"/>
      <color rgb="FF70AD47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</borders>
  <cellStyleXfs count="2">
    <xf numFmtId="0" fontId="0" fillId="0" borderId="0"/>
    <xf numFmtId="0" fontId="9" fillId="0" borderId="0"/>
  </cellStyleXfs>
  <cellXfs count="106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0" fontId="7" fillId="0" borderId="0" xfId="0" applyFont="1"/>
    <xf numFmtId="0" fontId="8" fillId="0" borderId="0" xfId="0" applyFont="1"/>
    <xf numFmtId="0" fontId="3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pivotButton="1"/>
    <xf numFmtId="3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1" xfId="0" applyFont="1" applyBorder="1"/>
    <xf numFmtId="3" fontId="10" fillId="0" borderId="0" xfId="0" applyNumberFormat="1" applyFon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6" fillId="0" borderId="0" xfId="0" applyFont="1"/>
    <xf numFmtId="0" fontId="17" fillId="0" borderId="0" xfId="0" applyFont="1"/>
    <xf numFmtId="0" fontId="18" fillId="0" borderId="0" xfId="0" applyFont="1"/>
    <xf numFmtId="3" fontId="19" fillId="0" borderId="0" xfId="0" applyNumberFormat="1" applyFont="1" applyAlignment="1">
      <alignment horizontal="right"/>
    </xf>
    <xf numFmtId="0" fontId="19" fillId="0" borderId="0" xfId="0" applyFont="1"/>
    <xf numFmtId="0" fontId="19" fillId="6" borderId="0" xfId="0" applyFont="1" applyFill="1"/>
    <xf numFmtId="3" fontId="19" fillId="6" borderId="0" xfId="0" applyNumberFormat="1" applyFont="1" applyFill="1" applyAlignment="1">
      <alignment horizontal="right"/>
    </xf>
    <xf numFmtId="0" fontId="20" fillId="0" borderId="0" xfId="0" applyFont="1"/>
    <xf numFmtId="0" fontId="21" fillId="0" borderId="0" xfId="0" applyFont="1"/>
    <xf numFmtId="1" fontId="14" fillId="0" borderId="1" xfId="0" applyNumberFormat="1" applyFont="1" applyBorder="1"/>
    <xf numFmtId="0" fontId="15" fillId="7" borderId="0" xfId="0" applyFont="1" applyFill="1" applyAlignment="1">
      <alignment horizontal="center"/>
    </xf>
    <xf numFmtId="0" fontId="15" fillId="7" borderId="0" xfId="0" applyFont="1" applyFill="1" applyAlignment="1">
      <alignment horizontal="left"/>
    </xf>
    <xf numFmtId="0" fontId="10" fillId="0" borderId="2" xfId="0" applyFont="1" applyBorder="1"/>
    <xf numFmtId="3" fontId="10" fillId="0" borderId="2" xfId="0" applyNumberFormat="1" applyFont="1" applyBorder="1"/>
    <xf numFmtId="49" fontId="10" fillId="0" borderId="2" xfId="0" applyNumberFormat="1" applyFont="1" applyBorder="1"/>
    <xf numFmtId="49" fontId="10" fillId="0" borderId="0" xfId="0" applyNumberFormat="1" applyFont="1"/>
    <xf numFmtId="0" fontId="16" fillId="6" borderId="0" xfId="0" applyFont="1" applyFill="1"/>
    <xf numFmtId="3" fontId="14" fillId="0" borderId="1" xfId="0" applyNumberFormat="1" applyFont="1" applyBorder="1"/>
    <xf numFmtId="3" fontId="16" fillId="0" borderId="0" xfId="0" applyNumberFormat="1" applyFont="1"/>
    <xf numFmtId="3" fontId="16" fillId="6" borderId="0" xfId="0" applyNumberFormat="1" applyFont="1" applyFill="1"/>
    <xf numFmtId="3" fontId="0" fillId="6" borderId="0" xfId="0" applyNumberFormat="1" applyFill="1"/>
    <xf numFmtId="0" fontId="22" fillId="5" borderId="0" xfId="0" applyFont="1" applyFill="1" applyAlignment="1">
      <alignment horizontal="center"/>
    </xf>
    <xf numFmtId="0" fontId="23" fillId="5" borderId="0" xfId="0" applyFont="1" applyFill="1"/>
    <xf numFmtId="0" fontId="24" fillId="0" borderId="1" xfId="0" applyFont="1" applyBorder="1"/>
    <xf numFmtId="0" fontId="25" fillId="0" borderId="0" xfId="0" applyFont="1"/>
    <xf numFmtId="0" fontId="25" fillId="0" borderId="1" xfId="0" applyFont="1" applyBorder="1"/>
    <xf numFmtId="3" fontId="19" fillId="6" borderId="0" xfId="0" applyNumberFormat="1" applyFont="1" applyFill="1"/>
    <xf numFmtId="3" fontId="12" fillId="8" borderId="0" xfId="0" applyNumberFormat="1" applyFont="1" applyFill="1"/>
    <xf numFmtId="0" fontId="26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3" fontId="0" fillId="3" borderId="0" xfId="0" applyNumberFormat="1" applyFill="1"/>
    <xf numFmtId="10" fontId="10" fillId="0" borderId="0" xfId="0" applyNumberFormat="1" applyFont="1"/>
    <xf numFmtId="0" fontId="0" fillId="0" borderId="0" xfId="0" applyAlignment="1">
      <alignment wrapText="1"/>
    </xf>
    <xf numFmtId="9" fontId="0" fillId="0" borderId="0" xfId="0" applyNumberFormat="1"/>
    <xf numFmtId="0" fontId="27" fillId="0" borderId="0" xfId="0" applyFont="1"/>
    <xf numFmtId="0" fontId="23" fillId="7" borderId="0" xfId="0" applyFont="1" applyFill="1"/>
    <xf numFmtId="0" fontId="0" fillId="7" borderId="0" xfId="0" applyFill="1"/>
    <xf numFmtId="0" fontId="28" fillId="0" borderId="0" xfId="0" applyFont="1"/>
    <xf numFmtId="0" fontId="29" fillId="0" borderId="0" xfId="0" applyFont="1"/>
    <xf numFmtId="14" fontId="27" fillId="0" borderId="0" xfId="0" applyNumberFormat="1" applyFont="1"/>
    <xf numFmtId="0" fontId="30" fillId="0" borderId="0" xfId="0" applyFont="1"/>
    <xf numFmtId="0" fontId="31" fillId="0" borderId="0" xfId="1" applyFont="1"/>
    <xf numFmtId="0" fontId="32" fillId="0" borderId="0" xfId="1" applyFont="1"/>
    <xf numFmtId="0" fontId="33" fillId="0" borderId="0" xfId="0" applyFont="1"/>
    <xf numFmtId="3" fontId="34" fillId="3" borderId="0" xfId="0" applyNumberFormat="1" applyFont="1" applyFill="1"/>
    <xf numFmtId="0" fontId="10" fillId="9" borderId="0" xfId="0" applyFont="1" applyFill="1"/>
    <xf numFmtId="0" fontId="35" fillId="0" borderId="0" xfId="0" applyFont="1"/>
    <xf numFmtId="0" fontId="0" fillId="0" borderId="0" xfId="0" quotePrefix="1"/>
    <xf numFmtId="166" fontId="0" fillId="0" borderId="0" xfId="0" applyNumberFormat="1"/>
    <xf numFmtId="0" fontId="23" fillId="10" borderId="0" xfId="0" applyFont="1" applyFill="1"/>
    <xf numFmtId="0" fontId="36" fillId="0" borderId="0" xfId="1" applyFont="1"/>
    <xf numFmtId="0" fontId="23" fillId="11" borderId="0" xfId="0" applyFont="1" applyFill="1"/>
    <xf numFmtId="0" fontId="23" fillId="12" borderId="0" xfId="0" applyFont="1" applyFill="1"/>
    <xf numFmtId="0" fontId="23" fillId="13" borderId="0" xfId="0" applyFont="1" applyFill="1"/>
    <xf numFmtId="0" fontId="23" fillId="14" borderId="0" xfId="0" applyFont="1" applyFill="1"/>
    <xf numFmtId="0" fontId="24" fillId="0" borderId="0" xfId="0" applyFont="1"/>
    <xf numFmtId="0" fontId="14" fillId="15" borderId="0" xfId="0" applyFont="1" applyFill="1"/>
    <xf numFmtId="0" fontId="37" fillId="0" borderId="0" xfId="0" applyFont="1"/>
    <xf numFmtId="0" fontId="38" fillId="0" borderId="0" xfId="0" applyFont="1"/>
    <xf numFmtId="0" fontId="39" fillId="0" borderId="0" xfId="1" applyFont="1"/>
    <xf numFmtId="0" fontId="40" fillId="0" borderId="0" xfId="1" applyFont="1"/>
    <xf numFmtId="1" fontId="30" fillId="0" borderId="0" xfId="0" applyNumberFormat="1" applyFont="1"/>
    <xf numFmtId="0" fontId="41" fillId="0" borderId="0" xfId="0" applyFont="1"/>
    <xf numFmtId="166" fontId="30" fillId="0" borderId="0" xfId="0" applyNumberFormat="1" applyFont="1"/>
    <xf numFmtId="0" fontId="42" fillId="0" borderId="0" xfId="0" applyFont="1"/>
    <xf numFmtId="0" fontId="0" fillId="16" borderId="0" xfId="0" applyFill="1"/>
    <xf numFmtId="3" fontId="34" fillId="0" borderId="0" xfId="0" applyNumberFormat="1" applyFont="1"/>
    <xf numFmtId="0" fontId="43" fillId="9" borderId="0" xfId="0" applyFont="1" applyFill="1"/>
    <xf numFmtId="3" fontId="30" fillId="0" borderId="0" xfId="0" applyNumberFormat="1" applyFont="1"/>
    <xf numFmtId="164" fontId="44" fillId="0" borderId="0" xfId="0" applyNumberFormat="1" applyFont="1"/>
    <xf numFmtId="164" fontId="17" fillId="0" borderId="0" xfId="0" applyNumberFormat="1" applyFont="1"/>
    <xf numFmtId="167" fontId="44" fillId="0" borderId="0" xfId="0" applyNumberFormat="1" applyFont="1"/>
    <xf numFmtId="0" fontId="44" fillId="0" borderId="0" xfId="0" applyFont="1"/>
    <xf numFmtId="0" fontId="2" fillId="17" borderId="0" xfId="0" applyFont="1" applyFill="1" applyAlignment="1">
      <alignment horizontal="center" vertical="center" wrapText="1"/>
    </xf>
    <xf numFmtId="0" fontId="0" fillId="0" borderId="0" xfId="0" applyFont="1"/>
    <xf numFmtId="3" fontId="0" fillId="0" borderId="0" xfId="0" applyNumberFormat="1" applyFont="1"/>
    <xf numFmtId="3" fontId="10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45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  <numFmt numFmtId="3" formatCode="#,##0"/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  <numFmt numFmtId="3" formatCode="#,##0"/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  <numFmt numFmtId="3" formatCode="#,##0"/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  <numFmt numFmtId="3" formatCode="#,##0"/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  <numFmt numFmtId="3" formatCode="#,##0"/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  <numFmt numFmtId="3" formatCode="#,##0"/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  <dxf>
      <font>
        <sz val="10"/>
        <color rgb="FF0000F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by 1040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Tax_Plan_Dashboard!$H$8:$H$12</c:f>
              <c:strCache>
                <c:ptCount val="5"/>
                <c:pt idx="0">
                  <c:v>1z Wages</c:v>
                </c:pt>
                <c:pt idx="1">
                  <c:v>2b Tax Interest</c:v>
                </c:pt>
                <c:pt idx="2">
                  <c:v>3b Dividends</c:v>
                </c:pt>
                <c:pt idx="3">
                  <c:v>7 Cap Gains</c:v>
                </c:pt>
                <c:pt idx="4">
                  <c:v>8 Business</c:v>
                </c:pt>
              </c:strCache>
            </c:strRef>
          </c:cat>
          <c:val>
            <c:numRef>
              <c:f>Tax_Plan_Dashboard!$I$8:$I$12</c:f>
              <c:numCache>
                <c:formatCode>#,##0</c:formatCode>
                <c:ptCount val="5"/>
                <c:pt idx="0">
                  <c:v>100000</c:v>
                </c:pt>
                <c:pt idx="1">
                  <c:v>500</c:v>
                </c:pt>
                <c:pt idx="2">
                  <c:v>10000</c:v>
                </c:pt>
                <c:pt idx="3">
                  <c:v>25000</c:v>
                </c:pt>
                <c:pt idx="4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5-45BE-8CC8-1A1074C6DB98}"/>
            </c:ext>
          </c:extLst>
        </c:ser>
        <c:ser>
          <c:idx val="1"/>
          <c:order val="1"/>
          <c:tx>
            <c:v>Effective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Tax_Plan_Dashboard!$H$8:$H$12</c:f>
              <c:strCache>
                <c:ptCount val="5"/>
                <c:pt idx="0">
                  <c:v>1z Wages</c:v>
                </c:pt>
                <c:pt idx="1">
                  <c:v>2b Tax Interest</c:v>
                </c:pt>
                <c:pt idx="2">
                  <c:v>3b Dividends</c:v>
                </c:pt>
                <c:pt idx="3">
                  <c:v>7 Cap Gains</c:v>
                </c:pt>
                <c:pt idx="4">
                  <c:v>8 Business</c:v>
                </c:pt>
              </c:strCache>
            </c:strRef>
          </c:cat>
          <c:val>
            <c:numRef>
              <c:f>Tax_Plan_Dashboard!$J$8:$J$12</c:f>
              <c:numCache>
                <c:formatCode>#,##0</c:formatCode>
                <c:ptCount val="5"/>
                <c:pt idx="0">
                  <c:v>75000</c:v>
                </c:pt>
                <c:pt idx="1">
                  <c:v>500</c:v>
                </c:pt>
                <c:pt idx="2">
                  <c:v>10000</c:v>
                </c:pt>
                <c:pt idx="3">
                  <c:v>25000</c:v>
                </c:pt>
                <c:pt idx="4">
                  <c:v>145000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5-45BE-8CC8-1A1074C6DB98}"/>
            </c:ext>
          </c:extLst>
        </c:ser>
        <c:ser>
          <c:idx val="2"/>
          <c:order val="2"/>
          <c:tx>
            <c:v>Strategy Δ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Tax_Plan_Dashboard!$H$8:$H$12</c:f>
              <c:strCache>
                <c:ptCount val="5"/>
                <c:pt idx="0">
                  <c:v>1z Wages</c:v>
                </c:pt>
                <c:pt idx="1">
                  <c:v>2b Tax Interest</c:v>
                </c:pt>
                <c:pt idx="2">
                  <c:v>3b Dividends</c:v>
                </c:pt>
                <c:pt idx="3">
                  <c:v>7 Cap Gains</c:v>
                </c:pt>
                <c:pt idx="4">
                  <c:v>8 Business</c:v>
                </c:pt>
              </c:strCache>
            </c:strRef>
          </c:cat>
          <c:val>
            <c:numRef>
              <c:f>Tax_Plan_Dashboard!$K$8:$K$12</c:f>
              <c:numCache>
                <c:formatCode>#,##0</c:formatCode>
                <c:ptCount val="5"/>
                <c:pt idx="0">
                  <c:v>-25000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05-45BE-8CC8-1A1074C6D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690687"/>
        <c:axId val="710677727"/>
      </c:barChart>
      <c:catAx>
        <c:axId val="71069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677727"/>
        <c:crosses val="autoZero"/>
        <c:auto val="1"/>
        <c:lblAlgn val="ctr"/>
        <c:lblOffset val="100"/>
        <c:noMultiLvlLbl val="0"/>
      </c:catAx>
      <c:valAx>
        <c:axId val="71067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69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Income by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Tax_Plan_Dashboard!$H$17:$H$19</c:f>
              <c:strCache>
                <c:ptCount val="3"/>
                <c:pt idx="0">
                  <c:v>K1_SCorp_Active</c:v>
                </c:pt>
                <c:pt idx="1">
                  <c:v>K1_PTP_Passive</c:v>
                </c:pt>
                <c:pt idx="2">
                  <c:v>SchE_Rental</c:v>
                </c:pt>
              </c:strCache>
            </c:strRef>
          </c:cat>
          <c:val>
            <c:numRef>
              <c:f>Tax_Plan_Dashboard!$I$17:$I$19</c:f>
              <c:numCache>
                <c:formatCode>#,##0</c:formatCode>
                <c:ptCount val="3"/>
                <c:pt idx="0">
                  <c:v>200000</c:v>
                </c:pt>
                <c:pt idx="1">
                  <c:v>0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3-4A30-AB23-4818F15E8C81}"/>
            </c:ext>
          </c:extLst>
        </c:ser>
        <c:ser>
          <c:idx val="1"/>
          <c:order val="1"/>
          <c:tx>
            <c:v>Effective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Tax_Plan_Dashboard!$H$17:$H$19</c:f>
              <c:strCache>
                <c:ptCount val="3"/>
                <c:pt idx="0">
                  <c:v>K1_SCorp_Active</c:v>
                </c:pt>
                <c:pt idx="1">
                  <c:v>K1_PTP_Passive</c:v>
                </c:pt>
                <c:pt idx="2">
                  <c:v>SchE_Rental</c:v>
                </c:pt>
              </c:strCache>
            </c:strRef>
          </c:cat>
          <c:val>
            <c:numRef>
              <c:f>Tax_Plan_Dashboard!$J$17:$J$19</c:f>
              <c:numCache>
                <c:formatCode>#,##0</c:formatCode>
                <c:ptCount val="3"/>
                <c:pt idx="0">
                  <c:v>225000</c:v>
                </c:pt>
                <c:pt idx="1">
                  <c:v>0</c:v>
                </c:pt>
                <c:pt idx="2" formatCode="General">
                  <c:v>-80000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3-4A30-AB23-4818F15E8C81}"/>
            </c:ext>
          </c:extLst>
        </c:ser>
        <c:ser>
          <c:idx val="2"/>
          <c:order val="2"/>
          <c:tx>
            <c:v>Strategy Δ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Tax_Plan_Dashboard!$H$17:$H$19</c:f>
              <c:strCache>
                <c:ptCount val="3"/>
                <c:pt idx="0">
                  <c:v>K1_SCorp_Active</c:v>
                </c:pt>
                <c:pt idx="1">
                  <c:v>K1_PTP_Passive</c:v>
                </c:pt>
                <c:pt idx="2">
                  <c:v>SchE_Rental</c:v>
                </c:pt>
              </c:strCache>
            </c:strRef>
          </c:cat>
          <c:val>
            <c:numRef>
              <c:f>Tax_Plan_Dashboard!$K$17:$K$19</c:f>
              <c:numCache>
                <c:formatCode>#,##0</c:formatCode>
                <c:ptCount val="3"/>
                <c:pt idx="0">
                  <c:v>25000</c:v>
                </c:pt>
                <c:pt idx="1">
                  <c:v>0</c:v>
                </c:pt>
                <c:pt idx="2">
                  <c:v>-80000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3-4A30-AB23-4818F15E8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678687"/>
        <c:axId val="710680607"/>
      </c:barChart>
      <c:catAx>
        <c:axId val="710678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680607"/>
        <c:crosses val="autoZero"/>
        <c:auto val="1"/>
        <c:lblAlgn val="ctr"/>
        <c:lblOffset val="100"/>
        <c:noMultiLvlLbl val="0"/>
      </c:catAx>
      <c:valAx>
        <c:axId val="71068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67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139700</xdr:rowOff>
    </xdr:from>
    <xdr:to>
      <xdr:col>2</xdr:col>
      <xdr:colOff>1520825</xdr:colOff>
      <xdr:row>35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D7A722-04D9-E3C3-E1BF-8C6BC06FB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123825</xdr:colOff>
      <xdr:row>19</xdr:row>
      <xdr:rowOff>139700</xdr:rowOff>
    </xdr:from>
    <xdr:to>
      <xdr:col>5</xdr:col>
      <xdr:colOff>2159000</xdr:colOff>
      <xdr:row>35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1A54E7-8B3B-9263-BA8E-8604254A9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eth Johnson" refreshedDate="46161.329186921299" createdVersion="8" refreshedVersion="8" minRefreshableVersion="3" recordCount="14" xr:uid="{00000000-000A-0000-FFFF-FFFF17000000}">
  <cacheSource type="worksheet">
    <worksheetSource name="tblMaster_Inputs"/>
  </cacheSource>
  <cacheFields count="19">
    <cacheField name="InputID" numFmtId="0">
      <sharedItems/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ClientID" numFmtId="0">
      <sharedItems/>
    </cacheField>
    <cacheField name="ClientName" numFmtId="0">
      <sharedItems/>
    </cacheField>
    <cacheField name="Bucket" numFmtId="0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numFmtId="0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numFmtId="0">
      <sharedItems containsBlank="1"/>
    </cacheField>
    <cacheField name="Activity_Type" numFmtId="0">
      <sharedItems count="2">
        <s v="Baseline"/>
        <s v="Strategy"/>
      </sharedItems>
    </cacheField>
    <cacheField name="Provenance" numFmtId="0">
      <sharedItems/>
    </cacheField>
    <cacheField name="Payor" numFmtId="0">
      <sharedItems containsBlank="1" count="7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numFmtId="0">
      <sharedItems containsSemiMixedTypes="0" containsString="0" containsNumber="1" containsInteger="1" minValue="-100766" maxValue="200000"/>
    </cacheField>
    <cacheField name="Helper_Amount" numFmtId="0">
      <sharedItems containsSemiMixedTypes="0" containsString="0" containsNumber="1" containsInteger="1" minValue="0" maxValue="100000"/>
    </cacheField>
    <cacheField name="Helper_Treatment" numFmtId="0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numFmtId="0">
      <sharedItems/>
    </cacheField>
    <cacheField name="NIIT_Class" numFmtId="0">
      <sharedItems/>
    </cacheField>
    <cacheField name="QBI_Eligible" numFmtId="0">
      <sharedItems/>
    </cacheField>
    <cacheField name="Primary_Line" numFmtId="0">
      <sharedItems containsMixedTypes="1" containsNumber="1" containsInteger="1" minValue="8" maxValue="10" count="8">
        <s v="1z"/>
        <s v="8"/>
        <s v="3b"/>
        <s v="7"/>
        <s v="2b"/>
        <s v="12"/>
        <n v="8"/>
        <n v="10"/>
      </sharedItems>
    </cacheField>
    <cacheField name="Consider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PivotIncome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:E15" firstHeaderRow="1" firstDataRow="2" firstDataCol="1" rowPageCount="1" colPageCount="1"/>
  <pivotFields count="19"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5"/>
        <item x="0"/>
        <item x="4"/>
        <item x="2"/>
        <item x="3"/>
        <item x="1"/>
        <item x="6"/>
        <item x="7"/>
        <item t="default"/>
      </items>
    </pivotField>
    <pivotField compact="0" outline="0" showAll="0"/>
    <pivotField compact="0" outline="0"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7" hier="-1"/>
  </pageFields>
  <dataFields count="1">
    <dataField name="Sum of Baseline_Amount" fld="10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1000000}" name="PivotBusinessIncome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:F10" firstHeaderRow="1" firstDataRow="2" firstDataCol="2" rowPageCount="2" colPageCount="1"/>
  <pivotFields count="19"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Page" compact="0" outline="0" showAll="0">
      <items count="7">
        <item x="1"/>
        <item h="1" x="3"/>
        <item h="1" x="2"/>
        <item h="1" x="4"/>
        <item h="1" x="0"/>
        <item h="1" x="5"/>
        <item t="default"/>
      </items>
    </pivotField>
    <pivotField axis="axisRow" compact="0" outline="0" showAll="0">
      <items count="11">
        <item x="2"/>
        <item x="5"/>
        <item x="6"/>
        <item x="7"/>
        <item x="1"/>
        <item x="4"/>
        <item x="3"/>
        <item x="9"/>
        <item x="0"/>
        <item x="8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 defaultSubtotal="0">
      <items count="7">
        <item x="6"/>
        <item x="0"/>
        <item x="2"/>
        <item x="1"/>
        <item x="3"/>
        <item x="4"/>
        <item x="5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9"/>
    <field x="5"/>
  </rowFields>
  <rowItems count="4">
    <i>
      <x/>
      <x v="7"/>
    </i>
    <i>
      <x v="3"/>
      <x v="4"/>
    </i>
    <i>
      <x v="5"/>
      <x v="5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4" hier="-1"/>
    <pageField fld="7" hier="-1"/>
  </pageFields>
  <dataFields count="1">
    <dataField name="Sum of Baseline_Amount" fld="10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2000000}" name="PivotByPayor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5:G19" firstHeaderRow="1" firstDataRow="2" firstDataCol="3" rowPageCount="1" colPageCount="1"/>
  <pivotFields count="19">
    <pivotField compact="0" outline="0" subtotalTop="0" showAll="0" defaultSubtotal="0"/>
    <pivotField axis="axisCol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0">
        <item x="2"/>
        <item x="5"/>
        <item x="6"/>
        <item x="7"/>
        <item x="1"/>
        <item x="4"/>
        <item x="3"/>
        <item x="9"/>
        <item x="0"/>
        <item x="8"/>
      </items>
    </pivotField>
    <pivotField compact="0" outline="0" subtotalTop="0" showAll="0" defaultSubtotal="0"/>
    <pivotField axis="axisPage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axis="axisRow" compact="0" outline="0" subtotalTop="0" showAll="0" defaultSubtotal="0">
      <items count="7">
        <item x="0"/>
        <item x="2"/>
        <item x="1"/>
        <item x="3"/>
        <item x="4"/>
        <item x="5"/>
        <item x="6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8">
        <item x="6"/>
        <item x="7"/>
        <item x="5"/>
        <item x="0"/>
        <item x="4"/>
        <item x="2"/>
        <item x="3"/>
        <item x="1"/>
      </items>
    </pivotField>
    <pivotField compact="0" outline="0" subtotalTop="0" showAll="0" defaultSubtotal="0"/>
    <pivotField compact="0" outline="0" subtotalTop="0" showAll="0" defaultSubtotal="0"/>
  </pivotFields>
  <rowFields count="3">
    <field x="9"/>
    <field x="5"/>
    <field x="16"/>
  </rowFields>
  <rowItems count="13">
    <i>
      <x/>
      <x v="8"/>
      <x v="3"/>
    </i>
    <i>
      <x v="1"/>
      <x/>
      <x v="5"/>
    </i>
    <i r="1">
      <x v="1"/>
      <x v="5"/>
    </i>
    <i r="1">
      <x v="2"/>
      <x v="4"/>
    </i>
    <i r="1">
      <x v="6"/>
      <x v="6"/>
    </i>
    <i>
      <x v="2"/>
      <x v="4"/>
      <x v="7"/>
    </i>
    <i>
      <x v="3"/>
      <x v="8"/>
      <x v="3"/>
    </i>
    <i>
      <x v="4"/>
      <x v="5"/>
      <x/>
    </i>
    <i r="2">
      <x v="7"/>
    </i>
    <i>
      <x v="5"/>
      <x v="3"/>
      <x v="2"/>
    </i>
    <i r="1">
      <x v="9"/>
      <x v="1"/>
    </i>
    <i>
      <x v="6"/>
      <x v="7"/>
      <x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7" hier="-1"/>
  </pageFields>
  <dataFields count="1">
    <dataField name="Sum of Baseline_Amount" fld="10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3000000}" name="PivotHelperCarveOuts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:E9" firstHeaderRow="1" firstDataRow="2" firstDataCol="1" rowPageCount="1" colPageCount="1"/>
  <pivotFields count="19"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measureFilter="1">
      <items count="9">
        <item x="1"/>
        <item x="3"/>
        <item x="0"/>
        <item x="6"/>
        <item x="2"/>
        <item x="5"/>
        <item m="1" x="7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3">
    <i>
      <x v="2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7" hier="-1"/>
  </pageFields>
  <dataFields count="1">
    <dataField name="Sum of Helper_Amount" fld="11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ster_Inputs" displayName="tblMaster_Inputs" ref="A4:S18">
  <autoFilter ref="A4:S18" xr:uid="{00000000-0009-0000-0100-000001000000}"/>
  <tableColumns count="19">
    <tableColumn id="1" xr3:uid="{00000000-0010-0000-0000-000001000000}" name="InputID"/>
    <tableColumn id="2" xr3:uid="{00000000-0010-0000-0000-000002000000}" name="Year"/>
    <tableColumn id="3" xr3:uid="{00000000-0010-0000-0000-000003000000}" name="ClientID"/>
    <tableColumn id="4" xr3:uid="{00000000-0010-0000-0000-000004000000}" name="ClientName"/>
    <tableColumn id="5" xr3:uid="{00000000-0010-0000-0000-000005000000}" name="Bucket"/>
    <tableColumn id="6" xr3:uid="{00000000-0010-0000-0000-000006000000}" name="Treatment_Profile"/>
    <tableColumn id="7" xr3:uid="{00000000-0010-0000-0000-000007000000}" name="Source_Document"/>
    <tableColumn id="8" xr3:uid="{00000000-0010-0000-0000-000008000000}" name="Activity_Type"/>
    <tableColumn id="9" xr3:uid="{00000000-0010-0000-0000-000009000000}" name="Provenance"/>
    <tableColumn id="10" xr3:uid="{00000000-0010-0000-0000-00000A000000}" name="Payor"/>
    <tableColumn id="11" xr3:uid="{00000000-0010-0000-0000-00000B000000}" name="Baseline_Amount"/>
    <tableColumn id="12" xr3:uid="{00000000-0010-0000-0000-00000C000000}" name="Helper_Amount"/>
    <tableColumn id="20" xr3:uid="{00000000-0010-0000-0000-000014000000}" name="Helper_Treatment" dataDxfId="59"/>
    <tableColumn id="13" xr3:uid="{00000000-0010-0000-0000-00000D000000}" name="SE_Subject"/>
    <tableColumn id="14" xr3:uid="{00000000-0010-0000-0000-00000E000000}" name="NIIT_Class"/>
    <tableColumn id="15" xr3:uid="{00000000-0010-0000-0000-00000F000000}" name="QBI_Eligible"/>
    <tableColumn id="16" xr3:uid="{00000000-0010-0000-0000-000010000000}" name="Primary_Line"/>
    <tableColumn id="18" xr3:uid="{00000000-0010-0000-0000-000012000000}" name="Consider"/>
    <tableColumn id="19" xr3:uid="{00000000-0010-0000-0000-00001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sFiled" displayName="tblAsFiled" ref="B5:O14" totalsRowShown="0">
  <autoFilter ref="B5:O14" xr:uid="{00000000-0009-0000-0100-000002000000}"/>
  <tableColumns count="14">
    <tableColumn id="1" xr3:uid="{00000000-0010-0000-0100-000001000000}" name="InputID"/>
    <tableColumn id="2" xr3:uid="{00000000-0010-0000-0100-000002000000}" name="Year"/>
    <tableColumn id="3" xr3:uid="{00000000-0010-0000-0100-000003000000}" name="ClientID"/>
    <tableColumn id="4" xr3:uid="{00000000-0010-0000-0100-000004000000}" name="ClientName"/>
    <tableColumn id="5" xr3:uid="{00000000-0010-0000-0100-000005000000}" name="Bucket"/>
    <tableColumn id="6" xr3:uid="{00000000-0010-0000-0100-000006000000}" name="Treatment_Profile"/>
    <tableColumn id="7" xr3:uid="{00000000-0010-0000-0100-000007000000}" name="Source_Document"/>
    <tableColumn id="8" xr3:uid="{00000000-0010-0000-0100-000008000000}" name="Provenance"/>
    <tableColumn id="9" xr3:uid="{00000000-0010-0000-0100-000009000000}" name="Payor"/>
    <tableColumn id="10" xr3:uid="{00000000-0010-0000-0100-00000A000000}" name="Filed_Amount" dataDxfId="58"/>
    <tableColumn id="11" xr3:uid="{00000000-0010-0000-0100-00000B000000}" name="Helper_Amount" dataDxfId="57"/>
    <tableColumn id="12" xr3:uid="{00000000-0010-0000-0100-00000C000000}" name="Helper_Treatment"/>
    <tableColumn id="13" xr3:uid="{00000000-0010-0000-0100-00000D000000}" name="Primary_Line"/>
    <tableColumn id="14" xr3:uid="{00000000-0010-0000-0100-00000E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Y2023_Strategies" displayName="tblY2023_Strategies" ref="A5:H20" totalsRowShown="0" dataDxfId="56">
  <autoFilter ref="A5:H20" xr:uid="{00000000-0009-0000-0100-000003000000}"/>
  <tableColumns count="8">
    <tableColumn id="1" xr3:uid="{00000000-0010-0000-0200-000001000000}" name="StrategyID" dataDxfId="55"/>
    <tableColumn id="2" xr3:uid="{00000000-0010-0000-0200-000002000000}" name="Strategy Name" dataDxfId="54"/>
    <tableColumn id="3" xr3:uid="{00000000-0010-0000-0200-000003000000}" name="TargetLine" dataDxfId="53"/>
    <tableColumn id="4" xr3:uid="{00000000-0010-0000-0200-000004000000}" name="Amount" dataDxfId="52"/>
    <tableColumn id="5" xr3:uid="{00000000-0010-0000-0200-000005000000}" name="Status" dataDxfId="51"/>
    <tableColumn id="6" xr3:uid="{00000000-0010-0000-0200-000006000000}" name="Notes" dataDxfId="50"/>
    <tableColumn id="7" xr3:uid="{00000000-0010-0000-0200-000007000000}" name="CounterLine" dataDxfId="49"/>
    <tableColumn id="8" xr3:uid="{FCF2A0D2-53C5-41E4-98BD-122B117D6214}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Y2024_Strategies" displayName="tblY2024_Strategies" ref="A5:H20" totalsRowShown="0" dataDxfId="48">
  <autoFilter ref="A5:H20" xr:uid="{00000000-0009-0000-0100-000004000000}"/>
  <tableColumns count="8">
    <tableColumn id="1" xr3:uid="{00000000-0010-0000-0300-000001000000}" name="StrategyID" dataDxfId="47"/>
    <tableColumn id="2" xr3:uid="{00000000-0010-0000-0300-000002000000}" name="Strategy Name" dataDxfId="46"/>
    <tableColumn id="3" xr3:uid="{00000000-0010-0000-0300-000003000000}" name="TargetLine" dataDxfId="45"/>
    <tableColumn id="4" xr3:uid="{00000000-0010-0000-0300-000004000000}" name="Amount" dataDxfId="44"/>
    <tableColumn id="5" xr3:uid="{00000000-0010-0000-0300-000005000000}" name="Status" dataDxfId="43"/>
    <tableColumn id="6" xr3:uid="{00000000-0010-0000-0300-000006000000}" name="Notes" dataDxfId="42"/>
    <tableColumn id="7" xr3:uid="{00000000-0010-0000-0300-000007000000}" name="CounterLine" dataDxfId="41"/>
    <tableColumn id="8" xr3:uid="{5717B379-6798-4E66-AC86-FFFBDF30CD98}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Y2025_Strategies" displayName="tblY2025_Strategies" ref="A5:H20" totalsRowShown="0" dataDxfId="67">
  <autoFilter ref="A5:H20" xr:uid="{00000000-0009-0000-0100-000005000000}"/>
  <tableColumns count="8">
    <tableColumn id="1" xr3:uid="{00000000-0010-0000-0400-000001000000}" name="StrategyID" dataDxfId="66"/>
    <tableColumn id="2" xr3:uid="{00000000-0010-0000-0400-000002000000}" name="Strategy Name" dataDxfId="65"/>
    <tableColumn id="3" xr3:uid="{00000000-0010-0000-0400-000003000000}" name="TargetLine" dataDxfId="64"/>
    <tableColumn id="4" xr3:uid="{00000000-0010-0000-0400-000004000000}" name="Amount" dataDxfId="63"/>
    <tableColumn id="5" xr3:uid="{00000000-0010-0000-0400-000005000000}" name="Status" dataDxfId="62"/>
    <tableColumn id="6" xr3:uid="{00000000-0010-0000-0400-000006000000}" name="Notes" dataDxfId="61"/>
    <tableColumn id="7" xr3:uid="{00000000-0010-0000-0400-000007000000}" name="CounterLine" dataDxfId="60"/>
    <tableColumn id="8" xr3:uid="{B206872D-683F-420E-8F72-91A72489DF0A}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Y2026_Strategies" displayName="tblY2026_Strategies" ref="A5:H20" totalsRowShown="0" dataDxfId="40">
  <autoFilter ref="A5:H20" xr:uid="{00000000-0009-0000-0100-000006000000}"/>
  <tableColumns count="8">
    <tableColumn id="1" xr3:uid="{00000000-0010-0000-0500-000001000000}" name="StrategyID" dataDxfId="39"/>
    <tableColumn id="2" xr3:uid="{00000000-0010-0000-0500-000002000000}" name="Strategy Name" dataDxfId="38"/>
    <tableColumn id="3" xr3:uid="{00000000-0010-0000-0500-000003000000}" name="TargetLine" dataDxfId="37"/>
    <tableColumn id="4" xr3:uid="{00000000-0010-0000-0500-000004000000}" name="Amount" dataDxfId="36"/>
    <tableColumn id="5" xr3:uid="{00000000-0010-0000-0500-000005000000}" name="Status" dataDxfId="35"/>
    <tableColumn id="6" xr3:uid="{00000000-0010-0000-0500-000006000000}" name="Notes" dataDxfId="34"/>
    <tableColumn id="7" xr3:uid="{00000000-0010-0000-0500-000007000000}" name="CounterLine" dataDxfId="33"/>
    <tableColumn id="8" xr3:uid="{C2A4D157-8273-42F6-8250-964385FC11D8}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Y2027_Strategies" displayName="tblY2027_Strategies" ref="A5:H20" totalsRowShown="0" dataDxfId="32">
  <autoFilter ref="A5:H20" xr:uid="{00000000-0009-0000-0100-000007000000}"/>
  <tableColumns count="8">
    <tableColumn id="1" xr3:uid="{00000000-0010-0000-0600-000001000000}" name="StrategyID" dataDxfId="31"/>
    <tableColumn id="2" xr3:uid="{00000000-0010-0000-0600-000002000000}" name="Strategy Name" dataDxfId="30"/>
    <tableColumn id="3" xr3:uid="{00000000-0010-0000-0600-000003000000}" name="TargetLine" dataDxfId="29"/>
    <tableColumn id="4" xr3:uid="{00000000-0010-0000-0600-000004000000}" name="Amount" dataDxfId="28"/>
    <tableColumn id="5" xr3:uid="{00000000-0010-0000-0600-000005000000}" name="Status" dataDxfId="27"/>
    <tableColumn id="6" xr3:uid="{00000000-0010-0000-0600-000006000000}" name="Notes" dataDxfId="26"/>
    <tableColumn id="7" xr3:uid="{00000000-0010-0000-0600-000007000000}" name="CounterLine" dataDxfId="25"/>
    <tableColumn id="8" xr3:uid="{0AE45B4F-9E95-4117-BDEE-237F225D50D8}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Y2028_Strategies" displayName="tblY2028_Strategies" ref="A5:H20" totalsRowShown="0" dataDxfId="24">
  <autoFilter ref="A5:H20" xr:uid="{00000000-0009-0000-0100-000008000000}"/>
  <tableColumns count="8">
    <tableColumn id="1" xr3:uid="{00000000-0010-0000-0700-000001000000}" name="StrategyID" dataDxfId="23"/>
    <tableColumn id="2" xr3:uid="{00000000-0010-0000-0700-000002000000}" name="Strategy Name" dataDxfId="22"/>
    <tableColumn id="3" xr3:uid="{00000000-0010-0000-0700-000003000000}" name="TargetLine" dataDxfId="21"/>
    <tableColumn id="4" xr3:uid="{00000000-0010-0000-0700-000004000000}" name="Amount" dataDxfId="20"/>
    <tableColumn id="5" xr3:uid="{00000000-0010-0000-0700-000005000000}" name="Status" dataDxfId="19"/>
    <tableColumn id="6" xr3:uid="{00000000-0010-0000-0700-000006000000}" name="Notes" dataDxfId="18"/>
    <tableColumn id="7" xr3:uid="{00000000-0010-0000-0700-000007000000}" name="CounterLine" dataDxfId="17"/>
    <tableColumn id="8" xr3:uid="{D01D2D90-AABF-4753-8A7C-8EB35049D62A}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Brackets_FIT" displayName="tblBrackets_FIT" ref="B8:G176" totalsRowShown="0">
  <autoFilter ref="B8:G176" xr:uid="{00000000-0009-0000-0100-000009000000}"/>
  <tableColumns count="6">
    <tableColumn id="1" xr3:uid="{00000000-0010-0000-0800-000001000000}" name="Year" dataDxfId="16"/>
    <tableColumn id="2" xr3:uid="{00000000-0010-0000-0800-000002000000}" name="FilingStatus"/>
    <tableColumn id="3" xr3:uid="{00000000-0010-0000-0800-000003000000}" name="Lower"/>
    <tableColumn id="4" xr3:uid="{00000000-0010-0000-0800-000004000000}" name="Upper"/>
    <tableColumn id="5" xr3:uid="{00000000-0010-0000-0800-000005000000}" name="Rate"/>
    <tableColumn id="6" xr3:uid="{00000000-0010-0000-0800-000006000000}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StdDed" displayName="tblStdDed" ref="B181:D205" totalsRowShown="0">
  <autoFilter ref="B181:D205" xr:uid="{00000000-0009-0000-0100-00000A000000}"/>
  <tableColumns count="3">
    <tableColumn id="1" xr3:uid="{00000000-0010-0000-0900-000001000000}" name="Year" dataDxfId="15"/>
    <tableColumn id="2" xr3:uid="{00000000-0010-0000-0900-000002000000}" name="FilingStatus"/>
    <tableColumn id="3" xr3:uid="{00000000-0010-0000-0900-000003000000}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Brackets_LTCG" displayName="tblBrackets_LTCG" ref="B209:F281" totalsRowShown="0">
  <autoFilter ref="B209:F281" xr:uid="{00000000-0009-0000-0100-00000B000000}"/>
  <tableColumns count="5">
    <tableColumn id="1" xr3:uid="{00000000-0010-0000-0A00-000001000000}" name="Year" dataDxfId="13"/>
    <tableColumn id="2" xr3:uid="{00000000-0010-0000-0A00-000002000000}" name="FilingStatus"/>
    <tableColumn id="3" xr3:uid="{00000000-0010-0000-0A00-000003000000}" name="Lower"/>
    <tableColumn id="4" xr3:uid="{00000000-0010-0000-0A00-000004000000}" name="Upper"/>
    <tableColumn id="5" xr3:uid="{00000000-0010-0000-0A00-000005000000}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Thresholds" displayName="tblThresholds" ref="B285:E573" totalsRowShown="0">
  <autoFilter ref="B285:E573" xr:uid="{00000000-0009-0000-0100-00000C000000}"/>
  <tableColumns count="4">
    <tableColumn id="1" xr3:uid="{00000000-0010-0000-0B00-000001000000}" name="Year" dataDxfId="12"/>
    <tableColumn id="2" xr3:uid="{00000000-0010-0000-0B00-000002000000}" name="FilingStatus"/>
    <tableColumn id="3" xr3:uid="{00000000-0010-0000-0B00-000003000000}" name="Item"/>
    <tableColumn id="4" xr3:uid="{00000000-0010-0000-0B00-000004000000}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TreatmentProfileMap" displayName="tblTreatmentProfileMap" ref="B578:J612" totalsRowShown="0">
  <autoFilter ref="B578:J612" xr:uid="{00000000-0009-0000-0100-00000D000000}"/>
  <tableColumns count="9">
    <tableColumn id="1" xr3:uid="{00000000-0010-0000-0C00-000001000000}" name="Profile"/>
    <tableColumn id="2" xr3:uid="{00000000-0010-0000-0C00-000002000000}" name="Bucket"/>
    <tableColumn id="3" xr3:uid="{00000000-0010-0000-0C00-000003000000}" name="SE_Subject"/>
    <tableColumn id="4" xr3:uid="{00000000-0010-0000-0C00-000004000000}" name="NIIT_Class"/>
    <tableColumn id="5" xr3:uid="{00000000-0010-0000-0C00-000005000000}" name="QBI_Eligible"/>
    <tableColumn id="6" xr3:uid="{00000000-0010-0000-0C00-000006000000}" name="Primary_Line"/>
    <tableColumn id="7" xr3:uid="{00000000-0010-0000-0C00-000007000000}" name="Helper_Treatment"/>
    <tableColumn id="8" xr3:uid="{00000000-0010-0000-0C00-000008000000}" name="Consider_Prompt"/>
    <tableColumn id="9" xr3:uid="{00000000-0010-0000-0C00-000009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E22228-D167-42E2-B510-A90CE2CA6D82}">
  <we:reference id="WA200009152" version="1.0.0.4" store="Omex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28B22"/>
  </sheetPr>
  <dimension ref="B2:D80"/>
  <sheetViews>
    <sheetView workbookViewId="0">
      <selection activeCell="C27" sqref="C27"/>
    </sheetView>
  </sheetViews>
  <sheetFormatPr defaultRowHeight="14.5" x14ac:dyDescent="0.35"/>
  <cols>
    <col min="2" max="2" width="36.36328125" customWidth="1"/>
    <col min="3" max="3" width="32.7265625" customWidth="1"/>
    <col min="4" max="4" width="45.453125" customWidth="1"/>
  </cols>
  <sheetData>
    <row r="2" spans="2:4" ht="18.5" customHeight="1" x14ac:dyDescent="0.45">
      <c r="B2" s="15" t="s">
        <v>206</v>
      </c>
    </row>
    <row r="3" spans="2:4" x14ac:dyDescent="0.35">
      <c r="B3" s="87" t="s">
        <v>207</v>
      </c>
    </row>
    <row r="5" spans="2:4" x14ac:dyDescent="0.35">
      <c r="B5" s="81" t="s">
        <v>208</v>
      </c>
    </row>
    <row r="6" spans="2:4" x14ac:dyDescent="0.35">
      <c r="C6" s="59"/>
    </row>
    <row r="7" spans="2:4" x14ac:dyDescent="0.35">
      <c r="B7" s="60" t="s">
        <v>209</v>
      </c>
      <c r="C7" s="60"/>
      <c r="D7" s="61"/>
    </row>
    <row r="8" spans="2:4" x14ac:dyDescent="0.35">
      <c r="B8" s="82" t="s">
        <v>210</v>
      </c>
      <c r="C8" s="86">
        <v>2025</v>
      </c>
    </row>
    <row r="9" spans="2:4" x14ac:dyDescent="0.35">
      <c r="B9" s="83" t="s">
        <v>211</v>
      </c>
      <c r="C9" s="86" t="s">
        <v>212</v>
      </c>
    </row>
    <row r="10" spans="2:4" x14ac:dyDescent="0.35">
      <c r="B10" s="83" t="s">
        <v>213</v>
      </c>
      <c r="C10" s="65" t="s">
        <v>214</v>
      </c>
    </row>
    <row r="11" spans="2:4" x14ac:dyDescent="0.35">
      <c r="B11" s="83" t="s">
        <v>215</v>
      </c>
      <c r="C11" s="65" t="s">
        <v>216</v>
      </c>
    </row>
    <row r="12" spans="2:4" x14ac:dyDescent="0.35">
      <c r="B12" s="83" t="s">
        <v>217</v>
      </c>
      <c r="C12" s="88">
        <v>46161</v>
      </c>
    </row>
    <row r="13" spans="2:4" ht="15.5" customHeight="1" x14ac:dyDescent="0.35">
      <c r="B13" s="49"/>
      <c r="C13" s="64"/>
    </row>
    <row r="14" spans="2:4" x14ac:dyDescent="0.35">
      <c r="B14" s="60" t="s">
        <v>218</v>
      </c>
      <c r="C14" s="60"/>
      <c r="D14" s="61"/>
    </row>
    <row r="15" spans="2:4" x14ac:dyDescent="0.35">
      <c r="B15" s="84" t="s">
        <v>219</v>
      </c>
      <c r="C15" s="65" t="s">
        <v>220</v>
      </c>
    </row>
    <row r="16" spans="2:4" x14ac:dyDescent="0.35">
      <c r="B16" s="85" t="s">
        <v>221</v>
      </c>
      <c r="C16" s="65" t="s">
        <v>222</v>
      </c>
    </row>
    <row r="17" spans="2:3" x14ac:dyDescent="0.35">
      <c r="B17" s="85" t="s">
        <v>223</v>
      </c>
      <c r="C17" s="65">
        <v>42</v>
      </c>
    </row>
    <row r="18" spans="2:3" x14ac:dyDescent="0.35">
      <c r="B18" s="85" t="s">
        <v>224</v>
      </c>
      <c r="C18" s="65">
        <v>40</v>
      </c>
    </row>
    <row r="19" spans="2:3" x14ac:dyDescent="0.35">
      <c r="B19" s="85" t="s">
        <v>225</v>
      </c>
      <c r="C19" s="65">
        <v>2</v>
      </c>
    </row>
    <row r="20" spans="2:3" x14ac:dyDescent="0.35">
      <c r="B20" s="85" t="s">
        <v>226</v>
      </c>
      <c r="C20" s="65" t="s">
        <v>227</v>
      </c>
    </row>
    <row r="21" spans="2:3" x14ac:dyDescent="0.35">
      <c r="B21" s="85" t="s">
        <v>228</v>
      </c>
      <c r="C21" s="65" t="s">
        <v>227</v>
      </c>
    </row>
    <row r="23" spans="2:3" x14ac:dyDescent="0.35">
      <c r="B23" s="66" t="s">
        <v>229</v>
      </c>
    </row>
    <row r="24" spans="2:3" x14ac:dyDescent="0.35">
      <c r="B24" s="85" t="s">
        <v>71</v>
      </c>
      <c r="C24" s="26" t="str">
        <f t="array" aca="1" ref="C24" ca="1">TEXT(AGI,"$#,##0")</f>
        <v>-$95,550</v>
      </c>
    </row>
    <row r="25" spans="2:3" x14ac:dyDescent="0.35">
      <c r="B25" s="85" t="s">
        <v>103</v>
      </c>
      <c r="C25" s="26" t="str">
        <f t="array" aca="1" ref="C25" ca="1">TEXT(TaxableIncome,"$#,##0")</f>
        <v>-$80,550</v>
      </c>
    </row>
    <row r="26" spans="2:3" x14ac:dyDescent="0.35">
      <c r="B26" s="85" t="s">
        <v>108</v>
      </c>
      <c r="C26" s="26" t="str">
        <f t="array" aca="1" ref="C26" ca="1">TEXT(IFERROR(INDIRECT("Y"&amp;Active_Year&amp;"!I130"),0),"0.0%")</f>
        <v>NIIT</v>
      </c>
    </row>
    <row r="27" spans="2:3" x14ac:dyDescent="0.35">
      <c r="B27" s="85" t="s">
        <v>105</v>
      </c>
      <c r="C27" s="26" t="str">
        <f t="array" aca="1" ref="C27" ca="1">TEXT(IFERROR(INDIRECT("Y"&amp;Active_Year&amp;"!I129"),0),"$#,##0")</f>
        <v>Payroll Tax (Employee + Employer)</v>
      </c>
    </row>
    <row r="28" spans="2:3" x14ac:dyDescent="0.35">
      <c r="B28" s="85" t="s">
        <v>230</v>
      </c>
      <c r="C28" s="26" t="str">
        <f t="array" aca="1" ref="C28" ca="1">TEXT(QBI_Deduction,"($#,##0)")</f>
        <v>($0)</v>
      </c>
    </row>
    <row r="30" spans="2:3" ht="15.5" customHeight="1" x14ac:dyDescent="0.35">
      <c r="B30" s="67" t="s">
        <v>231</v>
      </c>
    </row>
    <row r="32" spans="2:3" x14ac:dyDescent="0.35">
      <c r="B32" s="74" t="s">
        <v>232</v>
      </c>
      <c r="C32" s="74"/>
    </row>
    <row r="33" spans="2:3" x14ac:dyDescent="0.35">
      <c r="B33" s="75" t="str">
        <f>HYPERLINK("#Master_Inputs!A1", "Master_Inputs")</f>
        <v>Master_Inputs</v>
      </c>
      <c r="C33" s="62" t="s">
        <v>233</v>
      </c>
    </row>
    <row r="34" spans="2:3" x14ac:dyDescent="0.35">
      <c r="B34" s="75" t="str">
        <f>HYPERLINK("#AsFiled!A1", "AsFiled")</f>
        <v>AsFiled</v>
      </c>
      <c r="C34" s="62" t="s">
        <v>234</v>
      </c>
    </row>
    <row r="35" spans="2:3" x14ac:dyDescent="0.35">
      <c r="B35" s="75" t="str">
        <f>HYPERLINK("#Carryovers!A1", "Carryovers")</f>
        <v>Carryovers</v>
      </c>
      <c r="C35" s="62" t="s">
        <v>235</v>
      </c>
    </row>
    <row r="37" spans="2:3" x14ac:dyDescent="0.35">
      <c r="B37" s="47" t="s">
        <v>236</v>
      </c>
      <c r="C37" s="47"/>
    </row>
    <row r="38" spans="2:3" x14ac:dyDescent="0.35">
      <c r="B38" s="75" t="str">
        <f>HYPERLINK("#Y2023!A1", "Y2023")</f>
        <v>Y2023</v>
      </c>
      <c r="C38" s="62" t="s">
        <v>237</v>
      </c>
    </row>
    <row r="39" spans="2:3" x14ac:dyDescent="0.35">
      <c r="B39" s="75" t="str">
        <f>HYPERLINK("#Y2024!A1", "Y2024")</f>
        <v>Y2024</v>
      </c>
      <c r="C39" s="62" t="s">
        <v>237</v>
      </c>
    </row>
    <row r="40" spans="2:3" x14ac:dyDescent="0.35">
      <c r="B40" s="75" t="str">
        <f>HYPERLINK("#Y2025!A1", "Y2025")</f>
        <v>Y2025</v>
      </c>
      <c r="C40" s="62" t="s">
        <v>237</v>
      </c>
    </row>
    <row r="41" spans="2:3" x14ac:dyDescent="0.35">
      <c r="B41" s="75" t="str">
        <f>HYPERLINK("#Y2026!A1", "Y2026")</f>
        <v>Y2026</v>
      </c>
      <c r="C41" s="62" t="s">
        <v>237</v>
      </c>
    </row>
    <row r="42" spans="2:3" x14ac:dyDescent="0.35">
      <c r="B42" s="75" t="str">
        <f>HYPERLINK("#Y2027!A1", "Y2027")</f>
        <v>Y2027</v>
      </c>
      <c r="C42" s="62" t="s">
        <v>237</v>
      </c>
    </row>
    <row r="43" spans="2:3" x14ac:dyDescent="0.35">
      <c r="B43" s="75" t="str">
        <f>HYPERLINK("#Y2028!A1", "Y2028")</f>
        <v>Y2028</v>
      </c>
      <c r="C43" s="62" t="s">
        <v>237</v>
      </c>
    </row>
    <row r="45" spans="2:3" x14ac:dyDescent="0.35">
      <c r="B45" s="76" t="s">
        <v>238</v>
      </c>
      <c r="C45" s="76"/>
    </row>
    <row r="46" spans="2:3" x14ac:dyDescent="0.35">
      <c r="B46" s="75" t="str">
        <f>HYPERLINK("#Tax_Plan_Dashboard!A1", "Tax_Plan_Dashboard")</f>
        <v>Tax_Plan_Dashboard</v>
      </c>
      <c r="C46" s="62" t="s">
        <v>239</v>
      </c>
    </row>
    <row r="47" spans="2:3" x14ac:dyDescent="0.35">
      <c r="B47" s="75" t="str">
        <f>HYPERLINK("#PY_Recon!A1", "PY_Recon")</f>
        <v>PY_Recon</v>
      </c>
      <c r="C47" s="62" t="s">
        <v>240</v>
      </c>
    </row>
    <row r="48" spans="2:3" x14ac:dyDescent="0.35">
      <c r="B48" s="75" t="str">
        <f>HYPERLINK("#Pivot_GPD!A1", "Pivot_GPD")</f>
        <v>Pivot_GPD</v>
      </c>
      <c r="C48" s="62" t="s">
        <v>241</v>
      </c>
    </row>
    <row r="50" spans="2:3" x14ac:dyDescent="0.35">
      <c r="B50" s="77" t="s">
        <v>242</v>
      </c>
      <c r="C50" s="77"/>
    </row>
    <row r="51" spans="2:3" x14ac:dyDescent="0.35">
      <c r="B51" s="75" t="str">
        <f>HYPERLINK("#Pivot_Summary!A1", "Pivot_Summary")</f>
        <v>Pivot_Summary</v>
      </c>
      <c r="C51" s="62" t="s">
        <v>243</v>
      </c>
    </row>
    <row r="52" spans="2:3" x14ac:dyDescent="0.35">
      <c r="B52" s="75" t="str">
        <f>HYPERLINK("#Pivot_Medium!A1", "Pivot_Medium")</f>
        <v>Pivot_Medium</v>
      </c>
      <c r="C52" s="62" t="s">
        <v>244</v>
      </c>
    </row>
    <row r="53" spans="2:3" x14ac:dyDescent="0.35">
      <c r="B53" s="75" t="str">
        <f>HYPERLINK("#Pivot_Detailed!A1", "Pivot_Detailed")</f>
        <v>Pivot_Detailed</v>
      </c>
      <c r="C53" s="62" t="s">
        <v>245</v>
      </c>
    </row>
    <row r="54" spans="2:3" x14ac:dyDescent="0.35">
      <c r="B54" s="75" t="str">
        <f>HYPERLINK("#Pivot_Helpers!A1", "Pivot_Helpers")</f>
        <v>Pivot_Helpers</v>
      </c>
      <c r="C54" s="62" t="s">
        <v>246</v>
      </c>
    </row>
    <row r="56" spans="2:3" x14ac:dyDescent="0.35">
      <c r="B56" s="78" t="s">
        <v>247</v>
      </c>
      <c r="C56" s="78"/>
    </row>
    <row r="57" spans="2:3" x14ac:dyDescent="0.35">
      <c r="B57" s="75" t="str">
        <f>HYPERLINK("#Visual_Pivot_Income!A1", "Visual_Pivot_Income")</f>
        <v>Visual_Pivot_Income</v>
      </c>
      <c r="C57" s="62" t="s">
        <v>248</v>
      </c>
    </row>
    <row r="58" spans="2:3" x14ac:dyDescent="0.35">
      <c r="B58" s="75" t="str">
        <f>HYPERLINK("#Visual_Pivot_BusinessIncome!A1", "Visual_Pivot_BusinessIncome")</f>
        <v>Visual_Pivot_BusinessIncome</v>
      </c>
      <c r="C58" s="62" t="s">
        <v>249</v>
      </c>
    </row>
    <row r="59" spans="2:3" x14ac:dyDescent="0.35">
      <c r="B59" s="75" t="str">
        <f>HYPERLINK("#Visual_Pivot_ByPayor!A1", "Visual_Pivot_ByPayor")</f>
        <v>Visual_Pivot_ByPayor</v>
      </c>
      <c r="C59" s="62" t="s">
        <v>250</v>
      </c>
    </row>
    <row r="60" spans="2:3" x14ac:dyDescent="0.35">
      <c r="B60" s="75" t="str">
        <f>HYPERLINK("#Visual_Pivot_HelperCarveOuts!A1", "Visual_Pivot_HelperCarveOuts")</f>
        <v>Visual_Pivot_HelperCarveOuts</v>
      </c>
      <c r="C60" s="62" t="s">
        <v>251</v>
      </c>
    </row>
    <row r="62" spans="2:3" x14ac:dyDescent="0.35">
      <c r="B62" s="79" t="s">
        <v>252</v>
      </c>
      <c r="C62" s="79"/>
    </row>
    <row r="63" spans="2:3" x14ac:dyDescent="0.35">
      <c r="B63" s="75" t="str">
        <f>HYPERLINK("#Tax_Ref!A1", "Tax_Ref")</f>
        <v>Tax_Ref</v>
      </c>
      <c r="C63" s="62" t="s">
        <v>253</v>
      </c>
    </row>
    <row r="64" spans="2:3" x14ac:dyDescent="0.35">
      <c r="B64" s="75" t="str">
        <f>HYPERLINK("#Dropdown_Lists!A1", "Dropdown_Lists")</f>
        <v>Dropdown_Lists</v>
      </c>
      <c r="C64" s="62" t="s">
        <v>254</v>
      </c>
    </row>
    <row r="65" spans="2:3" x14ac:dyDescent="0.35">
      <c r="B65" s="75" t="str">
        <f>HYPERLINK("#Framework_Ref!A1", "Framework_Ref")</f>
        <v>Framework_Ref</v>
      </c>
      <c r="C65" s="62" t="s">
        <v>255</v>
      </c>
    </row>
    <row r="66" spans="2:3" x14ac:dyDescent="0.35">
      <c r="B66" s="75" t="str">
        <f>HYPERLINK("#Glossary!A1", "Glossary")</f>
        <v>Glossary</v>
      </c>
      <c r="C66" s="62" t="s">
        <v>256</v>
      </c>
    </row>
    <row r="67" spans="2:3" x14ac:dyDescent="0.35">
      <c r="B67" s="75" t="str">
        <f>HYPERLINK("#Questionnaire!A1", "Questionnaire")</f>
        <v>Questionnaire</v>
      </c>
      <c r="C67" s="62" t="s">
        <v>257</v>
      </c>
    </row>
    <row r="68" spans="2:3" x14ac:dyDescent="0.35">
      <c r="B68" s="75" t="str">
        <f>HYPERLINK("#Connections!A1", "Connections")</f>
        <v>Connections</v>
      </c>
      <c r="C68" s="62" t="s">
        <v>258</v>
      </c>
    </row>
    <row r="69" spans="2:3" x14ac:dyDescent="0.35">
      <c r="B69" s="75" t="str">
        <f>HYPERLINK("#Projection_History!A1", "Projection_History")</f>
        <v>Projection_History</v>
      </c>
      <c r="C69" s="62" t="s">
        <v>259</v>
      </c>
    </row>
    <row r="70" spans="2:3" x14ac:dyDescent="0.35">
      <c r="B70" s="75" t="str">
        <f>HYPERLINK("#Change_Log!A1", "Change_Log")</f>
        <v>Change_Log</v>
      </c>
      <c r="C70" s="62" t="s">
        <v>260</v>
      </c>
    </row>
    <row r="71" spans="2:3" x14ac:dyDescent="0.35">
      <c r="B71" s="75" t="str">
        <f>HYPERLINK("#Setup_Guide!A1", "Setup_Guide")</f>
        <v>Setup_Guide</v>
      </c>
      <c r="C71" s="62" t="s">
        <v>261</v>
      </c>
    </row>
    <row r="80" spans="2:3" x14ac:dyDescent="0.35">
      <c r="B80" s="75"/>
      <c r="C80" s="62"/>
    </row>
  </sheetData>
  <dataValidations count="5">
    <dataValidation type="list" allowBlank="1" showInputMessage="1" showErrorMessage="1" promptTitle="Plan Year" prompt="Select active planning year" sqref="C8" xr:uid="{00000000-0002-0000-0000-000000000000}">
      <formula1>"2023,2024,2025,2026,2027,2028"</formula1>
    </dataValidation>
    <dataValidation type="list" allowBlank="1" showInputMessage="1" showErrorMessage="1" sqref="C9" xr:uid="{00000000-0002-0000-0000-000001000000}">
      <formula1>"Standard Assumptions,Draft,Final,Filed"</formula1>
    </dataValidation>
    <dataValidation type="list" allowBlank="1" showInputMessage="1" showErrorMessage="1" promptTitle="Filing Status" prompt="MFJ, MFS, Single, or HOH" sqref="C15" xr:uid="{00000000-0002-0000-0000-000002000000}">
      <formula1>"MFJ,MFS,Single,HOH"</formula1>
    </dataValidation>
    <dataValidation type="list" allowBlank="1" showInputMessage="1" showErrorMessage="1" sqref="C20 C21 C23 C24 C25 C26" xr:uid="{00000000-0002-0000-0000-000003000000}">
      <formula1>"Yes,No"</formula1>
    </dataValidation>
    <dataValidation type="list" allowBlank="1" showInputMessage="1" showErrorMessage="1" promptTitle="Retirement Plan" prompt="Select retirement plan type" sqref="C28" xr:uid="{00000000-0002-0000-0000-000004000000}">
      <formula1>"None,Traditional IRA,Roth IRA,SEP-IRA,SIMPLE IRA,Solo 401(k),Self-Directed Solo 401(k),Defined Benefit Plan"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8B22"/>
  </sheetPr>
  <dimension ref="A1:S18"/>
  <sheetViews>
    <sheetView topLeftCell="F1" workbookViewId="0">
      <pane ySplit="4" topLeftCell="A5" activePane="bottomLeft" state="frozen"/>
      <selection pane="bottomLeft" activeCell="H9" sqref="H9"/>
    </sheetView>
  </sheetViews>
  <sheetFormatPr defaultRowHeight="14.5" x14ac:dyDescent="0.35"/>
  <cols>
    <col min="1" max="1" width="22" customWidth="1"/>
    <col min="2" max="2" width="7" customWidth="1"/>
    <col min="3" max="3" width="11" customWidth="1"/>
    <col min="4" max="5" width="18" customWidth="1"/>
    <col min="6" max="7" width="22" customWidth="1"/>
    <col min="8" max="8" width="14" customWidth="1"/>
    <col min="9" max="9" width="18" customWidth="1"/>
    <col min="10" max="10" width="22" customWidth="1"/>
    <col min="11" max="13" width="14" customWidth="1"/>
    <col min="14" max="14" width="11" customWidth="1"/>
    <col min="15" max="15" width="12" customWidth="1"/>
    <col min="16" max="16" width="13" customWidth="1"/>
    <col min="17" max="17" width="11" customWidth="1"/>
    <col min="18" max="19" width="30" customWidth="1"/>
  </cols>
  <sheetData>
    <row r="1" spans="1:19" ht="18.5" customHeight="1" x14ac:dyDescent="0.45">
      <c r="A1" s="1" t="s">
        <v>262</v>
      </c>
    </row>
    <row r="2" spans="1:19" x14ac:dyDescent="0.35">
      <c r="A2" s="2" t="s">
        <v>263</v>
      </c>
    </row>
    <row r="4" spans="1:19" ht="29" customHeight="1" x14ac:dyDescent="0.35">
      <c r="A4" s="3" t="s">
        <v>264</v>
      </c>
      <c r="B4" s="3" t="s">
        <v>265</v>
      </c>
      <c r="C4" s="3" t="s">
        <v>266</v>
      </c>
      <c r="D4" s="3" t="s">
        <v>267</v>
      </c>
      <c r="E4" s="3" t="s">
        <v>146</v>
      </c>
      <c r="F4" s="3" t="s">
        <v>147</v>
      </c>
      <c r="G4" s="3" t="s">
        <v>268</v>
      </c>
      <c r="H4" s="3" t="s">
        <v>269</v>
      </c>
      <c r="I4" s="3" t="s">
        <v>270</v>
      </c>
      <c r="J4" s="3" t="s">
        <v>148</v>
      </c>
      <c r="K4" s="3" t="s">
        <v>149</v>
      </c>
      <c r="L4" s="3" t="s">
        <v>150</v>
      </c>
      <c r="M4" s="3" t="s">
        <v>271</v>
      </c>
      <c r="N4" s="3" t="s">
        <v>272</v>
      </c>
      <c r="O4" s="3" t="s">
        <v>273</v>
      </c>
      <c r="P4" s="3" t="s">
        <v>274</v>
      </c>
      <c r="Q4" s="3" t="s">
        <v>275</v>
      </c>
      <c r="R4" s="3" t="s">
        <v>276</v>
      </c>
      <c r="S4" s="3" t="s">
        <v>8</v>
      </c>
    </row>
    <row r="5" spans="1:19" x14ac:dyDescent="0.35">
      <c r="A5" s="4" t="s">
        <v>277</v>
      </c>
      <c r="B5" s="4">
        <v>2024</v>
      </c>
      <c r="C5" s="4" t="s">
        <v>278</v>
      </c>
      <c r="D5" s="4" t="s">
        <v>279</v>
      </c>
      <c r="E5" s="4" t="s">
        <v>24</v>
      </c>
      <c r="F5" s="4" t="s">
        <v>280</v>
      </c>
      <c r="G5" s="4" t="s">
        <v>281</v>
      </c>
      <c r="H5" s="4" t="s">
        <v>96</v>
      </c>
      <c r="I5" s="4" t="s">
        <v>282</v>
      </c>
      <c r="J5" s="4" t="s">
        <v>283</v>
      </c>
      <c r="K5" s="4">
        <v>153648</v>
      </c>
      <c r="L5" s="4">
        <v>0</v>
      </c>
      <c r="M5" s="4" t="s">
        <v>284</v>
      </c>
      <c r="N5" s="4" t="s">
        <v>227</v>
      </c>
      <c r="O5" s="4" t="s">
        <v>285</v>
      </c>
      <c r="P5" s="4" t="s">
        <v>227</v>
      </c>
      <c r="Q5" s="4" t="s">
        <v>21</v>
      </c>
      <c r="R5" s="4" t="s">
        <v>286</v>
      </c>
      <c r="S5" s="4"/>
    </row>
    <row r="6" spans="1:19" x14ac:dyDescent="0.35">
      <c r="A6" s="4" t="s">
        <v>287</v>
      </c>
      <c r="B6" s="4">
        <v>2024</v>
      </c>
      <c r="C6" s="4" t="s">
        <v>278</v>
      </c>
      <c r="D6" s="4" t="s">
        <v>279</v>
      </c>
      <c r="E6" s="4" t="s">
        <v>288</v>
      </c>
      <c r="F6" s="4" t="s">
        <v>289</v>
      </c>
      <c r="G6" s="4" t="s">
        <v>290</v>
      </c>
      <c r="H6" s="4" t="s">
        <v>96</v>
      </c>
      <c r="I6" s="4" t="s">
        <v>282</v>
      </c>
      <c r="J6" s="4" t="s">
        <v>291</v>
      </c>
      <c r="K6" s="4">
        <v>-100766</v>
      </c>
      <c r="L6" s="4">
        <v>0</v>
      </c>
      <c r="M6" s="4" t="s">
        <v>292</v>
      </c>
      <c r="N6" s="4" t="s">
        <v>227</v>
      </c>
      <c r="O6" s="4" t="s">
        <v>293</v>
      </c>
      <c r="P6" s="4" t="s">
        <v>294</v>
      </c>
      <c r="Q6" s="4" t="s">
        <v>55</v>
      </c>
      <c r="R6" s="4" t="s">
        <v>295</v>
      </c>
      <c r="S6" s="4"/>
    </row>
    <row r="7" spans="1:19" x14ac:dyDescent="0.35">
      <c r="A7" s="4" t="s">
        <v>296</v>
      </c>
      <c r="B7" s="4">
        <v>2024</v>
      </c>
      <c r="C7" s="4" t="s">
        <v>278</v>
      </c>
      <c r="D7" s="4" t="s">
        <v>279</v>
      </c>
      <c r="E7" s="4" t="s">
        <v>297</v>
      </c>
      <c r="F7" s="4" t="s">
        <v>298</v>
      </c>
      <c r="G7" s="4" t="s">
        <v>299</v>
      </c>
      <c r="H7" s="4" t="s">
        <v>96</v>
      </c>
      <c r="I7" s="4" t="s">
        <v>282</v>
      </c>
      <c r="J7" s="4" t="s">
        <v>300</v>
      </c>
      <c r="K7" s="4">
        <v>25922</v>
      </c>
      <c r="L7" s="4">
        <v>0</v>
      </c>
      <c r="M7" s="4" t="s">
        <v>301</v>
      </c>
      <c r="N7" s="4" t="s">
        <v>227</v>
      </c>
      <c r="O7" s="4" t="s">
        <v>302</v>
      </c>
      <c r="P7" s="4" t="s">
        <v>227</v>
      </c>
      <c r="Q7" s="4" t="s">
        <v>45</v>
      </c>
      <c r="R7" s="4" t="s">
        <v>303</v>
      </c>
      <c r="S7" s="4"/>
    </row>
    <row r="8" spans="1:19" x14ac:dyDescent="0.35">
      <c r="A8" s="4" t="s">
        <v>304</v>
      </c>
      <c r="B8" s="4">
        <v>2024</v>
      </c>
      <c r="C8" s="4" t="s">
        <v>278</v>
      </c>
      <c r="D8" s="4" t="s">
        <v>279</v>
      </c>
      <c r="E8" s="4" t="s">
        <v>305</v>
      </c>
      <c r="F8" s="4" t="s">
        <v>306</v>
      </c>
      <c r="G8" s="4" t="s">
        <v>307</v>
      </c>
      <c r="H8" s="4" t="s">
        <v>96</v>
      </c>
      <c r="I8" s="4" t="s">
        <v>282</v>
      </c>
      <c r="J8" s="4" t="s">
        <v>300</v>
      </c>
      <c r="K8" s="4">
        <v>14487</v>
      </c>
      <c r="L8" s="4">
        <v>0</v>
      </c>
      <c r="M8" s="4" t="s">
        <v>308</v>
      </c>
      <c r="N8" s="4" t="s">
        <v>227</v>
      </c>
      <c r="O8" s="4" t="s">
        <v>302</v>
      </c>
      <c r="P8" s="4" t="s">
        <v>227</v>
      </c>
      <c r="Q8" s="4" t="s">
        <v>50</v>
      </c>
      <c r="R8" s="4" t="s">
        <v>309</v>
      </c>
      <c r="S8" s="4"/>
    </row>
    <row r="9" spans="1:19" x14ac:dyDescent="0.35">
      <c r="A9" s="4" t="s">
        <v>310</v>
      </c>
      <c r="B9" s="4">
        <v>2025</v>
      </c>
      <c r="C9" s="4" t="s">
        <v>216</v>
      </c>
      <c r="D9" s="4" t="s">
        <v>311</v>
      </c>
      <c r="E9" s="4" t="s">
        <v>24</v>
      </c>
      <c r="F9" s="4" t="s">
        <v>280</v>
      </c>
      <c r="G9" s="4" t="s">
        <v>281</v>
      </c>
      <c r="H9" s="4" t="s">
        <v>96</v>
      </c>
      <c r="I9" s="4" t="s">
        <v>312</v>
      </c>
      <c r="J9" s="4" t="s">
        <v>313</v>
      </c>
      <c r="K9" s="4">
        <v>100000</v>
      </c>
      <c r="L9" s="4">
        <v>100000</v>
      </c>
      <c r="M9" s="4" t="s">
        <v>284</v>
      </c>
      <c r="N9" s="4" t="s">
        <v>227</v>
      </c>
      <c r="O9" s="4" t="s">
        <v>285</v>
      </c>
      <c r="P9" s="4" t="s">
        <v>227</v>
      </c>
      <c r="Q9" s="4" t="s">
        <v>21</v>
      </c>
      <c r="R9" s="4" t="s">
        <v>286</v>
      </c>
      <c r="S9" s="4"/>
    </row>
    <row r="10" spans="1:19" x14ac:dyDescent="0.35">
      <c r="A10" s="4" t="s">
        <v>314</v>
      </c>
      <c r="B10" s="4">
        <v>2025</v>
      </c>
      <c r="C10" s="4" t="s">
        <v>216</v>
      </c>
      <c r="D10" s="4" t="s">
        <v>311</v>
      </c>
      <c r="E10" s="4" t="s">
        <v>288</v>
      </c>
      <c r="F10" s="4" t="s">
        <v>315</v>
      </c>
      <c r="G10" s="4" t="s">
        <v>290</v>
      </c>
      <c r="H10" s="4" t="s">
        <v>96</v>
      </c>
      <c r="I10" s="4" t="s">
        <v>316</v>
      </c>
      <c r="J10" s="4" t="s">
        <v>317</v>
      </c>
      <c r="K10" s="4">
        <v>200000</v>
      </c>
      <c r="L10" s="4">
        <v>0</v>
      </c>
      <c r="M10" s="4" t="s">
        <v>292</v>
      </c>
      <c r="N10" s="4" t="s">
        <v>227</v>
      </c>
      <c r="O10" s="4" t="s">
        <v>285</v>
      </c>
      <c r="P10" s="4" t="s">
        <v>294</v>
      </c>
      <c r="Q10" s="4" t="s">
        <v>55</v>
      </c>
      <c r="R10" s="4" t="s">
        <v>318</v>
      </c>
      <c r="S10" s="4"/>
    </row>
    <row r="11" spans="1:19" x14ac:dyDescent="0.35">
      <c r="A11" s="4" t="s">
        <v>319</v>
      </c>
      <c r="B11" s="4">
        <v>2025</v>
      </c>
      <c r="C11" s="4" t="s">
        <v>216</v>
      </c>
      <c r="D11" s="4" t="s">
        <v>311</v>
      </c>
      <c r="E11" s="4" t="s">
        <v>297</v>
      </c>
      <c r="F11" s="4" t="s">
        <v>320</v>
      </c>
      <c r="G11" s="4" t="s">
        <v>299</v>
      </c>
      <c r="H11" s="4" t="s">
        <v>96</v>
      </c>
      <c r="I11" s="4" t="s">
        <v>321</v>
      </c>
      <c r="J11" s="4" t="s">
        <v>300</v>
      </c>
      <c r="K11" s="4">
        <v>10000</v>
      </c>
      <c r="L11" s="4">
        <v>7000</v>
      </c>
      <c r="M11" s="4" t="s">
        <v>301</v>
      </c>
      <c r="N11" s="4" t="s">
        <v>227</v>
      </c>
      <c r="O11" s="4" t="s">
        <v>302</v>
      </c>
      <c r="P11" s="4" t="s">
        <v>227</v>
      </c>
      <c r="Q11" s="4" t="s">
        <v>45</v>
      </c>
      <c r="R11" s="4" t="s">
        <v>322</v>
      </c>
      <c r="S11" s="4"/>
    </row>
    <row r="12" spans="1:19" x14ac:dyDescent="0.35">
      <c r="A12" s="4" t="s">
        <v>323</v>
      </c>
      <c r="B12" s="4">
        <v>2025</v>
      </c>
      <c r="C12" s="4" t="s">
        <v>216</v>
      </c>
      <c r="D12" s="4" t="s">
        <v>311</v>
      </c>
      <c r="E12" s="4" t="s">
        <v>297</v>
      </c>
      <c r="F12" s="4" t="s">
        <v>324</v>
      </c>
      <c r="G12" s="4" t="s">
        <v>325</v>
      </c>
      <c r="H12" s="4" t="s">
        <v>96</v>
      </c>
      <c r="I12" s="4" t="s">
        <v>321</v>
      </c>
      <c r="J12" s="4" t="s">
        <v>300</v>
      </c>
      <c r="K12" s="4">
        <v>500</v>
      </c>
      <c r="L12" s="4">
        <v>0</v>
      </c>
      <c r="M12" s="4" t="s">
        <v>326</v>
      </c>
      <c r="N12" s="4" t="s">
        <v>227</v>
      </c>
      <c r="O12" s="4" t="s">
        <v>302</v>
      </c>
      <c r="P12" s="4" t="s">
        <v>227</v>
      </c>
      <c r="Q12" s="4" t="s">
        <v>34</v>
      </c>
      <c r="R12" s="4" t="s">
        <v>327</v>
      </c>
      <c r="S12" s="4"/>
    </row>
    <row r="13" spans="1:19" x14ac:dyDescent="0.35">
      <c r="A13" s="4" t="s">
        <v>328</v>
      </c>
      <c r="B13" s="4">
        <v>2025</v>
      </c>
      <c r="C13" s="4" t="s">
        <v>216</v>
      </c>
      <c r="D13" s="4" t="s">
        <v>311</v>
      </c>
      <c r="E13" s="4" t="s">
        <v>305</v>
      </c>
      <c r="F13" s="4" t="s">
        <v>306</v>
      </c>
      <c r="G13" s="4" t="s">
        <v>307</v>
      </c>
      <c r="H13" s="4" t="s">
        <v>96</v>
      </c>
      <c r="I13" s="4" t="s">
        <v>329</v>
      </c>
      <c r="J13" s="4" t="s">
        <v>300</v>
      </c>
      <c r="K13" s="4">
        <v>25000</v>
      </c>
      <c r="L13" s="4">
        <v>0</v>
      </c>
      <c r="M13" s="4" t="s">
        <v>308</v>
      </c>
      <c r="N13" s="4" t="s">
        <v>227</v>
      </c>
      <c r="O13" s="4" t="s">
        <v>302</v>
      </c>
      <c r="P13" s="4" t="s">
        <v>227</v>
      </c>
      <c r="Q13" s="4" t="s">
        <v>50</v>
      </c>
      <c r="R13" s="4" t="s">
        <v>309</v>
      </c>
      <c r="S13" s="4"/>
    </row>
    <row r="14" spans="1:19" x14ac:dyDescent="0.35">
      <c r="A14" s="4" t="s">
        <v>330</v>
      </c>
      <c r="B14" s="4">
        <v>2025</v>
      </c>
      <c r="C14" s="4" t="s">
        <v>216</v>
      </c>
      <c r="D14" s="4" t="s">
        <v>311</v>
      </c>
      <c r="E14" s="4" t="s">
        <v>331</v>
      </c>
      <c r="F14" s="4" t="s">
        <v>332</v>
      </c>
      <c r="G14" s="4" t="s">
        <v>333</v>
      </c>
      <c r="H14" s="4" t="s">
        <v>96</v>
      </c>
      <c r="I14" s="4" t="s">
        <v>321</v>
      </c>
      <c r="J14" s="4"/>
      <c r="K14" s="4">
        <v>-10000</v>
      </c>
      <c r="L14" s="4">
        <v>0</v>
      </c>
      <c r="M14" s="4" t="s">
        <v>334</v>
      </c>
      <c r="N14" s="4" t="s">
        <v>227</v>
      </c>
      <c r="O14" s="4" t="s">
        <v>335</v>
      </c>
      <c r="P14" s="4" t="s">
        <v>227</v>
      </c>
      <c r="Q14" s="4" t="s">
        <v>75</v>
      </c>
      <c r="R14" s="4" t="s">
        <v>336</v>
      </c>
      <c r="S14" s="4"/>
    </row>
    <row r="15" spans="1:19" x14ac:dyDescent="0.35">
      <c r="A15" s="4" t="s">
        <v>337</v>
      </c>
      <c r="B15" s="4">
        <v>2025</v>
      </c>
      <c r="C15" s="4" t="s">
        <v>216</v>
      </c>
      <c r="D15" s="4" t="s">
        <v>311</v>
      </c>
      <c r="E15" s="4" t="s">
        <v>24</v>
      </c>
      <c r="F15" s="4" t="s">
        <v>280</v>
      </c>
      <c r="G15" s="4"/>
      <c r="H15" s="4" t="s">
        <v>338</v>
      </c>
      <c r="I15" s="4" t="s">
        <v>339</v>
      </c>
      <c r="J15" s="4" t="s">
        <v>313</v>
      </c>
      <c r="K15" s="4">
        <v>-25000</v>
      </c>
      <c r="L15" s="4">
        <v>0</v>
      </c>
      <c r="M15" s="90" t="s">
        <v>284</v>
      </c>
      <c r="N15" s="4" t="s">
        <v>227</v>
      </c>
      <c r="O15" s="4" t="s">
        <v>285</v>
      </c>
      <c r="P15" s="4" t="s">
        <v>227</v>
      </c>
      <c r="Q15" s="4" t="s">
        <v>21</v>
      </c>
      <c r="R15" s="4" t="s">
        <v>340</v>
      </c>
      <c r="S15" s="4" t="s">
        <v>341</v>
      </c>
    </row>
    <row r="16" spans="1:19" x14ac:dyDescent="0.35">
      <c r="A16" s="4" t="s">
        <v>342</v>
      </c>
      <c r="B16" s="4">
        <v>2025</v>
      </c>
      <c r="C16" s="4" t="s">
        <v>216</v>
      </c>
      <c r="D16" s="4" t="s">
        <v>311</v>
      </c>
      <c r="E16" s="4" t="s">
        <v>288</v>
      </c>
      <c r="F16" s="4" t="s">
        <v>315</v>
      </c>
      <c r="G16" s="4"/>
      <c r="H16" s="4" t="s">
        <v>338</v>
      </c>
      <c r="I16" s="4" t="s">
        <v>339</v>
      </c>
      <c r="J16" s="4" t="s">
        <v>317</v>
      </c>
      <c r="K16" s="4">
        <v>25000</v>
      </c>
      <c r="L16" s="4">
        <v>0</v>
      </c>
      <c r="M16" s="90" t="s">
        <v>292</v>
      </c>
      <c r="N16" s="4" t="s">
        <v>227</v>
      </c>
      <c r="O16" s="4" t="s">
        <v>285</v>
      </c>
      <c r="P16" s="4" t="s">
        <v>294</v>
      </c>
      <c r="Q16" s="4">
        <v>8</v>
      </c>
      <c r="R16" s="4" t="s">
        <v>343</v>
      </c>
      <c r="S16" s="4" t="s">
        <v>341</v>
      </c>
    </row>
    <row r="17" spans="1:19" x14ac:dyDescent="0.35">
      <c r="A17" s="4" t="s">
        <v>344</v>
      </c>
      <c r="B17" s="4">
        <v>2025</v>
      </c>
      <c r="C17" s="4" t="s">
        <v>216</v>
      </c>
      <c r="D17" s="4" t="s">
        <v>311</v>
      </c>
      <c r="E17" s="4" t="s">
        <v>345</v>
      </c>
      <c r="F17" s="4" t="s">
        <v>346</v>
      </c>
      <c r="G17" s="4"/>
      <c r="H17" s="4" t="s">
        <v>338</v>
      </c>
      <c r="I17" s="4" t="s">
        <v>339</v>
      </c>
      <c r="J17" s="4"/>
      <c r="K17" s="4">
        <v>-8550</v>
      </c>
      <c r="L17" s="4">
        <v>0</v>
      </c>
      <c r="M17" s="90" t="s">
        <v>326</v>
      </c>
      <c r="N17" s="4" t="s">
        <v>227</v>
      </c>
      <c r="O17" s="4" t="s">
        <v>335</v>
      </c>
      <c r="P17" s="4" t="s">
        <v>227</v>
      </c>
      <c r="Q17" s="4">
        <v>10</v>
      </c>
      <c r="R17" s="4" t="s">
        <v>347</v>
      </c>
      <c r="S17" s="4" t="s">
        <v>348</v>
      </c>
    </row>
    <row r="18" spans="1:19" x14ac:dyDescent="0.35">
      <c r="A18" s="4" t="s">
        <v>349</v>
      </c>
      <c r="B18" s="4">
        <v>2025</v>
      </c>
      <c r="C18" s="4" t="s">
        <v>216</v>
      </c>
      <c r="D18" s="4" t="s">
        <v>311</v>
      </c>
      <c r="E18" s="4" t="s">
        <v>288</v>
      </c>
      <c r="F18" s="4" t="s">
        <v>350</v>
      </c>
      <c r="G18" s="4"/>
      <c r="H18" s="4" t="s">
        <v>338</v>
      </c>
      <c r="I18" s="4" t="s">
        <v>339</v>
      </c>
      <c r="J18" s="4" t="s">
        <v>351</v>
      </c>
      <c r="K18" s="4">
        <v>-80000</v>
      </c>
      <c r="L18" s="4">
        <v>0</v>
      </c>
      <c r="M18" s="90" t="s">
        <v>352</v>
      </c>
      <c r="N18" s="4" t="s">
        <v>227</v>
      </c>
      <c r="O18" s="4" t="s">
        <v>293</v>
      </c>
      <c r="P18" s="4" t="s">
        <v>227</v>
      </c>
      <c r="Q18" s="4">
        <v>8</v>
      </c>
      <c r="R18" s="4" t="s">
        <v>353</v>
      </c>
      <c r="S18" s="4" t="s">
        <v>354</v>
      </c>
    </row>
  </sheetData>
  <dataValidations count="10">
    <dataValidation type="list" allowBlank="1" sqref="E5:E503" xr:uid="{00000000-0002-0000-0100-000000000000}">
      <formula1>Bucket</formula1>
    </dataValidation>
    <dataValidation type="list" allowBlank="1" sqref="F5:F503" xr:uid="{00000000-0002-0000-0100-000001000000}">
      <formula1>INDIRECT(SUBSTITUTE($E5," ","")&amp;"_Profiles")</formula1>
    </dataValidation>
    <dataValidation type="list" allowBlank="1" sqref="G5:G503" xr:uid="{00000000-0002-0000-0100-000002000000}">
      <formula1>INDIRECT(SUBSTITUTE($E5," ","")&amp;"_Docs")</formula1>
    </dataValidation>
    <dataValidation type="list" allowBlank="1" sqref="H5:H503" xr:uid="{00000000-0002-0000-0100-000003000000}">
      <formula1>Activity_Type</formula1>
    </dataValidation>
    <dataValidation type="list" allowBlank="1" sqref="I5:I503" xr:uid="{00000000-0002-0000-0100-000004000000}">
      <formula1>Provenance</formula1>
    </dataValidation>
    <dataValidation type="list" allowBlank="1" sqref="N5:N503 P5:P503" xr:uid="{00000000-0002-0000-0100-000005000000}">
      <formula1>Yes_No</formula1>
    </dataValidation>
    <dataValidation type="list" allowBlank="1" sqref="O5:O503" xr:uid="{00000000-0002-0000-0100-000006000000}">
      <formula1>NIIT_Class</formula1>
    </dataValidation>
    <dataValidation type="list" allowBlank="1" sqref="B5:B503" xr:uid="{00000000-0002-0000-0100-000007000000}">
      <formula1>"2023,2024,2025,2026,2027,2028"</formula1>
    </dataValidation>
    <dataValidation type="list" allowBlank="1" sqref="M5:M503" xr:uid="{00000000-0002-0000-0100-000008000000}">
      <formula1>"NONE,OWNER_PAY,TAX_EXEMPT,QUAL_DIV,LTCG_SPLIT,SEC1250,K1_SPLIT,ACTIVE_RE,PASSIVE,SE_INCOME,TRUST_DIST,HSA,IRA,RETIREMENT,SE_HEALTH,STUDENT_LOAN,MEDICAL,SALT,MORTGAGE,CHARITY,CTC,EDUCATION,FTC"</formula1>
    </dataValidation>
    <dataValidation type="list" allowBlank="1" sqref="Q5:Q503" xr:uid="{00000000-0002-0000-0100-000009000000}">
      <formula1>TaxLines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8B22"/>
  </sheetPr>
  <dimension ref="B2:O14"/>
  <sheetViews>
    <sheetView showGridLines="0" workbookViewId="0"/>
  </sheetViews>
  <sheetFormatPr defaultRowHeight="14.5" x14ac:dyDescent="0.35"/>
  <cols>
    <col min="1" max="1" width="3.6328125" customWidth="1"/>
    <col min="2" max="2" width="27.26953125" customWidth="1"/>
    <col min="3" max="3" width="9.08984375" customWidth="1"/>
    <col min="4" max="4" width="12.7265625" customWidth="1"/>
    <col min="5" max="5" width="16.36328125" customWidth="1"/>
    <col min="6" max="6" width="18.1796875" customWidth="1"/>
    <col min="7" max="7" width="20" customWidth="1"/>
    <col min="8" max="9" width="14.54296875" customWidth="1"/>
    <col min="10" max="10" width="20" customWidth="1"/>
    <col min="11" max="11" width="18.1796875" customWidth="1"/>
    <col min="12" max="12" width="16.36328125" customWidth="1"/>
    <col min="13" max="13" width="20" customWidth="1"/>
    <col min="14" max="14" width="14.54296875" customWidth="1"/>
    <col min="15" max="15" width="36.36328125" customWidth="1"/>
  </cols>
  <sheetData>
    <row r="2" spans="2:15" ht="18.5" customHeight="1" x14ac:dyDescent="0.45">
      <c r="B2" s="15" t="s">
        <v>355</v>
      </c>
    </row>
    <row r="3" spans="2:15" x14ac:dyDescent="0.35">
      <c r="B3" s="16" t="s">
        <v>356</v>
      </c>
    </row>
    <row r="5" spans="2:15" x14ac:dyDescent="0.35">
      <c r="B5" t="s">
        <v>264</v>
      </c>
      <c r="C5" t="s">
        <v>265</v>
      </c>
      <c r="D5" t="s">
        <v>266</v>
      </c>
      <c r="E5" t="s">
        <v>267</v>
      </c>
      <c r="F5" t="s">
        <v>146</v>
      </c>
      <c r="G5" t="s">
        <v>147</v>
      </c>
      <c r="H5" t="s">
        <v>268</v>
      </c>
      <c r="I5" t="s">
        <v>270</v>
      </c>
      <c r="J5" t="s">
        <v>148</v>
      </c>
      <c r="K5" t="s">
        <v>357</v>
      </c>
      <c r="L5" t="s">
        <v>150</v>
      </c>
      <c r="M5" t="s">
        <v>271</v>
      </c>
      <c r="N5" t="s">
        <v>275</v>
      </c>
      <c r="O5" t="s">
        <v>8</v>
      </c>
    </row>
    <row r="6" spans="2:15" x14ac:dyDescent="0.35">
      <c r="B6" t="s">
        <v>358</v>
      </c>
      <c r="C6">
        <v>2024</v>
      </c>
      <c r="D6" t="s">
        <v>278</v>
      </c>
      <c r="E6" t="s">
        <v>279</v>
      </c>
      <c r="F6" t="s">
        <v>24</v>
      </c>
      <c r="G6" t="s">
        <v>280</v>
      </c>
      <c r="H6" t="s">
        <v>359</v>
      </c>
      <c r="I6" t="s">
        <v>360</v>
      </c>
      <c r="J6" t="s">
        <v>283</v>
      </c>
      <c r="K6" s="12">
        <v>153648</v>
      </c>
      <c r="L6" s="12">
        <v>0</v>
      </c>
      <c r="M6" t="s">
        <v>284</v>
      </c>
      <c r="N6" t="s">
        <v>21</v>
      </c>
      <c r="O6" t="s">
        <v>361</v>
      </c>
    </row>
    <row r="7" spans="2:15" x14ac:dyDescent="0.35">
      <c r="B7" t="s">
        <v>362</v>
      </c>
      <c r="C7">
        <v>2024</v>
      </c>
      <c r="D7" t="s">
        <v>278</v>
      </c>
      <c r="E7" t="s">
        <v>279</v>
      </c>
      <c r="F7" t="s">
        <v>288</v>
      </c>
      <c r="G7" t="s">
        <v>289</v>
      </c>
      <c r="H7" t="s">
        <v>359</v>
      </c>
      <c r="I7" t="s">
        <v>360</v>
      </c>
      <c r="J7" t="s">
        <v>291</v>
      </c>
      <c r="K7" s="12">
        <v>-100766</v>
      </c>
      <c r="L7" s="12">
        <v>0</v>
      </c>
      <c r="M7" t="s">
        <v>292</v>
      </c>
      <c r="N7">
        <v>8</v>
      </c>
      <c r="O7" t="s">
        <v>363</v>
      </c>
    </row>
    <row r="8" spans="2:15" x14ac:dyDescent="0.35">
      <c r="B8" t="s">
        <v>364</v>
      </c>
      <c r="C8">
        <v>2024</v>
      </c>
      <c r="D8" t="s">
        <v>278</v>
      </c>
      <c r="E8" t="s">
        <v>279</v>
      </c>
      <c r="F8" t="s">
        <v>297</v>
      </c>
      <c r="G8" t="s">
        <v>298</v>
      </c>
      <c r="H8" t="s">
        <v>359</v>
      </c>
      <c r="I8" t="s">
        <v>360</v>
      </c>
      <c r="J8" t="s">
        <v>300</v>
      </c>
      <c r="K8" s="12">
        <v>25922</v>
      </c>
      <c r="L8" s="12">
        <v>0</v>
      </c>
      <c r="M8" t="s">
        <v>301</v>
      </c>
      <c r="N8" t="s">
        <v>45</v>
      </c>
      <c r="O8" t="s">
        <v>365</v>
      </c>
    </row>
    <row r="9" spans="2:15" x14ac:dyDescent="0.35">
      <c r="B9" t="s">
        <v>366</v>
      </c>
      <c r="C9">
        <v>2024</v>
      </c>
      <c r="D9" t="s">
        <v>278</v>
      </c>
      <c r="E9" t="s">
        <v>279</v>
      </c>
      <c r="F9" t="s">
        <v>305</v>
      </c>
      <c r="G9" t="s">
        <v>306</v>
      </c>
      <c r="H9" t="s">
        <v>359</v>
      </c>
      <c r="I9" t="s">
        <v>360</v>
      </c>
      <c r="J9" t="s">
        <v>300</v>
      </c>
      <c r="K9" s="12">
        <v>14487</v>
      </c>
      <c r="L9" s="12">
        <v>0</v>
      </c>
      <c r="M9" t="s">
        <v>308</v>
      </c>
      <c r="N9">
        <v>7</v>
      </c>
      <c r="O9" t="s">
        <v>367</v>
      </c>
    </row>
    <row r="10" spans="2:15" x14ac:dyDescent="0.35">
      <c r="B10" t="s">
        <v>368</v>
      </c>
      <c r="C10">
        <v>2023</v>
      </c>
      <c r="I10" t="s">
        <v>369</v>
      </c>
      <c r="K10" s="12">
        <v>0</v>
      </c>
      <c r="L10" s="12">
        <v>0</v>
      </c>
      <c r="O10" t="s">
        <v>370</v>
      </c>
    </row>
    <row r="11" spans="2:15" x14ac:dyDescent="0.35">
      <c r="B11" t="s">
        <v>371</v>
      </c>
      <c r="C11">
        <v>2025</v>
      </c>
      <c r="I11" t="s">
        <v>369</v>
      </c>
      <c r="K11" s="12">
        <v>0</v>
      </c>
      <c r="L11" s="12">
        <v>0</v>
      </c>
      <c r="O11" t="s">
        <v>372</v>
      </c>
    </row>
    <row r="12" spans="2:15" x14ac:dyDescent="0.35">
      <c r="B12" t="s">
        <v>373</v>
      </c>
      <c r="C12">
        <v>2026</v>
      </c>
      <c r="I12" t="s">
        <v>369</v>
      </c>
      <c r="K12" s="12">
        <v>0</v>
      </c>
      <c r="L12" s="12">
        <v>0</v>
      </c>
      <c r="O12" t="s">
        <v>374</v>
      </c>
    </row>
    <row r="13" spans="2:15" x14ac:dyDescent="0.35">
      <c r="B13" t="s">
        <v>375</v>
      </c>
      <c r="C13">
        <v>2027</v>
      </c>
      <c r="I13" t="s">
        <v>369</v>
      </c>
      <c r="K13" s="12">
        <v>0</v>
      </c>
      <c r="L13" s="12">
        <v>0</v>
      </c>
      <c r="O13" t="s">
        <v>376</v>
      </c>
    </row>
    <row r="14" spans="2:15" x14ac:dyDescent="0.35">
      <c r="B14" t="s">
        <v>377</v>
      </c>
      <c r="C14">
        <v>2028</v>
      </c>
      <c r="I14" t="s">
        <v>369</v>
      </c>
      <c r="K14" s="12">
        <v>0</v>
      </c>
      <c r="L14" s="12">
        <v>0</v>
      </c>
      <c r="O14" t="s">
        <v>378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K49"/>
  <sheetViews>
    <sheetView showGridLines="0" workbookViewId="0">
      <selection activeCell="I17" sqref="I17"/>
    </sheetView>
  </sheetViews>
  <sheetFormatPr defaultRowHeight="14.5" x14ac:dyDescent="0.35"/>
  <cols>
    <col min="1" max="1" width="3.6328125" customWidth="1"/>
    <col min="2" max="2" width="36.36328125" customWidth="1"/>
    <col min="3" max="3" width="21.81640625" customWidth="1"/>
    <col min="4" max="4" width="15.453125" customWidth="1"/>
    <col min="5" max="5" width="13.6328125" customWidth="1"/>
    <col min="6" max="6" width="30.90625" customWidth="1"/>
    <col min="7" max="7" width="5.453125" customWidth="1"/>
    <col min="8" max="8" width="20" customWidth="1"/>
    <col min="9" max="9" width="16.36328125" customWidth="1"/>
  </cols>
  <sheetData>
    <row r="2" spans="2:11" ht="21" customHeight="1" x14ac:dyDescent="0.5">
      <c r="B2" s="27" t="s">
        <v>379</v>
      </c>
    </row>
    <row r="3" spans="2:11" x14ac:dyDescent="0.35">
      <c r="B3" s="16" t="s">
        <v>380</v>
      </c>
    </row>
    <row r="4" spans="2:11" ht="15.5" customHeight="1" x14ac:dyDescent="0.35">
      <c r="B4" s="17" t="s">
        <v>381</v>
      </c>
      <c r="C4" s="46">
        <v>2025</v>
      </c>
    </row>
    <row r="5" spans="2:11" ht="15" customHeight="1" thickBot="1" x14ac:dyDescent="0.4">
      <c r="B5" s="18" t="s">
        <v>382</v>
      </c>
      <c r="C5" s="48" t="s">
        <v>96</v>
      </c>
      <c r="D5" s="48" t="s">
        <v>97</v>
      </c>
      <c r="E5" s="80" t="s">
        <v>152</v>
      </c>
      <c r="F5" s="80"/>
      <c r="H5" s="32" t="s">
        <v>383</v>
      </c>
    </row>
    <row r="6" spans="2:11" ht="15.5" customHeight="1" x14ac:dyDescent="0.35">
      <c r="B6" s="30" t="s">
        <v>100</v>
      </c>
      <c r="C6" s="31" cm="1">
        <f t="array" aca="1" ref="C6" ca="1">IFERROR(INDIRECT("Y"&amp;$C$4&amp;"!K13"),0)</f>
        <v>335500</v>
      </c>
      <c r="D6" s="12" cm="1">
        <f t="array" aca="1" ref="D6" ca="1">IFERROR(INDIRECT("Y"&amp;$C$4&amp;"!P13"),0)</f>
        <v>255500</v>
      </c>
      <c r="E6" s="91">
        <f t="shared" ref="E6:E13" ca="1" si="0">C6-D6</f>
        <v>80000</v>
      </c>
      <c r="F6" s="91"/>
      <c r="H6" s="25" t="s">
        <v>384</v>
      </c>
      <c r="I6" s="25" t="s">
        <v>96</v>
      </c>
      <c r="J6" s="32" t="s">
        <v>16</v>
      </c>
      <c r="K6" s="32" t="s">
        <v>1793</v>
      </c>
    </row>
    <row r="7" spans="2:11" ht="15.5" customHeight="1" x14ac:dyDescent="0.35">
      <c r="B7" t="s">
        <v>385</v>
      </c>
      <c r="C7" s="28" cm="1">
        <f t="array" aca="1" ref="C7" ca="1">IFERROR(INDIRECT("Y"&amp;$C$4&amp;"!K6"),0)</f>
        <v>100000</v>
      </c>
      <c r="D7" s="12" cm="1">
        <f t="array" aca="1" ref="D7" ca="1">IFERROR(INDIRECT("Y"&amp;$C$4&amp;"!P6"),0)</f>
        <v>75000</v>
      </c>
      <c r="E7" s="91">
        <f t="shared" ca="1" si="0"/>
        <v>25000</v>
      </c>
      <c r="F7" s="91"/>
      <c r="H7" t="s">
        <v>384</v>
      </c>
      <c r="I7" s="12" t="s">
        <v>96</v>
      </c>
      <c r="J7" s="32" t="s">
        <v>16</v>
      </c>
      <c r="K7" s="32" t="s">
        <v>1793</v>
      </c>
    </row>
    <row r="8" spans="2:11" ht="15.5" customHeight="1" x14ac:dyDescent="0.35">
      <c r="B8" t="s">
        <v>386</v>
      </c>
      <c r="C8" s="28" cm="1">
        <f t="array" aca="1" ref="C8" ca="1">IFERROR(INDIRECT("Y"&amp;$C$4&amp;"!K12"),0)</f>
        <v>200000</v>
      </c>
      <c r="D8" s="12" cm="1">
        <f t="array" aca="1" ref="D8" ca="1">IFERROR(INDIRECT("Y"&amp;$C$4&amp;"!P12"),0)</f>
        <v>145000</v>
      </c>
      <c r="E8" s="91">
        <f t="shared" ca="1" si="0"/>
        <v>55000</v>
      </c>
      <c r="F8" s="91"/>
      <c r="H8" t="s">
        <v>387</v>
      </c>
      <c r="I8" s="12">
        <f>IFERROR(INDEX(Pivot_Summary!$C5:$H5,MATCH(TEXT($C$4,"0"),Pivot_Summary!$C$4:$H$4,0)),0)</f>
        <v>100000</v>
      </c>
      <c r="J8" s="12">
        <f>IFERROR(INDEX(Pivot_Summary!$O5:$T5,MATCH($C$4,Pivot_Summary!$O$4:$T$4,0)),0)</f>
        <v>75000</v>
      </c>
      <c r="K8" s="12">
        <f>IFERROR(INDEX(Pivot_Summary!$I5:$N5,MATCH($C$4,Pivot_Summary!$I$4:$N$4,0)),0)</f>
        <v>-25000</v>
      </c>
    </row>
    <row r="9" spans="2:11" ht="15.5" customHeight="1" x14ac:dyDescent="0.35">
      <c r="B9" t="s">
        <v>388</v>
      </c>
      <c r="C9" s="28" cm="1">
        <f t="array" aca="1" ref="C9" ca="1">IFERROR(INDIRECT("Y"&amp;$C$4&amp;"!K11"),0)</f>
        <v>25000</v>
      </c>
      <c r="D9" s="12" cm="1">
        <f t="array" aca="1" ref="D9" ca="1">IFERROR(INDIRECT("Y"&amp;$C$4&amp;"!P11"),0)</f>
        <v>25000</v>
      </c>
      <c r="E9" s="91">
        <f t="shared" ca="1" si="0"/>
        <v>0</v>
      </c>
      <c r="F9" s="91"/>
      <c r="H9" t="s">
        <v>389</v>
      </c>
      <c r="I9" s="12">
        <f>IFERROR(INDEX(Pivot_Summary!$C6:$H6,MATCH(TEXT($C$4,"0"),Pivot_Summary!$C$4:$H$4,0)),0)</f>
        <v>500</v>
      </c>
      <c r="J9" s="12">
        <f>IFERROR(INDEX(Pivot_Summary!$O6:$T6,MATCH($C$4,Pivot_Summary!$O$4:$T$4,0)),0)</f>
        <v>500</v>
      </c>
      <c r="K9" s="12">
        <f>IFERROR(INDEX(Pivot_Summary!$I6:$N6,MATCH($C$4,Pivot_Summary!$I$4:$N$4,0)),0)</f>
        <v>0</v>
      </c>
    </row>
    <row r="10" spans="2:11" ht="15.5" customHeight="1" x14ac:dyDescent="0.35">
      <c r="B10" t="s">
        <v>390</v>
      </c>
      <c r="C10" s="28" cm="1">
        <f t="array" aca="1" ref="C10" ca="1">IFERROR(INDIRECT("Y"&amp;$C$4&amp;"!K10"),0)</f>
        <v>10000</v>
      </c>
      <c r="D10" s="12" cm="1">
        <f t="array" aca="1" ref="D10" ca="1">IFERROR(INDIRECT("Y"&amp;$C$4&amp;"!P10"),0)</f>
        <v>10000</v>
      </c>
      <c r="E10" s="91">
        <f t="shared" ca="1" si="0"/>
        <v>0</v>
      </c>
      <c r="F10" s="91"/>
      <c r="H10" t="s">
        <v>391</v>
      </c>
      <c r="I10" s="12">
        <f>IFERROR(INDEX(Pivot_Summary!$C7:$H7,MATCH(TEXT($C$4,"0"),Pivot_Summary!$C$4:$H$4,0)),0)</f>
        <v>10000</v>
      </c>
      <c r="J10" s="12">
        <f>IFERROR(INDEX(Pivot_Summary!$O7:$T7,MATCH($C$4,Pivot_Summary!$O$4:$T$4,0)),0)</f>
        <v>10000</v>
      </c>
      <c r="K10" s="12">
        <f>IFERROR(INDEX(Pivot_Summary!$I7:$N7,MATCH($C$4,Pivot_Summary!$I$4:$N$4,0)),0)</f>
        <v>0</v>
      </c>
    </row>
    <row r="11" spans="2:11" ht="15.5" customHeight="1" x14ac:dyDescent="0.35">
      <c r="B11" t="s">
        <v>392</v>
      </c>
      <c r="C11" s="28" cm="1">
        <f t="array" aca="1" ref="C11" ca="1">IFERROR(INDIRECT("Y"&amp;$C$4&amp;"!K16"),0)</f>
        <v>-10000</v>
      </c>
      <c r="D11" s="12" cm="1">
        <f t="array" aca="1" ref="D11" ca="1">IFERROR(INDIRECT("Y"&amp;$C$4&amp;"!P16"),0)</f>
        <v>5000</v>
      </c>
      <c r="E11" s="91">
        <f t="shared" ca="1" si="0"/>
        <v>-15000</v>
      </c>
      <c r="F11" s="91"/>
      <c r="H11" t="s">
        <v>393</v>
      </c>
      <c r="I11" s="12">
        <f>IFERROR(INDEX(Pivot_Summary!$C8:$H8,MATCH(TEXT($C$4,"0"),Pivot_Summary!$C$4:$H$4,0)),0)</f>
        <v>25000</v>
      </c>
      <c r="J11" s="12">
        <f>IFERROR(INDEX(Pivot_Summary!$O8:$T8,MATCH($C$4,Pivot_Summary!$O$4:$T$4,0)),0)</f>
        <v>25000</v>
      </c>
      <c r="K11" s="12">
        <f>IFERROR(INDEX(Pivot_Summary!$I8:$N8,MATCH($C$4,Pivot_Summary!$I$4:$N$4,0)),0)</f>
        <v>0</v>
      </c>
    </row>
    <row r="12" spans="2:11" ht="15.5" customHeight="1" x14ac:dyDescent="0.35">
      <c r="B12" t="s">
        <v>394</v>
      </c>
      <c r="C12" s="28" cm="1">
        <f t="array" aca="1" ref="C12" ca="1">IFERROR(INDIRECT("Y"&amp;$C$4&amp;"!J30"),0)</f>
        <v>7000</v>
      </c>
      <c r="D12" s="12" cm="1">
        <f t="array" aca="1" ref="D12" ca="1">IFERROR(INDIRECT("Y"&amp;$C$4&amp;"!K30"),0)</f>
        <v>7000</v>
      </c>
      <c r="E12" s="91">
        <f t="shared" ca="1" si="0"/>
        <v>0</v>
      </c>
      <c r="F12" s="91"/>
      <c r="H12" t="s">
        <v>395</v>
      </c>
      <c r="I12" s="12">
        <f>IFERROR(INDEX(Pivot_Summary!$C9:$H9,MATCH(TEXT($C$4,"0"),Pivot_Summary!$C$4:$H$4,0)),0)</f>
        <v>200000</v>
      </c>
      <c r="J12" s="12">
        <f>IFERROR(INDEX(Pivot_Summary!$O9:$T9,MATCH($C$4,Pivot_Summary!$O$4:$T$4,0)),0)</f>
        <v>145000</v>
      </c>
      <c r="K12" s="12">
        <f>IFERROR(INDEX(Pivot_Summary!$I9:$N9,MATCH($C$4,Pivot_Summary!$I$4:$N$4,0)),0)</f>
        <v>-55000</v>
      </c>
    </row>
    <row r="13" spans="2:11" ht="15.5" customHeight="1" x14ac:dyDescent="0.35">
      <c r="B13" t="s">
        <v>396</v>
      </c>
      <c r="C13" s="28" cm="1">
        <f t="array" aca="1" ref="C13" ca="1">IFERROR(INDIRECT("Y"&amp;$C$4&amp;"!J23"),0)</f>
        <v>100000</v>
      </c>
      <c r="D13" s="12" cm="1">
        <f t="array" aca="1" ref="D13" ca="1">IFERROR(INDIRECT("Y"&amp;$C$4&amp;"!K23"),0)</f>
        <v>75000</v>
      </c>
      <c r="E13" s="91">
        <f t="shared" ca="1" si="0"/>
        <v>25000</v>
      </c>
      <c r="F13" s="91"/>
    </row>
    <row r="14" spans="2:11" x14ac:dyDescent="0.35">
      <c r="H14" s="32" t="s">
        <v>397</v>
      </c>
    </row>
    <row r="15" spans="2:11" ht="15" customHeight="1" thickBot="1" x14ac:dyDescent="0.4">
      <c r="B15" s="18" t="s">
        <v>398</v>
      </c>
      <c r="C15" s="18"/>
      <c r="D15" s="18" t="s">
        <v>1793</v>
      </c>
      <c r="E15" s="17" t="s">
        <v>16</v>
      </c>
      <c r="H15" s="25" t="s">
        <v>399</v>
      </c>
      <c r="I15" s="25" t="s">
        <v>96</v>
      </c>
      <c r="J15" s="32" t="s">
        <v>16</v>
      </c>
      <c r="K15" s="32" t="s">
        <v>1793</v>
      </c>
    </row>
    <row r="16" spans="2:11" ht="15.5" customHeight="1" x14ac:dyDescent="0.35">
      <c r="B16" t="s">
        <v>400</v>
      </c>
      <c r="C16" s="28">
        <f>IFERROR(GETPIVOTDATA("Baseline_Amount",Visual_Pivot_BusinessIncome!$B$5,"Treatment_Profile","K1_SCorp_Active","Year",$C$4),0)</f>
        <v>225000</v>
      </c>
      <c r="D16" s="12">
        <f>IFERROR(SUMIFS(tblMaster_Inputs[Baseline_Amount],tblMaster_Inputs[Treatment_Profile],"K1_SCorp_Active",tblMaster_Inputs[Year],$C$4,tblMaster_Inputs[Activity_Type],"Strategy")+SUMIFS(tblMaster_Inputs[Baseline_Amount],tblMaster_Inputs[Treatment_Profile],"K1_SCorp_Passive",tblMaster_Inputs[Year],$C$4,tblMaster_Inputs[Activity_Type],"Strategy"),0)</f>
        <v>25000</v>
      </c>
      <c r="E16" s="12">
        <f>C16+D16</f>
        <v>250000</v>
      </c>
      <c r="H16" t="s">
        <v>399</v>
      </c>
      <c r="I16" s="12" t="s">
        <v>96</v>
      </c>
      <c r="J16" s="32" t="s">
        <v>16</v>
      </c>
      <c r="K16" s="32" t="s">
        <v>1793</v>
      </c>
    </row>
    <row r="17" spans="2:11" ht="15.5" customHeight="1" x14ac:dyDescent="0.35">
      <c r="B17" t="s">
        <v>401</v>
      </c>
      <c r="C17" s="28">
        <f>IFERROR(GETPIVOTDATA("Baseline_Amount",Visual_Pivot_BusinessIncome!$B$5,"Treatment_Profile","K1_PTP_Passive","Year",$C$4),0)</f>
        <v>0</v>
      </c>
      <c r="D17" s="12">
        <f>IFERROR(SUMIFS(tblMaster_Inputs[Baseline_Amount],tblMaster_Inputs[Treatment_Profile],"K1_PTP_Passive",tblMaster_Inputs[Year],$C$4,tblMaster_Inputs[Activity_Type],"Strategy")+SUMIFS(tblMaster_Inputs[Baseline_Amount],tblMaster_Inputs[Treatment_Profile],"K1_PTP_Active",tblMaster_Inputs[Year],$C$4,tblMaster_Inputs[Activity_Type],"Strategy"),0)</f>
        <v>0</v>
      </c>
      <c r="E17" s="12">
        <f>C17+D17</f>
        <v>0</v>
      </c>
      <c r="H17" t="s">
        <v>315</v>
      </c>
      <c r="I17" s="12">
        <f>IFERROR(INDEX(Pivot_Medium!$C12:$H12,MATCH(TEXT($C$4,"0"),Pivot_Medium!$C$4:$H$4,0)),0)</f>
        <v>200000</v>
      </c>
      <c r="J17" s="12">
        <f>IFERROR(INDEX(Pivot_Medium!$O12:$T12,MATCH($C$4,Pivot_Medium!$O$4:$T$4,0)),0)</f>
        <v>225000</v>
      </c>
      <c r="K17" s="12">
        <f>IFERROR(INDEX(Pivot_Medium!$I12:$N12,MATCH($C$4,Pivot_Medium!$I$4:$N$4,0)),0)</f>
        <v>25000</v>
      </c>
    </row>
    <row r="18" spans="2:11" ht="15.5" customHeight="1" x14ac:dyDescent="0.35">
      <c r="B18" t="s">
        <v>402</v>
      </c>
      <c r="C18" s="28">
        <f>IFERROR(GETPIVOTDATA("Baseline_Amount",Visual_Pivot_BusinessIncome!$B$5,"Treatment_Profile","SchE_Rental","Year",$C$4),0)</f>
        <v>-80000</v>
      </c>
      <c r="D18" s="12">
        <f>IFERROR(SUMIFS(tblMaster_Inputs[Baseline_Amount],tblMaster_Inputs[Treatment_Profile],"SchE_Rental",tblMaster_Inputs[Year],$C$4,tblMaster_Inputs[Activity_Type],"Strategy")+SUMIFS(tblMaster_Inputs[Baseline_Amount],tblMaster_Inputs[Treatment_Profile],"SchE_REPro",tblMaster_Inputs[Year],$C$4,tblMaster_Inputs[Activity_Type],"Strategy"),0)</f>
        <v>-80000</v>
      </c>
      <c r="E18" s="12">
        <f>C18+D18</f>
        <v>-160000</v>
      </c>
      <c r="H18" t="s">
        <v>289</v>
      </c>
      <c r="I18" s="12">
        <f>IFERROR(INDEX(Pivot_Medium!$C11:$H11,MATCH(TEXT($C$4,"0"),Pivot_Medium!$C$4:$H$4,0)),0)</f>
        <v>0</v>
      </c>
      <c r="J18" s="12">
        <f>IFERROR(INDEX(Pivot_Medium!$O11:$T11,MATCH($C$4,Pivot_Medium!$O$4:$T$4,0)),0)</f>
        <v>0</v>
      </c>
      <c r="K18" s="12">
        <f>IFERROR(INDEX(Pivot_Medium!$I11:$N11,MATCH($C$4,Pivot_Medium!$I$4:$N$4,0)),0)</f>
        <v>0</v>
      </c>
    </row>
    <row r="19" spans="2:11" ht="15.5" customHeight="1" x14ac:dyDescent="0.35">
      <c r="B19" s="30" t="s">
        <v>403</v>
      </c>
      <c r="C19" s="31">
        <f>IFERROR(GETPIVOTDATA("Baseline_Amount",Visual_Pivot_BusinessIncome!$B$5,"Year",$C$4),0)</f>
        <v>145000</v>
      </c>
      <c r="D19" s="51">
        <f>IFERROR(SUMIFS(tblMaster_Inputs[Baseline_Amount],tblMaster_Inputs[Year],$C$4,tblMaster_Inputs[Activity_Type],"Strategy",tblMaster_Inputs[Bucket],"Business Income"),0)</f>
        <v>-55000</v>
      </c>
      <c r="E19" s="51">
        <f>C19+D19</f>
        <v>90000</v>
      </c>
      <c r="H19" t="s">
        <v>350</v>
      </c>
      <c r="I19">
        <f>IFERROR(INDEX(Pivot_Medium!$C10:$H10,MATCH(TEXT($C$4,"0"),Pivot_Medium!$C$4:$H$4,0)),0)</f>
        <v>0</v>
      </c>
      <c r="J19">
        <f>IFERROR(INDEX(Pivot_Medium!$O10:$T10,MATCH($C$4,Pivot_Medium!$O$4:$T$4,0)),0)</f>
        <v>-80000</v>
      </c>
      <c r="K19" s="12">
        <f>IFERROR(INDEX(Pivot_Medium!$I10:$N10,MATCH($C$4,Pivot_Medium!$I$4:$N$4,0)),0)</f>
        <v>-80000</v>
      </c>
    </row>
    <row r="37" spans="2:6" ht="18.5" x14ac:dyDescent="0.45">
      <c r="B37" s="15" t="s">
        <v>1794</v>
      </c>
    </row>
    <row r="38" spans="2:6" x14ac:dyDescent="0.35">
      <c r="B38" s="35" t="s">
        <v>338</v>
      </c>
      <c r="C38" s="35" t="s">
        <v>1795</v>
      </c>
      <c r="D38" s="35" t="s">
        <v>1796</v>
      </c>
      <c r="E38" s="35" t="s">
        <v>6</v>
      </c>
      <c r="F38" s="35" t="s">
        <v>7</v>
      </c>
    </row>
    <row r="39" spans="2:6" x14ac:dyDescent="0.35">
      <c r="B39" s="99" t="str" cm="1">
        <f t="array" aca="1" ref="B39" ca="1">IFERROR(INDIRECT("Y"&amp;$C$4&amp;"!B6"),"")</f>
        <v>S-Corp Wage Optimization</v>
      </c>
      <c r="C39" s="99" t="str" cm="1">
        <f t="array" aca="1" ref="C39" ca="1">IFERROR(INDIRECT("Y"&amp;$C$4&amp;"!H6"),"")</f>
        <v>STD-008</v>
      </c>
      <c r="D39" s="99" t="str" cm="1">
        <f t="array" aca="1" ref="D39" ca="1">IFERROR(INDIRECT("Y"&amp;$C$4&amp;"!C6"),"")</f>
        <v>1z</v>
      </c>
      <c r="E39" s="100" cm="1">
        <f t="array" aca="1" ref="E39" ca="1">IFERROR(INDIRECT("Y"&amp;$C$4&amp;"!D6"),"")</f>
        <v>-25000</v>
      </c>
      <c r="F39" s="99" t="str" cm="1">
        <f t="array" aca="1" ref="F39" ca="1">IFERROR(INDIRECT("Y"&amp;$C$4&amp;"!E6"),"")</f>
        <v>Committed</v>
      </c>
    </row>
    <row r="40" spans="2:6" x14ac:dyDescent="0.35">
      <c r="B40" s="99" t="str" cm="1">
        <f t="array" aca="1" ref="B40" ca="1">IFERROR(INDIRECT("Y"&amp;$C$4&amp;"!B7"),"")</f>
        <v>HSA Family Max</v>
      </c>
      <c r="C40" s="99" t="str" cm="1">
        <f t="array" aca="1" ref="C40" ca="1">IFERROR(INDIRECT("Y"&amp;$C$4&amp;"!H7"),"")</f>
        <v>STD-001</v>
      </c>
      <c r="D40" s="99" cm="1">
        <f t="array" aca="1" ref="D40" ca="1">IFERROR(INDIRECT("Y"&amp;$C$4&amp;"!C7"),"")</f>
        <v>10</v>
      </c>
      <c r="E40" s="100" cm="1">
        <f t="array" aca="1" ref="E40" ca="1">IFERROR(INDIRECT("Y"&amp;$C$4&amp;"!D7"),"")</f>
        <v>-8550</v>
      </c>
      <c r="F40" s="99" t="str" cm="1">
        <f t="array" aca="1" ref="F40" ca="1">IFERROR(INDIRECT("Y"&amp;$C$4&amp;"!E7"),"")</f>
        <v>Committed</v>
      </c>
    </row>
    <row r="41" spans="2:6" x14ac:dyDescent="0.35">
      <c r="B41" s="99" t="str" cm="1">
        <f t="array" aca="1" ref="B41" ca="1">IFERROR(INDIRECT("Y"&amp;$C$4&amp;"!B8"),"")</f>
        <v>Charitable Bunching (DAF)</v>
      </c>
      <c r="C41" s="99" t="str" cm="1">
        <f t="array" aca="1" ref="C41" ca="1">IFERROR(INDIRECT("Y"&amp;$C$4&amp;"!H8"),"")</f>
        <v>ADV-002</v>
      </c>
      <c r="D41" s="99" cm="1">
        <f t="array" aca="1" ref="D41" ca="1">IFERROR(INDIRECT("Y"&amp;$C$4&amp;"!C8"),"")</f>
        <v>12</v>
      </c>
      <c r="E41" s="100" cm="1">
        <f t="array" aca="1" ref="E41" ca="1">IFERROR(INDIRECT("Y"&amp;$C$4&amp;"!D8"),"")</f>
        <v>15000</v>
      </c>
      <c r="F41" s="99" t="str" cm="1">
        <f t="array" aca="1" ref="F41" ca="1">IFERROR(INDIRECT("Y"&amp;$C$4&amp;"!E8"),"")</f>
        <v>Proposed</v>
      </c>
    </row>
    <row r="42" spans="2:6" x14ac:dyDescent="0.35">
      <c r="B42" s="99" t="str" cm="1">
        <f t="array" aca="1" ref="B42" ca="1">IFERROR(INDIRECT("Y"&amp;$C$4&amp;"!B9"),"")</f>
        <v>SEP-IRA / Solo 401(k)</v>
      </c>
      <c r="C42" s="99" t="str" cm="1">
        <f t="array" aca="1" ref="C42" ca="1">IFERROR(INDIRECT("Y"&amp;$C$4&amp;"!H9"),"")</f>
        <v>STD-001</v>
      </c>
      <c r="D42" s="99" cm="1">
        <f t="array" aca="1" ref="D42" ca="1">IFERROR(INDIRECT("Y"&amp;$C$4&amp;"!C9"),"")</f>
        <v>10</v>
      </c>
      <c r="E42" s="100" cm="1">
        <f t="array" aca="1" ref="E42" ca="1">IFERROR(INDIRECT("Y"&amp;$C$4&amp;"!D9"),"")</f>
        <v>-7000</v>
      </c>
      <c r="F42" s="99" t="str" cm="1">
        <f t="array" aca="1" ref="F42" ca="1">IFERROR(INDIRECT("Y"&amp;$C$4&amp;"!E9"),"")</f>
        <v>Approved</v>
      </c>
    </row>
    <row r="43" spans="2:6" x14ac:dyDescent="0.35">
      <c r="B43" s="99" t="str" cm="1">
        <f t="array" aca="1" ref="B43" ca="1">IFERROR(INDIRECT("Y"&amp;$C$4&amp;"!B10"),"")</f>
        <v>Cost Seg Study</v>
      </c>
      <c r="C43" s="99" t="str" cm="1">
        <f t="array" aca="1" ref="C43" ca="1">IFERROR(INDIRECT("Y"&amp;$C$4&amp;"!H10"),"")</f>
        <v>STD-012</v>
      </c>
      <c r="D43" s="99" cm="1">
        <f t="array" aca="1" ref="D43" ca="1">IFERROR(INDIRECT("Y"&amp;$C$4&amp;"!C10"),"")</f>
        <v>8</v>
      </c>
      <c r="E43" s="100" cm="1">
        <f t="array" aca="1" ref="E43" ca="1">IFERROR(INDIRECT("Y"&amp;$C$4&amp;"!D10"),"")</f>
        <v>-80000</v>
      </c>
      <c r="F43" s="99" t="str" cm="1">
        <f t="array" aca="1" ref="F43" ca="1">IFERROR(INDIRECT("Y"&amp;$C$4&amp;"!E10"),"")</f>
        <v>Committed</v>
      </c>
    </row>
    <row r="45" spans="2:6" ht="15.5" x14ac:dyDescent="0.35">
      <c r="B45" s="49" t="s">
        <v>1797</v>
      </c>
      <c r="E45" s="17" t="s">
        <v>22</v>
      </c>
      <c r="F45" s="17" t="s">
        <v>1802</v>
      </c>
    </row>
    <row r="46" spans="2:6" ht="18.5" x14ac:dyDescent="0.45">
      <c r="B46" s="99" t="s">
        <v>1798</v>
      </c>
      <c r="C46" s="101" cm="1">
        <f t="array" aca="1" ref="C46" ca="1">IFERROR(INDIRECT("Y"&amp;$C$4&amp;"!J133"),0)</f>
        <v>67983</v>
      </c>
      <c r="E46" s="103" cm="1">
        <f t="array" aca="1" ref="E46" ca="1">IFERROR(INDIRECT("Y"&amp;$C$4&amp;"!B28"),0)</f>
        <v>3</v>
      </c>
      <c r="F46" s="104" cm="1">
        <f t="array" aca="1" ref="F46" ca="1">IFERROR(INDIRECT("Y"&amp;$C$4&amp;"!D28"),0)</f>
        <v>-113550</v>
      </c>
    </row>
    <row r="47" spans="2:6" x14ac:dyDescent="0.35">
      <c r="B47" s="99" t="s">
        <v>1799</v>
      </c>
      <c r="C47" s="101" cm="1">
        <f t="array" aca="1" ref="C47" ca="1">IFERROR(INDIRECT("Y"&amp;$C$4&amp;"!K133"),0)</f>
        <v>46117</v>
      </c>
    </row>
    <row r="48" spans="2:6" ht="18.5" x14ac:dyDescent="0.45">
      <c r="B48" s="99" t="s">
        <v>1800</v>
      </c>
      <c r="C48" s="105">
        <f ca="1">C46-C47</f>
        <v>21866</v>
      </c>
    </row>
    <row r="49" spans="2:3" x14ac:dyDescent="0.35">
      <c r="B49" s="99" t="s">
        <v>1801</v>
      </c>
      <c r="C49" s="102" cm="1">
        <f t="array" aca="1" ref="C49" ca="1">IFERROR(INDIRECT("Y"&amp;$C$4&amp;"!J134"),0)-IFERROR(INDIRECT("Y"&amp;$C$4&amp;"!K134"),0)</f>
        <v>2.2134828118210131E-2</v>
      </c>
    </row>
  </sheetData>
  <dataValidations count="1">
    <dataValidation type="list" allowBlank="1" showInputMessage="1" showErrorMessage="1" promptTitle="Dashboard Year" prompt="Select year to display" sqref="C4" xr:uid="{00000000-0002-0000-0300-000000000000}">
      <formula1>"2023,2024,2025,2026,2027,2028"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G22"/>
  <sheetViews>
    <sheetView showGridLines="0" workbookViewId="0">
      <selection activeCell="C5" sqref="C5"/>
    </sheetView>
  </sheetViews>
  <sheetFormatPr defaultRowHeight="14.5" x14ac:dyDescent="0.35"/>
  <cols>
    <col min="1" max="1" width="3.6328125" customWidth="1"/>
    <col min="2" max="2" width="13.6328125" customWidth="1"/>
    <col min="3" max="3" width="41.81640625" customWidth="1"/>
    <col min="4" max="5" width="23.6328125" customWidth="1"/>
    <col min="6" max="6" width="16.36328125" customWidth="1"/>
    <col min="7" max="7" width="18.1796875" customWidth="1"/>
  </cols>
  <sheetData>
    <row r="2" spans="2:7" ht="18.5" customHeight="1" x14ac:dyDescent="0.45">
      <c r="B2" s="15" t="s">
        <v>404</v>
      </c>
    </row>
    <row r="3" spans="2:7" x14ac:dyDescent="0.35">
      <c r="B3" s="16" t="s">
        <v>405</v>
      </c>
    </row>
    <row r="5" spans="2:7" ht="15.5" customHeight="1" x14ac:dyDescent="0.35">
      <c r="B5" s="17" t="s">
        <v>406</v>
      </c>
      <c r="C5" s="46">
        <v>2025</v>
      </c>
      <c r="D5" s="17" t="s">
        <v>407</v>
      </c>
      <c r="E5" s="46" t="s">
        <v>216</v>
      </c>
    </row>
    <row r="7" spans="2:7" x14ac:dyDescent="0.35">
      <c r="B7" s="36" t="s">
        <v>384</v>
      </c>
      <c r="C7" s="36" t="s">
        <v>11</v>
      </c>
      <c r="D7" s="35" t="s">
        <v>408</v>
      </c>
      <c r="E7" s="35" t="s">
        <v>409</v>
      </c>
      <c r="F7" s="35" t="s">
        <v>410</v>
      </c>
      <c r="G7" s="35" t="s">
        <v>7</v>
      </c>
    </row>
    <row r="8" spans="2:7" x14ac:dyDescent="0.35">
      <c r="B8" s="21" t="s">
        <v>21</v>
      </c>
      <c r="C8" t="s">
        <v>411</v>
      </c>
      <c r="D8" s="12">
        <f>SUMIFS(tblMaster_Inputs[Baseline_Amount],tblMaster_Inputs[Year],$C$5,tblMaster_Inputs[ClientID],$E$5,tblMaster_Inputs[Primary_Line],"1z")</f>
        <v>75000</v>
      </c>
      <c r="E8" s="12">
        <f>SUMIFS(tblAsFiled[Filed_Amount],tblAsFiled[Year],$C$5,tblAsFiled[ClientID],$E$5,tblAsFiled[Primary_Line],"1z")</f>
        <v>0</v>
      </c>
      <c r="F8" s="12">
        <f t="shared" ref="F8:F18" si="0">D8-E8</f>
        <v>75000</v>
      </c>
      <c r="G8" t="str">
        <f t="shared" ref="G8:G18" si="1">IF(ABS(F8)&lt;1,"✓ OK","⚠ CHECK")</f>
        <v>⚠ CHECK</v>
      </c>
    </row>
    <row r="9" spans="2:7" x14ac:dyDescent="0.35">
      <c r="B9" s="21" t="s">
        <v>34</v>
      </c>
      <c r="C9" t="s">
        <v>35</v>
      </c>
      <c r="D9" s="12">
        <f>SUMIFS(tblMaster_Inputs[Baseline_Amount],tblMaster_Inputs[Year],$C$5,tblMaster_Inputs[ClientID],$E$5,tblMaster_Inputs[Primary_Line],"2b")</f>
        <v>500</v>
      </c>
      <c r="E9" s="12">
        <f>SUMIFS(tblAsFiled[Filed_Amount],tblAsFiled[Year],$C$5,tblAsFiled[ClientID],$E$5,tblAsFiled[Primary_Line],"2b")</f>
        <v>0</v>
      </c>
      <c r="F9" s="12">
        <f t="shared" si="0"/>
        <v>500</v>
      </c>
      <c r="G9" t="str">
        <f t="shared" si="1"/>
        <v>⚠ CHECK</v>
      </c>
    </row>
    <row r="10" spans="2:7" x14ac:dyDescent="0.35">
      <c r="B10" s="21" t="s">
        <v>45</v>
      </c>
      <c r="C10" t="s">
        <v>412</v>
      </c>
      <c r="D10" s="12">
        <f>SUMIFS(tblMaster_Inputs[Baseline_Amount],tblMaster_Inputs[Year],$C$5,tblMaster_Inputs[ClientID],$E$5,tblMaster_Inputs[Primary_Line],"3b")</f>
        <v>10000</v>
      </c>
      <c r="E10" s="12">
        <f>SUMIFS(tblAsFiled[Filed_Amount],tblAsFiled[Year],$C$5,tblAsFiled[ClientID],$E$5,tblAsFiled[Primary_Line],"3b")</f>
        <v>0</v>
      </c>
      <c r="F10" s="12">
        <f t="shared" si="0"/>
        <v>10000</v>
      </c>
      <c r="G10" t="str">
        <f t="shared" si="1"/>
        <v>⚠ CHECK</v>
      </c>
    </row>
    <row r="11" spans="2:7" x14ac:dyDescent="0.35">
      <c r="B11" s="21">
        <v>7</v>
      </c>
      <c r="C11" t="s">
        <v>51</v>
      </c>
      <c r="D11" s="12">
        <f>SUMIFS(tblMaster_Inputs[Baseline_Amount],tblMaster_Inputs[Year],$C$5,tblMaster_Inputs[ClientID],$E$5,tblMaster_Inputs[Primary_Line],"7")</f>
        <v>25000</v>
      </c>
      <c r="E11" s="12">
        <f>SUMIFS(tblAsFiled[Filed_Amount],tblAsFiled[Year],$C$5,tblAsFiled[ClientID],$E$5,tblAsFiled[Primary_Line],"7")</f>
        <v>0</v>
      </c>
      <c r="F11" s="12">
        <f t="shared" si="0"/>
        <v>25000</v>
      </c>
      <c r="G11" t="str">
        <f t="shared" si="1"/>
        <v>⚠ CHECK</v>
      </c>
    </row>
    <row r="12" spans="2:7" x14ac:dyDescent="0.35">
      <c r="B12" s="21">
        <v>8</v>
      </c>
      <c r="C12" t="s">
        <v>413</v>
      </c>
      <c r="D12" s="12">
        <f>SUMIFS(tblMaster_Inputs[Baseline_Amount],tblMaster_Inputs[Year],$C$5,tblMaster_Inputs[ClientID],$E$5,tblMaster_Inputs[Primary_Line],"8")</f>
        <v>145000</v>
      </c>
      <c r="E12" s="12">
        <f>SUMIFS(tblAsFiled[Filed_Amount],tblAsFiled[Year],$C$5,tblAsFiled[ClientID],$E$5,tblAsFiled[Primary_Line],"8")</f>
        <v>0</v>
      </c>
      <c r="F12" s="12">
        <f t="shared" si="0"/>
        <v>145000</v>
      </c>
      <c r="G12" t="str">
        <f t="shared" si="1"/>
        <v>⚠ CHECK</v>
      </c>
    </row>
    <row r="13" spans="2:7" x14ac:dyDescent="0.35">
      <c r="B13" s="39">
        <v>9</v>
      </c>
      <c r="C13" s="37" t="s">
        <v>61</v>
      </c>
      <c r="D13" s="38">
        <f>SUM(D8:D12)</f>
        <v>255500</v>
      </c>
      <c r="E13" s="38">
        <f>SUM(E8:E12)</f>
        <v>0</v>
      </c>
      <c r="F13" s="38">
        <f t="shared" si="0"/>
        <v>255500</v>
      </c>
      <c r="G13" s="37" t="str">
        <f t="shared" si="1"/>
        <v>⚠ CHECK</v>
      </c>
    </row>
    <row r="14" spans="2:7" x14ac:dyDescent="0.35">
      <c r="B14" s="21">
        <v>10</v>
      </c>
      <c r="C14" t="s">
        <v>66</v>
      </c>
      <c r="D14" s="12">
        <f>SUMIFS(tblMaster_Inputs[Baseline_Amount],tblMaster_Inputs[Year],$C$5,tblMaster_Inputs[ClientID],$E$5,tblMaster_Inputs[Primary_Line],"10")</f>
        <v>-8550</v>
      </c>
      <c r="E14" s="12">
        <f>SUMIFS(tblAsFiled[Filed_Amount],tblAsFiled[Year],$C$5,tblAsFiled[ClientID],$E$5,tblAsFiled[Primary_Line],"10")</f>
        <v>0</v>
      </c>
      <c r="F14" s="12">
        <f t="shared" si="0"/>
        <v>-8550</v>
      </c>
      <c r="G14" t="str">
        <f t="shared" si="1"/>
        <v>⚠ CHECK</v>
      </c>
    </row>
    <row r="15" spans="2:7" x14ac:dyDescent="0.35">
      <c r="B15" s="39">
        <v>11</v>
      </c>
      <c r="C15" s="37" t="s">
        <v>71</v>
      </c>
      <c r="D15" s="38">
        <f>D13+D14</f>
        <v>246950</v>
      </c>
      <c r="E15" s="38">
        <f>E13+E14</f>
        <v>0</v>
      </c>
      <c r="F15" s="38">
        <f t="shared" si="0"/>
        <v>246950</v>
      </c>
      <c r="G15" s="37" t="str">
        <f t="shared" si="1"/>
        <v>⚠ CHECK</v>
      </c>
    </row>
    <row r="16" spans="2:7" x14ac:dyDescent="0.35">
      <c r="B16" s="21">
        <v>12</v>
      </c>
      <c r="C16" t="s">
        <v>414</v>
      </c>
      <c r="D16" s="12">
        <f>SUMIFS(tblMaster_Inputs[Baseline_Amount],tblMaster_Inputs[Year],$C$5,tblMaster_Inputs[ClientID],$E$5,tblMaster_Inputs[Primary_Line],"12")</f>
        <v>-10000</v>
      </c>
      <c r="E16" s="12">
        <f>SUMIFS(tblAsFiled[Filed_Amount],tblAsFiled[Year],$C$5,tblAsFiled[ClientID],$E$5,tblAsFiled[Primary_Line],"12")</f>
        <v>0</v>
      </c>
      <c r="F16" s="12">
        <f t="shared" si="0"/>
        <v>-10000</v>
      </c>
      <c r="G16" t="str">
        <f t="shared" si="1"/>
        <v>⚠ CHECK</v>
      </c>
    </row>
    <row r="17" spans="2:7" x14ac:dyDescent="0.35">
      <c r="B17" s="40">
        <v>13</v>
      </c>
      <c r="C17" s="13" t="s">
        <v>81</v>
      </c>
      <c r="D17" s="12">
        <f>SUMIFS(tblMaster_Inputs[Baseline_Amount],tblMaster_Inputs[Year],$C$5,tblMaster_Inputs[ClientID],$E$5,tblMaster_Inputs[Primary_Line],"13")</f>
        <v>0</v>
      </c>
      <c r="E17" s="12">
        <f>SUMIFS(tblAsFiled[Filed_Amount],tblAsFiled[Year],$C$5,tblAsFiled[ClientID],$E$5,tblAsFiled[Primary_Line],"13")</f>
        <v>0</v>
      </c>
      <c r="F17" s="12">
        <f t="shared" si="0"/>
        <v>0</v>
      </c>
      <c r="G17" s="13" t="str">
        <f t="shared" si="1"/>
        <v>✓ OK</v>
      </c>
    </row>
    <row r="18" spans="2:7" x14ac:dyDescent="0.35">
      <c r="B18" s="39">
        <v>15</v>
      </c>
      <c r="C18" s="37" t="s">
        <v>86</v>
      </c>
      <c r="D18" s="38">
        <f>D15+D16+D17</f>
        <v>236950</v>
      </c>
      <c r="E18" s="38">
        <f>E15+E16+E17</f>
        <v>0</v>
      </c>
      <c r="F18" s="38">
        <f t="shared" si="0"/>
        <v>236950</v>
      </c>
      <c r="G18" s="37" t="str">
        <f t="shared" si="1"/>
        <v>⚠ CHECK</v>
      </c>
    </row>
    <row r="20" spans="2:7" ht="15" customHeight="1" thickBot="1" x14ac:dyDescent="0.4">
      <c r="B20" s="18" t="s">
        <v>415</v>
      </c>
    </row>
    <row r="21" spans="2:7" x14ac:dyDescent="0.35">
      <c r="B21" t="s">
        <v>416</v>
      </c>
      <c r="C21">
        <f>COUNTIF(G8:G18,"✓ OK")</f>
        <v>1</v>
      </c>
      <c r="D21" t="s">
        <v>417</v>
      </c>
      <c r="E21">
        <f>COUNTA(G8:G18)</f>
        <v>11</v>
      </c>
    </row>
    <row r="22" spans="2:7" x14ac:dyDescent="0.35">
      <c r="B22" t="s">
        <v>418</v>
      </c>
      <c r="C22" s="13" t="str">
        <f>IF(C21=E21,"✓ ALL LINES MATCH","⚠ VARIANCES FOUND — REVIEW BEFORE PLANNING")</f>
        <v>⚠ VARIANCES FOUND — REVIEW BEFORE PLANNING</v>
      </c>
    </row>
  </sheetData>
  <dataValidations count="2">
    <dataValidation type="list" allowBlank="1" showInputMessage="1" showErrorMessage="1" promptTitle="Recon Year" prompt="Select the year to reconcile" sqref="C5" xr:uid="{00000000-0002-0000-0400-000000000000}">
      <formula1>"2023,2024,2025,2026,2027,2028"</formula1>
    </dataValidation>
    <dataValidation type="list" allowBlank="1" showInputMessage="1" showErrorMessage="1" promptTitle="Client" prompt="Select the client to reconcile" sqref="E5" xr:uid="{00000000-0002-0000-0400-000001000000}">
      <formula1>"CEDILLO,SAMPLE"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J25"/>
  <sheetViews>
    <sheetView showGridLines="0" workbookViewId="0"/>
  </sheetViews>
  <sheetFormatPr defaultRowHeight="14.5" x14ac:dyDescent="0.35"/>
  <cols>
    <col min="1" max="1" width="3.6328125" customWidth="1"/>
    <col min="2" max="2" width="27.26953125" customWidth="1"/>
    <col min="3" max="3" width="23.6328125" customWidth="1"/>
    <col min="4" max="9" width="15.453125" customWidth="1"/>
    <col min="10" max="10" width="17.26953125" customWidth="1"/>
  </cols>
  <sheetData>
    <row r="2" spans="2:10" ht="18.5" customHeight="1" x14ac:dyDescent="0.45">
      <c r="B2" s="15" t="s">
        <v>419</v>
      </c>
    </row>
    <row r="3" spans="2:10" x14ac:dyDescent="0.35">
      <c r="B3" s="16" t="s">
        <v>420</v>
      </c>
    </row>
    <row r="5" spans="2:10" ht="15" customHeight="1" thickBot="1" x14ac:dyDescent="0.4">
      <c r="B5" s="18" t="s">
        <v>421</v>
      </c>
      <c r="C5" s="18"/>
      <c r="D5" s="34"/>
      <c r="E5" s="34"/>
      <c r="F5" s="34"/>
      <c r="G5" s="34"/>
      <c r="H5" s="34"/>
      <c r="I5" s="34"/>
      <c r="J5" s="18"/>
    </row>
    <row r="6" spans="2:10" x14ac:dyDescent="0.35">
      <c r="B6" s="25" t="s">
        <v>422</v>
      </c>
      <c r="C6" s="25" t="s">
        <v>11</v>
      </c>
      <c r="D6" s="25">
        <v>2023</v>
      </c>
      <c r="E6" s="25">
        <v>2024</v>
      </c>
      <c r="F6" s="25">
        <v>2025</v>
      </c>
      <c r="G6" s="25">
        <v>2026</v>
      </c>
      <c r="H6" s="25">
        <v>2027</v>
      </c>
      <c r="I6" s="25">
        <v>2028</v>
      </c>
      <c r="J6" s="41" t="s">
        <v>423</v>
      </c>
    </row>
    <row r="7" spans="2:10" x14ac:dyDescent="0.35">
      <c r="B7" s="26" t="s">
        <v>424</v>
      </c>
      <c r="C7" t="s">
        <v>425</v>
      </c>
      <c r="D7" s="12">
        <f>IFERROR(GETPIVOTDATA("Baseline_Amount",Visual_Pivot_Income!$B$5,"Primary_Line","1z","Year",2023),0)</f>
        <v>0</v>
      </c>
      <c r="E7" s="12">
        <f>IFERROR(GETPIVOTDATA("Baseline_Amount",Visual_Pivot_Income!$B$5,"Primary_Line","1z","Year",2024),0)</f>
        <v>153648</v>
      </c>
      <c r="F7" s="12">
        <f>IFERROR(GETPIVOTDATA("Baseline_Amount",Visual_Pivot_Income!$B$5,"Primary_Line","1z","Year",2025),0)</f>
        <v>75000</v>
      </c>
      <c r="G7" s="12">
        <f>IFERROR(GETPIVOTDATA("Baseline_Amount",Visual_Pivot_Income!$B$5,"Primary_Line","1z","Year",2026),0)</f>
        <v>0</v>
      </c>
      <c r="H7" s="12">
        <f>IFERROR(GETPIVOTDATA("Baseline_Amount",Visual_Pivot_Income!$B$5,"Primary_Line","1z","Year",2027),0)</f>
        <v>0</v>
      </c>
      <c r="I7" s="12">
        <f>IFERROR(GETPIVOTDATA("Baseline_Amount",Visual_Pivot_Income!$B$5,"Primary_Line","1z","Year",2028),0)</f>
        <v>0</v>
      </c>
      <c r="J7" s="45">
        <f>IFERROR(GETPIVOTDATA("Baseline_Amount",Visual_Pivot_Income!$B$5,"Primary_Line","1z","Year",Active_Year),0)</f>
        <v>75000</v>
      </c>
    </row>
    <row r="8" spans="2:10" x14ac:dyDescent="0.35">
      <c r="B8" s="26" t="s">
        <v>426</v>
      </c>
      <c r="C8" t="s">
        <v>427</v>
      </c>
      <c r="D8" s="12">
        <f>IFERROR(GETPIVOTDATA("Baseline_Amount",Visual_Pivot_Income!$B$5,"Primary_Line","2b","Year",2023),0)</f>
        <v>0</v>
      </c>
      <c r="E8" s="12">
        <f>IFERROR(GETPIVOTDATA("Baseline_Amount",Visual_Pivot_Income!$B$5,"Primary_Line","2b","Year",2024),0)</f>
        <v>0</v>
      </c>
      <c r="F8" s="12">
        <f>IFERROR(GETPIVOTDATA("Baseline_Amount",Visual_Pivot_Income!$B$5,"Primary_Line","2b","Year",2025),0)</f>
        <v>500</v>
      </c>
      <c r="G8" s="12">
        <f>IFERROR(GETPIVOTDATA("Baseline_Amount",Visual_Pivot_Income!$B$5,"Primary_Line","2b","Year",2026),0)</f>
        <v>0</v>
      </c>
      <c r="H8" s="12">
        <f>IFERROR(GETPIVOTDATA("Baseline_Amount",Visual_Pivot_Income!$B$5,"Primary_Line","2b","Year",2027),0)</f>
        <v>0</v>
      </c>
      <c r="I8" s="12">
        <f>IFERROR(GETPIVOTDATA("Baseline_Amount",Visual_Pivot_Income!$B$5,"Primary_Line","2b","Year",2028),0)</f>
        <v>0</v>
      </c>
      <c r="J8" s="45">
        <f>IFERROR(GETPIVOTDATA("Baseline_Amount",Visual_Pivot_Income!$B$5,"Primary_Line","2b","Year",Active_Year),0)</f>
        <v>500</v>
      </c>
    </row>
    <row r="9" spans="2:10" x14ac:dyDescent="0.35">
      <c r="B9" s="26" t="s">
        <v>428</v>
      </c>
      <c r="C9" t="s">
        <v>429</v>
      </c>
      <c r="D9" s="12">
        <f>IFERROR(GETPIVOTDATA("Baseline_Amount",Visual_Pivot_Income!$B$5,"Primary_Line","3b","Year",2023),0)</f>
        <v>0</v>
      </c>
      <c r="E9" s="12">
        <f>IFERROR(GETPIVOTDATA("Baseline_Amount",Visual_Pivot_Income!$B$5,"Primary_Line","3b","Year",2024),0)</f>
        <v>25922</v>
      </c>
      <c r="F9" s="12">
        <f>IFERROR(GETPIVOTDATA("Baseline_Amount",Visual_Pivot_Income!$B$5,"Primary_Line","3b","Year",2025),0)</f>
        <v>10000</v>
      </c>
      <c r="G9" s="12">
        <f>IFERROR(GETPIVOTDATA("Baseline_Amount",Visual_Pivot_Income!$B$5,"Primary_Line","3b","Year",2026),0)</f>
        <v>0</v>
      </c>
      <c r="H9" s="12">
        <f>IFERROR(GETPIVOTDATA("Baseline_Amount",Visual_Pivot_Income!$B$5,"Primary_Line","3b","Year",2027),0)</f>
        <v>0</v>
      </c>
      <c r="I9" s="12">
        <f>IFERROR(GETPIVOTDATA("Baseline_Amount",Visual_Pivot_Income!$B$5,"Primary_Line","3b","Year",2028),0)</f>
        <v>0</v>
      </c>
      <c r="J9" s="45">
        <f>IFERROR(GETPIVOTDATA("Baseline_Amount",Visual_Pivot_Income!$B$5,"Primary_Line","3b","Year",Active_Year),0)</f>
        <v>10000</v>
      </c>
    </row>
    <row r="10" spans="2:10" x14ac:dyDescent="0.35">
      <c r="B10" s="26" t="s">
        <v>430</v>
      </c>
      <c r="C10" t="s">
        <v>431</v>
      </c>
      <c r="D10" s="12">
        <f>IFERROR(GETPIVOTDATA("Baseline_Amount",Visual_Pivot_Income!$B$5,"Primary_Line","7","Year",2023),0)</f>
        <v>0</v>
      </c>
      <c r="E10" s="12">
        <f>IFERROR(GETPIVOTDATA("Baseline_Amount",Visual_Pivot_Income!$B$5,"Primary_Line","7","Year",2024),0)</f>
        <v>14487</v>
      </c>
      <c r="F10" s="12">
        <f>IFERROR(GETPIVOTDATA("Baseline_Amount",Visual_Pivot_Income!$B$5,"Primary_Line","7","Year",2025),0)</f>
        <v>25000</v>
      </c>
      <c r="G10" s="12">
        <f>IFERROR(GETPIVOTDATA("Baseline_Amount",Visual_Pivot_Income!$B$5,"Primary_Line","7","Year",2026),0)</f>
        <v>0</v>
      </c>
      <c r="H10" s="12">
        <f>IFERROR(GETPIVOTDATA("Baseline_Amount",Visual_Pivot_Income!$B$5,"Primary_Line","7","Year",2027),0)</f>
        <v>0</v>
      </c>
      <c r="I10" s="12">
        <f>IFERROR(GETPIVOTDATA("Baseline_Amount",Visual_Pivot_Income!$B$5,"Primary_Line","7","Year",2028),0)</f>
        <v>0</v>
      </c>
      <c r="J10" s="45">
        <f>IFERROR(GETPIVOTDATA("Baseline_Amount",Visual_Pivot_Income!$B$5,"Primary_Line","7","Year",Active_Year),0)</f>
        <v>25000</v>
      </c>
    </row>
    <row r="11" spans="2:10" x14ac:dyDescent="0.35">
      <c r="B11" s="26" t="s">
        <v>432</v>
      </c>
      <c r="C11" t="s">
        <v>433</v>
      </c>
      <c r="D11" s="12">
        <f>IFERROR(GETPIVOTDATA("Baseline_Amount",Visual_Pivot_Income!$B$5,"Primary_Line","8","Year",2023),0)</f>
        <v>0</v>
      </c>
      <c r="E11" s="12">
        <f>IFERROR(GETPIVOTDATA("Baseline_Amount",Visual_Pivot_Income!$B$5,"Primary_Line","8","Year",2024),0)</f>
        <v>-100766</v>
      </c>
      <c r="F11" s="12">
        <f>IFERROR(GETPIVOTDATA("Baseline_Amount",Visual_Pivot_Income!$B$5,"Primary_Line","8","Year",2025),0)</f>
        <v>200000</v>
      </c>
      <c r="G11" s="12">
        <f>IFERROR(GETPIVOTDATA("Baseline_Amount",Visual_Pivot_Income!$B$5,"Primary_Line","8","Year",2026),0)</f>
        <v>0</v>
      </c>
      <c r="H11" s="12">
        <f>IFERROR(GETPIVOTDATA("Baseline_Amount",Visual_Pivot_Income!$B$5,"Primary_Line","8","Year",2027),0)</f>
        <v>0</v>
      </c>
      <c r="I11" s="12">
        <f>IFERROR(GETPIVOTDATA("Baseline_Amount",Visual_Pivot_Income!$B$5,"Primary_Line","8","Year",2028),0)</f>
        <v>0</v>
      </c>
      <c r="J11" s="45">
        <f>IFERROR(GETPIVOTDATA("Baseline_Amount",Visual_Pivot_Income!$B$5,"Primary_Line","8","Year",Active_Year),0)</f>
        <v>200000</v>
      </c>
    </row>
    <row r="12" spans="2:10" x14ac:dyDescent="0.35">
      <c r="B12" s="26" t="s">
        <v>434</v>
      </c>
      <c r="C12" t="s">
        <v>435</v>
      </c>
      <c r="D12" s="12">
        <f>IFERROR(GETPIVOTDATA("Baseline_Amount",Visual_Pivot_Income!$B$5,"Primary_Line","12","Year",2023),0)</f>
        <v>0</v>
      </c>
      <c r="E12" s="12">
        <f>IFERROR(GETPIVOTDATA("Baseline_Amount",Visual_Pivot_Income!$B$5,"Primary_Line","12","Year",2024),0)</f>
        <v>0</v>
      </c>
      <c r="F12" s="12">
        <f>IFERROR(GETPIVOTDATA("Baseline_Amount",Visual_Pivot_Income!$B$5,"Primary_Line","12","Year",2025),0)</f>
        <v>-10000</v>
      </c>
      <c r="G12" s="12">
        <f>IFERROR(GETPIVOTDATA("Baseline_Amount",Visual_Pivot_Income!$B$5,"Primary_Line","12","Year",2026),0)</f>
        <v>0</v>
      </c>
      <c r="H12" s="12">
        <f>IFERROR(GETPIVOTDATA("Baseline_Amount",Visual_Pivot_Income!$B$5,"Primary_Line","12","Year",2027),0)</f>
        <v>0</v>
      </c>
      <c r="I12" s="12">
        <f>IFERROR(GETPIVOTDATA("Baseline_Amount",Visual_Pivot_Income!$B$5,"Primary_Line","12","Year",2028),0)</f>
        <v>0</v>
      </c>
      <c r="J12" s="45">
        <f>IFERROR(GETPIVOTDATA("Baseline_Amount",Visual_Pivot_Income!$B$5,"Primary_Line","12","Year",Active_Year),0)</f>
        <v>-10000</v>
      </c>
    </row>
    <row r="13" spans="2:10" x14ac:dyDescent="0.35">
      <c r="B13" s="26" t="s">
        <v>436</v>
      </c>
      <c r="C13" t="s">
        <v>437</v>
      </c>
      <c r="D13" s="12">
        <f>IFERROR(GETPIVOTDATA("Baseline_Amount",Visual_Pivot_Income!$B$5,"Year",2023),0)</f>
        <v>0</v>
      </c>
      <c r="E13" s="12">
        <f>IFERROR(GETPIVOTDATA("Baseline_Amount",Visual_Pivot_Income!$B$5,"Year",2024),0)</f>
        <v>93291</v>
      </c>
      <c r="F13" s="12">
        <f>IFERROR(GETPIVOTDATA("Baseline_Amount",Visual_Pivot_Income!$B$5,"Year",2025),0)</f>
        <v>236950</v>
      </c>
      <c r="G13" s="12">
        <f>IFERROR(GETPIVOTDATA("Baseline_Amount",Visual_Pivot_Income!$B$5,"Year",2026),0)</f>
        <v>0</v>
      </c>
      <c r="H13" s="12">
        <f>IFERROR(GETPIVOTDATA("Baseline_Amount",Visual_Pivot_Income!$B$5,"Year",2027),0)</f>
        <v>0</v>
      </c>
      <c r="I13" s="12">
        <f>IFERROR(GETPIVOTDATA("Baseline_Amount",Visual_Pivot_Income!$B$5,"Year",2028),0)</f>
        <v>0</v>
      </c>
      <c r="J13" s="45">
        <f>IFERROR(GETPIVOTDATA("Baseline_Amount",Visual_Pivot_Income!$B$5,"Year",Active_Year),0)</f>
        <v>236950</v>
      </c>
    </row>
    <row r="14" spans="2:10" x14ac:dyDescent="0.35">
      <c r="D14" s="12"/>
      <c r="E14" s="12"/>
      <c r="F14" s="12"/>
      <c r="G14" s="12"/>
      <c r="H14" s="12"/>
      <c r="I14" s="12"/>
      <c r="J14" s="12"/>
    </row>
    <row r="15" spans="2:10" ht="15" customHeight="1" thickBot="1" x14ac:dyDescent="0.4">
      <c r="B15" s="18" t="s">
        <v>438</v>
      </c>
      <c r="C15" s="18"/>
      <c r="D15" s="42"/>
      <c r="E15" s="42"/>
      <c r="F15" s="42"/>
      <c r="G15" s="42"/>
      <c r="H15" s="42"/>
      <c r="I15" s="42"/>
      <c r="J15" s="42"/>
    </row>
    <row r="16" spans="2:10" x14ac:dyDescent="0.35">
      <c r="B16" s="25" t="s">
        <v>422</v>
      </c>
      <c r="C16" s="25" t="s">
        <v>11</v>
      </c>
      <c r="D16" s="43">
        <v>2023</v>
      </c>
      <c r="E16" s="43">
        <v>2024</v>
      </c>
      <c r="F16" s="43">
        <v>2025</v>
      </c>
      <c r="G16" s="43">
        <v>2026</v>
      </c>
      <c r="H16" s="43">
        <v>2027</v>
      </c>
      <c r="I16" s="43">
        <v>2028</v>
      </c>
      <c r="J16" s="44" t="s">
        <v>423</v>
      </c>
    </row>
    <row r="17" spans="2:10" x14ac:dyDescent="0.35">
      <c r="B17" s="26" t="s">
        <v>439</v>
      </c>
      <c r="C17" t="s">
        <v>440</v>
      </c>
      <c r="D17" s="12">
        <f>IFERROR(GETPIVOTDATA("Helper_Amount",Visual_Pivot_HelperCarveOuts!$B$5,"Helper_Treatment","OWNER_PAY","Year",2023),0)</f>
        <v>0</v>
      </c>
      <c r="E17" s="12">
        <f>IFERROR(GETPIVOTDATA("Helper_Amount",Visual_Pivot_HelperCarveOuts!$B$5,"Helper_Treatment","OWNER_PAY","Year",2024),0)</f>
        <v>0</v>
      </c>
      <c r="F17" s="12">
        <f>IFERROR(GETPIVOTDATA("Helper_Amount",Visual_Pivot_HelperCarveOuts!$B$5,"Helper_Treatment","OWNER_PAY","Year",2025),0)</f>
        <v>100000</v>
      </c>
      <c r="G17" s="12">
        <f>IFERROR(GETPIVOTDATA("Helper_Amount",Visual_Pivot_HelperCarveOuts!$B$5,"Helper_Treatment","OWNER_PAY","Year",2026),0)</f>
        <v>0</v>
      </c>
      <c r="H17" s="12">
        <f>IFERROR(GETPIVOTDATA("Helper_Amount",Visual_Pivot_HelperCarveOuts!$B$5,"Helper_Treatment","OWNER_PAY","Year",2027),0)</f>
        <v>0</v>
      </c>
      <c r="I17" s="12">
        <f>IFERROR(GETPIVOTDATA("Helper_Amount",Visual_Pivot_HelperCarveOuts!$B$5,"Helper_Treatment","OWNER_PAY","Year",2028),0)</f>
        <v>0</v>
      </c>
      <c r="J17" s="45">
        <f>IFERROR(GETPIVOTDATA("Helper_Amount",Visual_Pivot_HelperCarveOuts!$B$5,"Helper_Treatment","OWNER_PAY","Year",Active_Year),0)</f>
        <v>100000</v>
      </c>
    </row>
    <row r="18" spans="2:10" x14ac:dyDescent="0.35">
      <c r="B18" s="26" t="s">
        <v>441</v>
      </c>
      <c r="C18" t="s">
        <v>394</v>
      </c>
      <c r="D18" s="12">
        <f>IFERROR(GETPIVOTDATA("Helper_Amount",Visual_Pivot_HelperCarveOuts!$B$5,"Helper_Treatment","QUAL_DIV","Year",2023),0)</f>
        <v>0</v>
      </c>
      <c r="E18" s="12">
        <f>IFERROR(GETPIVOTDATA("Helper_Amount",Visual_Pivot_HelperCarveOuts!$B$5,"Helper_Treatment","QUAL_DIV","Year",2024),0)</f>
        <v>0</v>
      </c>
      <c r="F18" s="12">
        <f>IFERROR(GETPIVOTDATA("Helper_Amount",Visual_Pivot_HelperCarveOuts!$B$5,"Helper_Treatment","QUAL_DIV","Year",2025),0)</f>
        <v>7000</v>
      </c>
      <c r="G18" s="12">
        <f>IFERROR(GETPIVOTDATA("Helper_Amount",Visual_Pivot_HelperCarveOuts!$B$5,"Helper_Treatment","QUAL_DIV","Year",2026),0)</f>
        <v>0</v>
      </c>
      <c r="H18" s="12">
        <f>IFERROR(GETPIVOTDATA("Helper_Amount",Visual_Pivot_HelperCarveOuts!$B$5,"Helper_Treatment","QUAL_DIV","Year",2027),0)</f>
        <v>0</v>
      </c>
      <c r="I18" s="12">
        <f>IFERROR(GETPIVOTDATA("Helper_Amount",Visual_Pivot_HelperCarveOuts!$B$5,"Helper_Treatment","QUAL_DIV","Year",2028),0)</f>
        <v>0</v>
      </c>
      <c r="J18" s="45">
        <f>IFERROR(GETPIVOTDATA("Helper_Amount",Visual_Pivot_HelperCarveOuts!$B$5,"Helper_Treatment","QUAL_DIV","Year",Active_Year),0)</f>
        <v>7000</v>
      </c>
    </row>
    <row r="19" spans="2:10" x14ac:dyDescent="0.35">
      <c r="D19" s="12"/>
      <c r="E19" s="12"/>
      <c r="F19" s="12"/>
      <c r="G19" s="12"/>
      <c r="H19" s="12"/>
      <c r="I19" s="12"/>
      <c r="J19" s="12"/>
    </row>
    <row r="20" spans="2:10" ht="15" customHeight="1" thickBot="1" x14ac:dyDescent="0.4">
      <c r="B20" s="18" t="s">
        <v>442</v>
      </c>
      <c r="C20" s="18"/>
      <c r="D20" s="42"/>
      <c r="E20" s="42"/>
      <c r="F20" s="42"/>
      <c r="G20" s="42"/>
      <c r="H20" s="42"/>
      <c r="I20" s="42"/>
      <c r="J20" s="42"/>
    </row>
    <row r="21" spans="2:10" x14ac:dyDescent="0.35">
      <c r="B21" s="25" t="s">
        <v>422</v>
      </c>
      <c r="C21" s="25" t="s">
        <v>11</v>
      </c>
      <c r="D21" s="43">
        <v>2023</v>
      </c>
      <c r="E21" s="43">
        <v>2024</v>
      </c>
      <c r="F21" s="43">
        <v>2025</v>
      </c>
      <c r="G21" s="43">
        <v>2026</v>
      </c>
      <c r="H21" s="43">
        <v>2027</v>
      </c>
      <c r="I21" s="43">
        <v>2028</v>
      </c>
      <c r="J21" s="44" t="s">
        <v>423</v>
      </c>
    </row>
    <row r="22" spans="2:10" x14ac:dyDescent="0.35">
      <c r="B22" s="26" t="s">
        <v>443</v>
      </c>
      <c r="C22" t="s">
        <v>400</v>
      </c>
      <c r="D22" s="12">
        <f>IFERROR(GETPIVOTDATA("Baseline_Amount",Visual_Pivot_BusinessIncome!$B$5,"Treatment_Profile","K1_SCorp_Active","Year",2023),0)</f>
        <v>0</v>
      </c>
      <c r="E22" s="12">
        <f>IFERROR(GETPIVOTDATA("Baseline_Amount",Visual_Pivot_BusinessIncome!$B$5,"Treatment_Profile","K1_SCorp_Active","Year",2024),0)</f>
        <v>0</v>
      </c>
      <c r="F22" s="12">
        <f>IFERROR(GETPIVOTDATA("Baseline_Amount",Visual_Pivot_BusinessIncome!$B$5,"Treatment_Profile","K1_SCorp_Active","Year",2025),0)</f>
        <v>225000</v>
      </c>
      <c r="G22" s="12">
        <f>IFERROR(GETPIVOTDATA("Baseline_Amount",Visual_Pivot_BusinessIncome!$B$5,"Treatment_Profile","K1_SCorp_Active","Year",2026),0)</f>
        <v>0</v>
      </c>
      <c r="H22" s="12">
        <f>IFERROR(GETPIVOTDATA("Baseline_Amount",Visual_Pivot_BusinessIncome!$B$5,"Treatment_Profile","K1_SCorp_Active","Year",2027),0)</f>
        <v>0</v>
      </c>
      <c r="I22" s="12">
        <f>IFERROR(GETPIVOTDATA("Baseline_Amount",Visual_Pivot_BusinessIncome!$B$5,"Treatment_Profile","K1_SCorp_Active","Year",2028),0)</f>
        <v>0</v>
      </c>
      <c r="J22" s="45">
        <f>IFERROR(GETPIVOTDATA("Baseline_Amount",Visual_Pivot_BusinessIncome!$B$5,"Treatment_Profile","K1_SCorp_Active","Year",Active_Year),0)</f>
        <v>225000</v>
      </c>
    </row>
    <row r="23" spans="2:10" x14ac:dyDescent="0.35">
      <c r="B23" s="26" t="s">
        <v>444</v>
      </c>
      <c r="C23" t="s">
        <v>401</v>
      </c>
      <c r="D23" s="12">
        <f>IFERROR(GETPIVOTDATA("Baseline_Amount",Visual_Pivot_BusinessIncome!$B$5,"Treatment_Profile","K1_PTP_Passive","Year",2023),0)</f>
        <v>0</v>
      </c>
      <c r="E23" s="12">
        <f>IFERROR(GETPIVOTDATA("Baseline_Amount",Visual_Pivot_BusinessIncome!$B$5,"Treatment_Profile","K1_PTP_Passive","Year",2024),0)</f>
        <v>-100766</v>
      </c>
      <c r="F23" s="12">
        <f>IFERROR(GETPIVOTDATA("Baseline_Amount",Visual_Pivot_BusinessIncome!$B$5,"Treatment_Profile","K1_PTP_Passive","Year",2025),0)</f>
        <v>0</v>
      </c>
      <c r="G23" s="12">
        <f>IFERROR(GETPIVOTDATA("Baseline_Amount",Visual_Pivot_BusinessIncome!$B$5,"Treatment_Profile","K1_PTP_Passive","Year",2026),0)</f>
        <v>0</v>
      </c>
      <c r="H23" s="12">
        <f>IFERROR(GETPIVOTDATA("Baseline_Amount",Visual_Pivot_BusinessIncome!$B$5,"Treatment_Profile","K1_PTP_Passive","Year",2027),0)</f>
        <v>0</v>
      </c>
      <c r="I23" s="12">
        <f>IFERROR(GETPIVOTDATA("Baseline_Amount",Visual_Pivot_BusinessIncome!$B$5,"Treatment_Profile","K1_PTP_Passive","Year",2028),0)</f>
        <v>0</v>
      </c>
      <c r="J23" s="45">
        <f>IFERROR(GETPIVOTDATA("Baseline_Amount",Visual_Pivot_BusinessIncome!$B$5,"Treatment_Profile","K1_PTP_Passive","Year",Active_Year),0)</f>
        <v>0</v>
      </c>
    </row>
    <row r="24" spans="2:10" x14ac:dyDescent="0.35">
      <c r="B24" s="26" t="s">
        <v>445</v>
      </c>
      <c r="C24" t="s">
        <v>446</v>
      </c>
      <c r="D24" s="12">
        <f>IFERROR(GETPIVOTDATA("Baseline_Amount",Visual_Pivot_BusinessIncome!$B$5,"Treatment_Profile","SchE_Rental","Year",2023),0)</f>
        <v>0</v>
      </c>
      <c r="E24" s="12">
        <f>IFERROR(GETPIVOTDATA("Baseline_Amount",Visual_Pivot_BusinessIncome!$B$5,"Treatment_Profile","SchE_Rental","Year",2024),0)</f>
        <v>0</v>
      </c>
      <c r="F24" s="12">
        <f>IFERROR(GETPIVOTDATA("Baseline_Amount",Visual_Pivot_BusinessIncome!$B$5,"Treatment_Profile","SchE_Rental","Year",2025),0)</f>
        <v>-80000</v>
      </c>
      <c r="G24" s="12">
        <f>IFERROR(GETPIVOTDATA("Baseline_Amount",Visual_Pivot_BusinessIncome!$B$5,"Treatment_Profile","SchE_Rental","Year",2026),0)</f>
        <v>0</v>
      </c>
      <c r="H24" s="12">
        <f>IFERROR(GETPIVOTDATA("Baseline_Amount",Visual_Pivot_BusinessIncome!$B$5,"Treatment_Profile","SchE_Rental","Year",2027),0)</f>
        <v>0</v>
      </c>
      <c r="I24" s="12">
        <f>IFERROR(GETPIVOTDATA("Baseline_Amount",Visual_Pivot_BusinessIncome!$B$5,"Treatment_Profile","SchE_Rental","Year",2028),0)</f>
        <v>0</v>
      </c>
      <c r="J24" s="45">
        <f>IFERROR(GETPIVOTDATA("Baseline_Amount",Visual_Pivot_BusinessIncome!$B$5,"Treatment_Profile","SchE_Rental","Year",Active_Year),0)</f>
        <v>-80000</v>
      </c>
    </row>
    <row r="25" spans="2:10" x14ac:dyDescent="0.35">
      <c r="B25" s="26" t="s">
        <v>447</v>
      </c>
      <c r="C25" t="s">
        <v>448</v>
      </c>
      <c r="D25" s="12">
        <f>IFERROR(GETPIVOTDATA("Baseline_Amount",Visual_Pivot_BusinessIncome!$B$5,"Year",2023),0)</f>
        <v>0</v>
      </c>
      <c r="E25" s="12">
        <f>IFERROR(GETPIVOTDATA("Baseline_Amount",Visual_Pivot_BusinessIncome!$B$5,"Year",2024),0)</f>
        <v>-100766</v>
      </c>
      <c r="F25" s="12">
        <f>IFERROR(GETPIVOTDATA("Baseline_Amount",Visual_Pivot_BusinessIncome!$B$5,"Year",2025),0)</f>
        <v>145000</v>
      </c>
      <c r="G25" s="12">
        <f>IFERROR(GETPIVOTDATA("Baseline_Amount",Visual_Pivot_BusinessIncome!$B$5,"Year",2026),0)</f>
        <v>0</v>
      </c>
      <c r="H25" s="12">
        <f>IFERROR(GETPIVOTDATA("Baseline_Amount",Visual_Pivot_BusinessIncome!$B$5,"Year",2027),0)</f>
        <v>0</v>
      </c>
      <c r="I25" s="12">
        <f>IFERROR(GETPIVOTDATA("Baseline_Amount",Visual_Pivot_BusinessIncome!$B$5,"Year",2028),0)</f>
        <v>0</v>
      </c>
      <c r="J25" s="45">
        <f>IFERROR(GETPIVOTDATA("Baseline_Amount",Visual_Pivot_BusinessIncome!$B$5,"Year",Active_Year),0)</f>
        <v>145000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Q136"/>
  <sheetViews>
    <sheetView workbookViewId="0">
      <selection activeCell="L53" sqref="L53"/>
    </sheetView>
  </sheetViews>
  <sheetFormatPr defaultRowHeight="14.5" x14ac:dyDescent="0.35"/>
  <cols>
    <col min="1" max="1" width="12" customWidth="1"/>
    <col min="2" max="2" width="36" customWidth="1"/>
    <col min="3" max="3" width="12" customWidth="1"/>
    <col min="4" max="5" width="14" customWidth="1"/>
    <col min="6" max="6" width="32" customWidth="1"/>
    <col min="7" max="8" width="3" customWidth="1"/>
    <col min="9" max="9" width="36" customWidth="1"/>
    <col min="10" max="10" width="16" customWidth="1"/>
    <col min="11" max="11" width="6.36328125" customWidth="1"/>
    <col min="12" max="12" width="16" customWidth="1"/>
    <col min="13" max="13" width="14" customWidth="1"/>
    <col min="14" max="14" width="16" customWidth="1"/>
    <col min="15" max="16" width="9" customWidth="1"/>
  </cols>
  <sheetData>
    <row r="1" spans="1:17" ht="18.5" customHeight="1" x14ac:dyDescent="0.35">
      <c r="A1" s="17" t="s">
        <v>449</v>
      </c>
    </row>
    <row r="2" spans="1:17" ht="14.5" customHeight="1" x14ac:dyDescent="0.35">
      <c r="A2" s="89" t="s">
        <v>1</v>
      </c>
    </row>
    <row r="3" spans="1:17" ht="14.5" customHeight="1" x14ac:dyDescent="0.35"/>
    <row r="4" spans="1:17" ht="14.5" customHeight="1" x14ac:dyDescent="0.35">
      <c r="A4" s="80" t="s">
        <v>2</v>
      </c>
    </row>
    <row r="5" spans="1:17" ht="14.5" customHeight="1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1789</v>
      </c>
      <c r="I5" s="3" t="s">
        <v>10</v>
      </c>
      <c r="J5" s="3" t="s">
        <v>11</v>
      </c>
      <c r="K5" s="3" t="s">
        <v>12</v>
      </c>
      <c r="L5" s="53" t="s">
        <v>13</v>
      </c>
      <c r="M5" s="3" t="s">
        <v>14</v>
      </c>
      <c r="N5" s="3" t="s">
        <v>15</v>
      </c>
      <c r="O5" s="3" t="s">
        <v>16</v>
      </c>
      <c r="P5" s="98" t="s">
        <v>17</v>
      </c>
      <c r="Q5" s="3" t="s">
        <v>18</v>
      </c>
    </row>
    <row r="6" spans="1:17" ht="14.5" customHeight="1" x14ac:dyDescent="0.35">
      <c r="A6" s="65" t="s">
        <v>19</v>
      </c>
      <c r="B6" s="65" t="s">
        <v>20</v>
      </c>
      <c r="C6" s="65" t="s">
        <v>21</v>
      </c>
      <c r="D6" s="93"/>
      <c r="E6" s="65"/>
      <c r="F6" s="65"/>
      <c r="G6" s="65">
        <v>8</v>
      </c>
      <c r="H6" s="65" t="s">
        <v>929</v>
      </c>
      <c r="I6" t="s">
        <v>21</v>
      </c>
      <c r="J6" t="s">
        <v>24</v>
      </c>
      <c r="K6" s="12">
        <f>SUMIFS(tblMaster_Inputs[Baseline_Amount], tblMaster_Inputs[Year], 2023, tblMaster_Inputs[Primary_Line], $I6, tblMaster_Inputs[Activity_Type], "Baseline")</f>
        <v>0</v>
      </c>
      <c r="L6" s="54"/>
      <c r="M6" s="4"/>
      <c r="N6" s="12">
        <f>SUMIFS(tblY2023_Strategies[Amount],tblY2023_Strategies[TargetLine],$I6)-SUMIFS(tblY2023_Strategies[Amount],tblY2023_Strategies[CounterLine],$I6)</f>
        <v>0</v>
      </c>
      <c r="O6" s="12">
        <f>IF(UPPER(L6)="Y",SUMIFS(tblMaster_Inputs[Baseline_Amount],tblMaster_Inputs[Year],2022,tblMaster_Inputs[Primary_Line],"1z"),IF(ISBLANK(M6),K6,M6))</f>
        <v>0</v>
      </c>
      <c r="P6" s="12">
        <f>O6+N6</f>
        <v>0</v>
      </c>
      <c r="Q6" s="8" t="str">
        <f t="shared" ref="Q6:Q18" si="0">HYPERLINK("#Y2023!I49", "↗ drill")</f>
        <v>↗ drill</v>
      </c>
    </row>
    <row r="7" spans="1:17" ht="14.5" customHeight="1" x14ac:dyDescent="0.35">
      <c r="A7" s="65" t="s">
        <v>25</v>
      </c>
      <c r="B7" s="65" t="s">
        <v>26</v>
      </c>
      <c r="C7" s="65">
        <v>10</v>
      </c>
      <c r="D7" s="93"/>
      <c r="E7" s="65"/>
      <c r="F7" s="65"/>
      <c r="G7" s="65"/>
      <c r="H7" s="65" t="s">
        <v>899</v>
      </c>
      <c r="I7" t="s">
        <v>28</v>
      </c>
      <c r="J7" t="s">
        <v>29</v>
      </c>
      <c r="K7" s="12">
        <f>SUMIFS(tblMaster_Inputs[Helper_Amount], tblMaster_Inputs[Year], 2023, tblMaster_Inputs[Helper_Treatment], "TAX_EXEMPT")</f>
        <v>0</v>
      </c>
      <c r="L7" s="54"/>
      <c r="M7" s="4"/>
      <c r="N7">
        <f>SUMIFS(tblY2023_Strategies[Amount],tblY2023_Strategies[TargetLine],"2a",tblY2023_Strategies[Status],"Committed")</f>
        <v>0</v>
      </c>
      <c r="O7" s="12">
        <f>IF(UPPER(L7)="Y",SUMIFS(tblMaster_Inputs[Helper_Amount],tblMaster_Inputs[Year],2022,tblMaster_Inputs[Helper_Treatment],"TAX_EXEMPT"),IF(ISBLANK(M7),K7,M7))</f>
        <v>0</v>
      </c>
      <c r="P7" s="12">
        <f>O7</f>
        <v>0</v>
      </c>
      <c r="Q7" s="8" t="str">
        <f t="shared" si="0"/>
        <v>↗ drill</v>
      </c>
    </row>
    <row r="8" spans="1:17" ht="14.5" customHeight="1" x14ac:dyDescent="0.35">
      <c r="A8" s="65" t="s">
        <v>30</v>
      </c>
      <c r="B8" s="65" t="s">
        <v>31</v>
      </c>
      <c r="C8" s="65">
        <v>12</v>
      </c>
      <c r="D8" s="93"/>
      <c r="E8" s="65"/>
      <c r="F8" s="65"/>
      <c r="G8" s="65"/>
      <c r="H8" s="65" t="s">
        <v>960</v>
      </c>
      <c r="I8" t="s">
        <v>34</v>
      </c>
      <c r="J8" t="s">
        <v>35</v>
      </c>
      <c r="K8" s="12">
        <f>SUMIFS(tblMaster_Inputs[Baseline_Amount], tblMaster_Inputs[Year], 2023, tblMaster_Inputs[Primary_Line], $I8, tblMaster_Inputs[Activity_Type], "Baseline")</f>
        <v>0</v>
      </c>
      <c r="L8" s="54"/>
      <c r="M8" s="4"/>
      <c r="N8" s="12">
        <f>SUMIFS(tblY2023_Strategies[Amount],tblY2023_Strategies[TargetLine],$I8)-SUMIFS(tblY2023_Strategies[Amount],tblY2023_Strategies[CounterLine],$I8)</f>
        <v>0</v>
      </c>
      <c r="O8" s="12">
        <f>IF(UPPER(L8)="Y",SUMIFS(tblMaster_Inputs[Baseline_Amount],tblMaster_Inputs[Year],2022,tblMaster_Inputs[Primary_Line],"2b"),IF(ISBLANK(M8),K8,M8))</f>
        <v>0</v>
      </c>
      <c r="P8" s="12">
        <f>O8+N8</f>
        <v>0</v>
      </c>
      <c r="Q8" s="8" t="str">
        <f t="shared" si="0"/>
        <v>↗ drill</v>
      </c>
    </row>
    <row r="9" spans="1:17" ht="14.5" customHeight="1" x14ac:dyDescent="0.35">
      <c r="A9" s="65" t="s">
        <v>36</v>
      </c>
      <c r="B9" s="65" t="s">
        <v>37</v>
      </c>
      <c r="C9" s="65">
        <v>10</v>
      </c>
      <c r="D9" s="93"/>
      <c r="E9" s="65"/>
      <c r="F9" s="65"/>
      <c r="G9" s="65"/>
      <c r="H9" s="65" t="s">
        <v>899</v>
      </c>
      <c r="I9" t="s">
        <v>40</v>
      </c>
      <c r="J9" t="s">
        <v>41</v>
      </c>
      <c r="K9" s="12">
        <f>SUMIFS(tblMaster_Inputs[Helper_Amount], tblMaster_Inputs[Year], 2023, tblMaster_Inputs[Helper_Treatment], "QUAL_DIV")</f>
        <v>0</v>
      </c>
      <c r="L9" s="54"/>
      <c r="M9" s="4"/>
      <c r="N9">
        <f>SUMIFS(tblY2023_Strategies[Amount],tblY2023_Strategies[TargetLine],"3a",tblY2023_Strategies[Status],"Committed")</f>
        <v>0</v>
      </c>
      <c r="O9" s="12">
        <f>IF(UPPER(L9)="Y",SUMIFS(tblMaster_Inputs[Helper_Amount],tblMaster_Inputs[Year],2022,tblMaster_Inputs[Helper_Treatment],"QUAL_DIV"),IF(ISBLANK(M9),K9,M9))</f>
        <v>0</v>
      </c>
      <c r="P9" s="12">
        <f>O9</f>
        <v>0</v>
      </c>
      <c r="Q9" s="8" t="str">
        <f t="shared" si="0"/>
        <v>↗ drill</v>
      </c>
    </row>
    <row r="10" spans="1:17" ht="14.5" customHeight="1" x14ac:dyDescent="0.35">
      <c r="A10" s="65" t="s">
        <v>42</v>
      </c>
      <c r="B10" s="65" t="s">
        <v>43</v>
      </c>
      <c r="C10" s="65">
        <v>8</v>
      </c>
      <c r="D10" s="93"/>
      <c r="E10" s="65"/>
      <c r="F10" s="65"/>
      <c r="G10" s="65"/>
      <c r="H10" s="65" t="s">
        <v>945</v>
      </c>
      <c r="I10" t="s">
        <v>45</v>
      </c>
      <c r="J10" t="s">
        <v>46</v>
      </c>
      <c r="K10" s="12">
        <f>SUMIFS(tblMaster_Inputs[Baseline_Amount], tblMaster_Inputs[Year], 2023, tblMaster_Inputs[Primary_Line], $I10, tblMaster_Inputs[Activity_Type], "Baseline")</f>
        <v>0</v>
      </c>
      <c r="L10" s="54"/>
      <c r="M10" s="4"/>
      <c r="N10" s="12">
        <f>SUMIFS(tblY2023_Strategies[Amount],tblY2023_Strategies[TargetLine],$I10)-SUMIFS(tblY2023_Strategies[Amount],tblY2023_Strategies[CounterLine],$I10)</f>
        <v>0</v>
      </c>
      <c r="O10" s="12">
        <f>IF(UPPER(L10)="Y",SUMIFS(tblMaster_Inputs[Baseline_Amount],tblMaster_Inputs[Year],2022,tblMaster_Inputs[Primary_Line],"3b"),IF(ISBLANK(M10),K10,M10))</f>
        <v>0</v>
      </c>
      <c r="P10" s="12">
        <f>O10+N10</f>
        <v>0</v>
      </c>
      <c r="Q10" s="8" t="str">
        <f t="shared" si="0"/>
        <v>↗ drill</v>
      </c>
    </row>
    <row r="11" spans="1:17" ht="14.5" customHeight="1" x14ac:dyDescent="0.35">
      <c r="A11" s="65" t="s">
        <v>47</v>
      </c>
      <c r="B11" s="65" t="s">
        <v>48</v>
      </c>
      <c r="C11" s="65" t="s">
        <v>21</v>
      </c>
      <c r="D11" s="93"/>
      <c r="E11" s="65"/>
      <c r="F11" s="65"/>
      <c r="G11" s="65"/>
      <c r="H11" s="65" t="s">
        <v>1790</v>
      </c>
      <c r="I11">
        <v>7</v>
      </c>
      <c r="J11" t="s">
        <v>51</v>
      </c>
      <c r="K11" s="12">
        <f>SUMIFS(tblMaster_Inputs[Baseline_Amount], tblMaster_Inputs[Year], 2023, tblMaster_Inputs[Primary_Line], $I11, tblMaster_Inputs[Activity_Type], "Baseline")</f>
        <v>0</v>
      </c>
      <c r="L11" s="54"/>
      <c r="M11" s="4"/>
      <c r="N11" s="12">
        <f>SUMIFS(tblY2023_Strategies[Amount],tblY2023_Strategies[TargetLine],$I11)-SUMIFS(tblY2023_Strategies[Amount],tblY2023_Strategies[CounterLine],$I11)</f>
        <v>0</v>
      </c>
      <c r="O11" s="12">
        <f>IF(UPPER(L11)="Y",SUMIFS(tblMaster_Inputs[Baseline_Amount],tblMaster_Inputs[Year],2022,tblMaster_Inputs[Primary_Line],"7"),IF(ISBLANK(M11),K11,M11))</f>
        <v>0</v>
      </c>
      <c r="P11" s="12">
        <f>O11+N11</f>
        <v>0</v>
      </c>
      <c r="Q11" s="8" t="str">
        <f t="shared" si="0"/>
        <v>↗ drill</v>
      </c>
    </row>
    <row r="12" spans="1:17" ht="14.5" customHeight="1" x14ac:dyDescent="0.35">
      <c r="A12" s="65" t="s">
        <v>52</v>
      </c>
      <c r="B12" s="65" t="s">
        <v>53</v>
      </c>
      <c r="C12" s="65">
        <v>8</v>
      </c>
      <c r="D12" s="93"/>
      <c r="E12" s="65"/>
      <c r="F12" s="65"/>
      <c r="G12" s="65"/>
      <c r="H12" s="65" t="s">
        <v>905</v>
      </c>
      <c r="I12">
        <v>8</v>
      </c>
      <c r="J12" t="s">
        <v>56</v>
      </c>
      <c r="K12" s="12">
        <f>SUMIFS(tblMaster_Inputs[Baseline_Amount], tblMaster_Inputs[Year], 2023, tblMaster_Inputs[Primary_Line], $I12, tblMaster_Inputs[Activity_Type], "Baseline")</f>
        <v>0</v>
      </c>
      <c r="L12" s="54"/>
      <c r="M12" s="4"/>
      <c r="N12" s="12">
        <f>SUMIFS(tblY2023_Strategies[Amount],tblY2023_Strategies[TargetLine],$I12)-SUMIFS(tblY2023_Strategies[Amount],tblY2023_Strategies[CounterLine],$I12)</f>
        <v>0</v>
      </c>
      <c r="O12" s="12">
        <f>IF(UPPER(L12)="Y",SUMIFS(tblMaster_Inputs[Baseline_Amount],tblMaster_Inputs[Year],2022,tblMaster_Inputs[Primary_Line],"8"),IF(ISBLANK(M12),K12,M12))</f>
        <v>0</v>
      </c>
      <c r="P12" s="12">
        <f>O12+N12</f>
        <v>0</v>
      </c>
      <c r="Q12" s="8" t="str">
        <f t="shared" si="0"/>
        <v>↗ drill</v>
      </c>
    </row>
    <row r="13" spans="1:17" ht="14.5" customHeight="1" x14ac:dyDescent="0.35">
      <c r="A13" s="65" t="s">
        <v>57</v>
      </c>
      <c r="B13" s="65" t="s">
        <v>58</v>
      </c>
      <c r="C13" s="65">
        <v>8</v>
      </c>
      <c r="D13" s="93"/>
      <c r="E13" s="65"/>
      <c r="F13" s="65"/>
      <c r="G13" s="65"/>
      <c r="H13" s="65" t="s">
        <v>909</v>
      </c>
      <c r="I13">
        <v>9</v>
      </c>
      <c r="J13" t="s">
        <v>61</v>
      </c>
      <c r="K13" s="12">
        <f>K6+K8+K10+K11+K12</f>
        <v>0</v>
      </c>
      <c r="L13" s="54"/>
      <c r="M13" s="4"/>
      <c r="N13" s="12">
        <f>N6+N8+N10+N11+N12</f>
        <v>0</v>
      </c>
      <c r="O13" s="12">
        <f>O6+O8+O10+O11+O12</f>
        <v>0</v>
      </c>
      <c r="P13" s="12">
        <f>P6+P8+P10+P11+P12</f>
        <v>0</v>
      </c>
      <c r="Q13" s="8" t="str">
        <f t="shared" si="0"/>
        <v>↗ drill</v>
      </c>
    </row>
    <row r="14" spans="1:17" ht="14.5" customHeight="1" x14ac:dyDescent="0.35">
      <c r="A14" s="65" t="s">
        <v>62</v>
      </c>
      <c r="B14" s="65" t="s">
        <v>63</v>
      </c>
      <c r="C14" s="65">
        <v>8</v>
      </c>
      <c r="D14" s="93"/>
      <c r="E14" s="65"/>
      <c r="F14" s="65" t="s">
        <v>1792</v>
      </c>
      <c r="G14" s="65" t="s">
        <v>21</v>
      </c>
      <c r="H14" s="65" t="s">
        <v>914</v>
      </c>
      <c r="I14">
        <v>10</v>
      </c>
      <c r="J14" t="s">
        <v>66</v>
      </c>
      <c r="K14" s="12">
        <f>SUMIFS(tblMaster_Inputs[Baseline_Amount], tblMaster_Inputs[Year], 2023, tblMaster_Inputs[Primary_Line], $I14, tblMaster_Inputs[Activity_Type], "Baseline")</f>
        <v>0</v>
      </c>
      <c r="L14" s="54"/>
      <c r="M14" s="4"/>
      <c r="N14" s="12">
        <f>SUMIFS(tblY2023_Strategies[Amount],tblY2023_Strategies[TargetLine],$I14)-SUMIFS(tblY2023_Strategies[Amount],tblY2023_Strategies[CounterLine],$I14)</f>
        <v>0</v>
      </c>
      <c r="O14" s="12">
        <f>IF(UPPER(L14)="Y",SUMIFS(tblMaster_Inputs[Baseline_Amount],tblMaster_Inputs[Year],2022,tblMaster_Inputs[Primary_Line],"10"),IF(ISBLANK(M14),K14,M14))</f>
        <v>0</v>
      </c>
      <c r="P14" s="12">
        <f>O14+N14</f>
        <v>0</v>
      </c>
      <c r="Q14" s="8" t="str">
        <f t="shared" si="0"/>
        <v>↗ drill</v>
      </c>
    </row>
    <row r="15" spans="1:17" ht="14.5" customHeight="1" x14ac:dyDescent="0.35">
      <c r="A15" s="65" t="s">
        <v>67</v>
      </c>
      <c r="B15" s="65" t="s">
        <v>68</v>
      </c>
      <c r="C15" s="65">
        <v>8</v>
      </c>
      <c r="D15" s="93"/>
      <c r="E15" s="65"/>
      <c r="F15" s="65"/>
      <c r="G15" s="65" t="s">
        <v>21</v>
      </c>
      <c r="H15" s="65" t="s">
        <v>923</v>
      </c>
      <c r="I15">
        <v>11</v>
      </c>
      <c r="J15" t="s">
        <v>71</v>
      </c>
      <c r="K15" s="12">
        <f>K13+K14</f>
        <v>0</v>
      </c>
      <c r="L15" s="54"/>
      <c r="M15" s="4"/>
      <c r="N15" s="12">
        <f>N13+N14</f>
        <v>0</v>
      </c>
      <c r="O15" s="12">
        <f>O13+O14</f>
        <v>0</v>
      </c>
      <c r="P15" s="12">
        <f>P13+P14</f>
        <v>0</v>
      </c>
      <c r="Q15" s="8" t="str">
        <f t="shared" si="0"/>
        <v>↗ drill</v>
      </c>
    </row>
    <row r="16" spans="1:17" ht="14.5" customHeight="1" x14ac:dyDescent="0.35">
      <c r="A16" s="65" t="s">
        <v>72</v>
      </c>
      <c r="B16" s="65" t="s">
        <v>73</v>
      </c>
      <c r="C16" s="65">
        <v>7</v>
      </c>
      <c r="D16" s="93"/>
      <c r="E16" s="65"/>
      <c r="F16" s="65"/>
      <c r="G16" s="65"/>
      <c r="H16" s="65" t="s">
        <v>1791</v>
      </c>
      <c r="I16">
        <v>12</v>
      </c>
      <c r="J16" t="s">
        <v>76</v>
      </c>
      <c r="K16" s="12">
        <f>SUMIFS(tblMaster_Inputs[Baseline_Amount], tblMaster_Inputs[Year], 2023, tblMaster_Inputs[Primary_Line], $I16, tblMaster_Inputs[Activity_Type], "Baseline")</f>
        <v>0</v>
      </c>
      <c r="L16" s="54"/>
      <c r="M16" s="4"/>
      <c r="N16" s="12">
        <f>SUMIFS(tblY2023_Strategies[Amount],tblY2023_Strategies[TargetLine],$I16)-SUMIFS(tblY2023_Strategies[Amount],tblY2023_Strategies[CounterLine],$I16)</f>
        <v>0</v>
      </c>
      <c r="O16" s="12">
        <f>IF(UPPER(L16)="Y",SUMIFS(tblMaster_Inputs[Baseline_Amount],tblMaster_Inputs[Year],2022,tblMaster_Inputs[Primary_Line],"12"),IF(ISBLANK(M16),K16,M16))</f>
        <v>0</v>
      </c>
      <c r="P16" s="12">
        <f>O16+N16</f>
        <v>0</v>
      </c>
      <c r="Q16" s="8" t="str">
        <f t="shared" si="0"/>
        <v>↗ drill</v>
      </c>
    </row>
    <row r="17" spans="1:17" ht="14.5" customHeight="1" x14ac:dyDescent="0.35">
      <c r="A17" s="65" t="s">
        <v>77</v>
      </c>
      <c r="B17" s="65" t="s">
        <v>78</v>
      </c>
      <c r="C17" s="65">
        <v>8</v>
      </c>
      <c r="D17" s="93"/>
      <c r="E17" s="65"/>
      <c r="F17" s="65"/>
      <c r="G17" s="65"/>
      <c r="H17" s="65" t="s">
        <v>945</v>
      </c>
      <c r="I17">
        <v>13</v>
      </c>
      <c r="J17" t="s">
        <v>81</v>
      </c>
      <c r="K17" s="12">
        <f>SUMIFS(tblMaster_Inputs[Baseline_Amount], tblMaster_Inputs[Year], 2023, tblMaster_Inputs[Primary_Line], $I17, tblMaster_Inputs[Activity_Type], "Baseline")</f>
        <v>0</v>
      </c>
      <c r="L17" s="54"/>
      <c r="M17" s="4"/>
      <c r="N17" s="12">
        <f>SUMIFS(tblY2023_Strategies[Amount],tblY2023_Strategies[TargetLine],$I17)-SUMIFS(tblY2023_Strategies[Amount],tblY2023_Strategies[CounterLine],$I17)</f>
        <v>0</v>
      </c>
      <c r="O17" s="12">
        <f>IF(UPPER(L17)="Y",SUMIFS(tblMaster_Inputs[Baseline_Amount],tblMaster_Inputs[Year],2022,tblMaster_Inputs[Primary_Line],"13"),IF(ISBLANK(M17),K17,M17))</f>
        <v>0</v>
      </c>
      <c r="P17" s="12">
        <f>O17+N17</f>
        <v>0</v>
      </c>
      <c r="Q17" s="8" t="str">
        <f t="shared" si="0"/>
        <v>↗ drill</v>
      </c>
    </row>
    <row r="18" spans="1:17" ht="14.5" customHeight="1" x14ac:dyDescent="0.35">
      <c r="A18" s="65" t="s">
        <v>82</v>
      </c>
      <c r="B18" s="65" t="s">
        <v>83</v>
      </c>
      <c r="C18" s="65">
        <v>13</v>
      </c>
      <c r="D18" s="93"/>
      <c r="E18" s="65"/>
      <c r="F18" s="65"/>
      <c r="G18" s="65"/>
      <c r="H18" s="65"/>
      <c r="I18">
        <v>15</v>
      </c>
      <c r="J18" t="s">
        <v>86</v>
      </c>
      <c r="K18" s="12">
        <f>K15+K16+K17</f>
        <v>0</v>
      </c>
      <c r="L18" s="54"/>
      <c r="M18" s="4"/>
      <c r="N18" s="12">
        <f>N15+N16+N17</f>
        <v>0</v>
      </c>
      <c r="O18" s="12">
        <f>O15+O16+O17</f>
        <v>0</v>
      </c>
      <c r="P18" s="12">
        <f>P15+P16+P17</f>
        <v>0</v>
      </c>
      <c r="Q18" s="8" t="str">
        <f t="shared" si="0"/>
        <v>↗ drill</v>
      </c>
    </row>
    <row r="19" spans="1:17" ht="14.5" customHeight="1" x14ac:dyDescent="0.35">
      <c r="A19" s="65" t="s">
        <v>87</v>
      </c>
      <c r="B19" s="65" t="s">
        <v>88</v>
      </c>
      <c r="C19" s="65">
        <v>12</v>
      </c>
      <c r="D19" s="93"/>
      <c r="E19" s="65"/>
      <c r="F19" s="65"/>
      <c r="G19" s="65"/>
      <c r="H19" s="65"/>
    </row>
    <row r="20" spans="1:17" ht="14.5" customHeight="1" x14ac:dyDescent="0.35">
      <c r="A20" s="65" t="s">
        <v>90</v>
      </c>
      <c r="B20" s="65" t="s">
        <v>91</v>
      </c>
      <c r="C20" s="65">
        <v>8</v>
      </c>
      <c r="D20" s="93"/>
      <c r="E20" s="65"/>
      <c r="F20" s="65"/>
      <c r="G20" s="65"/>
      <c r="H20" s="65" t="s">
        <v>919</v>
      </c>
    </row>
    <row r="21" spans="1:17" ht="14.5" customHeight="1" x14ac:dyDescent="0.35"/>
    <row r="22" spans="1:17" ht="29" customHeight="1" x14ac:dyDescent="0.35">
      <c r="A22" s="80" t="s">
        <v>93</v>
      </c>
      <c r="I22" s="3" t="s">
        <v>11</v>
      </c>
      <c r="J22" s="3" t="s">
        <v>6</v>
      </c>
      <c r="K22" s="3" t="s">
        <v>16</v>
      </c>
      <c r="L22" s="3" t="s">
        <v>94</v>
      </c>
    </row>
    <row r="23" spans="1:17" ht="14.5" customHeight="1" x14ac:dyDescent="0.35">
      <c r="A23" s="92" t="s">
        <v>95</v>
      </c>
      <c r="B23" s="92" t="s">
        <v>96</v>
      </c>
      <c r="C23" s="92" t="s">
        <v>16</v>
      </c>
      <c r="D23" s="92" t="s">
        <v>97</v>
      </c>
      <c r="E23" s="92" t="s">
        <v>98</v>
      </c>
      <c r="I23" t="s">
        <v>450</v>
      </c>
      <c r="J23" s="12">
        <f>SUMIFS(tblMaster_Inputs[Baseline_Amount], tblMaster_Inputs[Year], 2023, tblMaster_Inputs[Treatment_Profile], "W2_SCorpOwner", tblMaster_Inputs[Activity_Type], "Baseline")</f>
        <v>0</v>
      </c>
      <c r="K23" s="12">
        <f>J23+SUMIFS(tblY2023_Strategies[Amount],tblY2023_Strategies[TargetLine],"1z")-SUMIFS(tblY2023_Strategies[Amount],tblY2023_Strategies[CounterLine],"1z")</f>
        <v>0</v>
      </c>
      <c r="L23" s="2" t="s">
        <v>451</v>
      </c>
    </row>
    <row r="24" spans="1:17" ht="14.5" customHeight="1" x14ac:dyDescent="0.35">
      <c r="A24" t="s">
        <v>100</v>
      </c>
      <c r="B24" s="94">
        <f>K13</f>
        <v>0</v>
      </c>
      <c r="C24" s="94">
        <f>O13</f>
        <v>0</v>
      </c>
      <c r="D24" s="94">
        <f>P13</f>
        <v>0</v>
      </c>
      <c r="E24" s="94">
        <f>B24-D24</f>
        <v>0</v>
      </c>
      <c r="I24" t="s">
        <v>452</v>
      </c>
      <c r="J24" s="12">
        <f>SUMIFS(tblMaster_Inputs[Baseline_Amount], tblMaster_Inputs[Year], 2023, tblMaster_Inputs[Treatment_Profile], "W2_Employee", tblMaster_Inputs[Activity_Type], "Baseline")</f>
        <v>0</v>
      </c>
      <c r="K24" s="12">
        <f>J24</f>
        <v>0</v>
      </c>
      <c r="L24" s="2" t="s">
        <v>453</v>
      </c>
    </row>
    <row r="25" spans="1:17" ht="14.5" customHeight="1" x14ac:dyDescent="0.35">
      <c r="A25" t="s">
        <v>103</v>
      </c>
      <c r="B25" s="94">
        <f>K18</f>
        <v>0</v>
      </c>
      <c r="C25" s="94">
        <f>O18</f>
        <v>0</v>
      </c>
      <c r="D25" s="94">
        <f>P18</f>
        <v>0</v>
      </c>
      <c r="E25" s="94">
        <f>B25-D25</f>
        <v>0</v>
      </c>
      <c r="I25" t="s">
        <v>454</v>
      </c>
      <c r="J25" s="12">
        <f>J23+J24</f>
        <v>0</v>
      </c>
      <c r="K25" s="12">
        <f>K23+K24</f>
        <v>0</v>
      </c>
      <c r="L25" s="2" t="s">
        <v>453</v>
      </c>
    </row>
    <row r="26" spans="1:17" ht="14.5" customHeight="1" x14ac:dyDescent="0.35">
      <c r="A26" s="13" t="s">
        <v>105</v>
      </c>
      <c r="B26" s="95">
        <f>J133</f>
        <v>0</v>
      </c>
      <c r="C26" s="95">
        <f>J133</f>
        <v>0</v>
      </c>
      <c r="D26" s="95">
        <f>K133</f>
        <v>0</v>
      </c>
      <c r="E26" s="94">
        <f>B26-D26</f>
        <v>0</v>
      </c>
      <c r="I26" t="s">
        <v>455</v>
      </c>
      <c r="J26" s="12">
        <f>SUMIFS(tblMaster_Inputs[Baseline_Amount], tblMaster_Inputs[Year], 2023, tblMaster_Inputs[Bucket], "Business Income", tblMaster_Inputs[SE_Subject], "Yes", tblMaster_Inputs[Activity_Type], "Baseline")</f>
        <v>0</v>
      </c>
      <c r="K26" s="12">
        <f>J26</f>
        <v>0</v>
      </c>
      <c r="L26" s="2" t="s">
        <v>456</v>
      </c>
    </row>
    <row r="27" spans="1:17" ht="14.5" customHeight="1" x14ac:dyDescent="0.35">
      <c r="A27" t="s">
        <v>108</v>
      </c>
      <c r="B27" s="96">
        <f>J134</f>
        <v>0</v>
      </c>
      <c r="C27" s="96">
        <f>J134</f>
        <v>0</v>
      </c>
      <c r="D27" s="96">
        <f>K134</f>
        <v>0</v>
      </c>
      <c r="E27" s="96">
        <f>B27-D27</f>
        <v>0</v>
      </c>
      <c r="I27" t="s">
        <v>457</v>
      </c>
      <c r="J27" s="12">
        <f>SUMIFS(tblMaster_Inputs[Baseline_Amount], tblMaster_Inputs[Year], 2023, tblMaster_Inputs[Bucket], "Business Income", tblMaster_Inputs[SE_Subject], "No", tblMaster_Inputs[NIIT_Class], "Active", tblMaster_Inputs[Activity_Type], "Baseline")</f>
        <v>0</v>
      </c>
      <c r="K27" s="12">
        <f>J27+SUMIFS(tblY2023_Strategies[Amount],tblY2023_Strategies[TargetLine],"8")-SUMIFS(tblY2023_Strategies[Amount],tblY2023_Strategies[CounterLine],"8")</f>
        <v>0</v>
      </c>
      <c r="L27" s="2" t="s">
        <v>458</v>
      </c>
    </row>
    <row r="28" spans="1:17" ht="14.5" customHeight="1" x14ac:dyDescent="0.35">
      <c r="A28" t="s">
        <v>111</v>
      </c>
      <c r="B28" s="97">
        <f>COUNTIF(tblY2023_Strategies[Status],"Committed")</f>
        <v>0</v>
      </c>
      <c r="C28" s="97" t="s">
        <v>112</v>
      </c>
      <c r="D28" s="94">
        <f>SUMIF(tblY2023_Strategies[Status],"Committed",tblY2023_Strategies[Amount])</f>
        <v>0</v>
      </c>
      <c r="E28" s="97"/>
      <c r="I28" t="s">
        <v>459</v>
      </c>
      <c r="J28" s="12">
        <f>SUMIFS(tblMaster_Inputs[Baseline_Amount], tblMaster_Inputs[Year], 2023, tblMaster_Inputs[Bucket], "Business Income", tblMaster_Inputs[NIIT_Class], "Passive", tblMaster_Inputs[Activity_Type], "Baseline")</f>
        <v>0</v>
      </c>
      <c r="K28" s="12">
        <f>J28</f>
        <v>0</v>
      </c>
      <c r="L28" s="2" t="s">
        <v>460</v>
      </c>
    </row>
    <row r="29" spans="1:17" ht="14.5" customHeight="1" x14ac:dyDescent="0.35">
      <c r="I29" t="s">
        <v>461</v>
      </c>
      <c r="J29" s="12">
        <f>SUMIFS(tblMaster_Inputs[Helper_Amount], tblMaster_Inputs[Year], 2023, tblMaster_Inputs[Helper_Treatment], "TAX_EXEMPT")</f>
        <v>0</v>
      </c>
      <c r="K29" s="12">
        <f>J29+SUMIFS(tblY2023_Strategies[Amount],tblY2023_Strategies[TargetLine],"2a")-SUMIFS(tblY2023_Strategies[Amount],tblY2023_Strategies[CounterLine],"2a")</f>
        <v>0</v>
      </c>
      <c r="L29" s="2" t="s">
        <v>184</v>
      </c>
    </row>
    <row r="30" spans="1:17" ht="14.5" customHeight="1" x14ac:dyDescent="0.35">
      <c r="I30" t="s">
        <v>462</v>
      </c>
      <c r="J30" s="12">
        <f>SUMIFS(tblMaster_Inputs[Helper_Amount], tblMaster_Inputs[Year], 2023, tblMaster_Inputs[Helper_Treatment], "QUAL_DIV", tblMaster_Inputs[Activity_Type], "Baseline")</f>
        <v>0</v>
      </c>
      <c r="K30" s="12">
        <f>J30</f>
        <v>0</v>
      </c>
      <c r="L30" s="2" t="s">
        <v>463</v>
      </c>
    </row>
    <row r="31" spans="1:17" ht="14.5" customHeight="1" x14ac:dyDescent="0.35">
      <c r="I31" t="s">
        <v>464</v>
      </c>
      <c r="J31" s="12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>0</v>
      </c>
      <c r="K31" s="12">
        <f>J31+SUMIFS(tblY2023_Strategies[Amount],tblY2023_Strategies[TargetLine],"7")-SUMIFS(tblY2023_Strategies[Amount],tblY2023_Strategies[CounterLine],"7")</f>
        <v>0</v>
      </c>
      <c r="L31" s="2" t="s">
        <v>465</v>
      </c>
    </row>
    <row r="32" spans="1:17" ht="14.5" customHeight="1" x14ac:dyDescent="0.35">
      <c r="I32" t="s">
        <v>466</v>
      </c>
      <c r="J32" s="12">
        <f>SUMIFS(tblMaster_Inputs[Baseline_Amount], tblMaster_Inputs[Year], 2023, tblMaster_Inputs[Treatment_Profile], "STCG_Stock", tblMaster_Inputs[Activity_Type], "Baseline")</f>
        <v>0</v>
      </c>
      <c r="K32" s="12">
        <f>J32</f>
        <v>0</v>
      </c>
      <c r="L32" s="2" t="s">
        <v>197</v>
      </c>
    </row>
    <row r="33" spans="9:12" ht="14.5" customHeight="1" x14ac:dyDescent="0.35">
      <c r="I33" t="s">
        <v>467</v>
      </c>
      <c r="J33" s="12">
        <f>SUMIFS(tblMaster_Inputs[Helper_Amount], tblMaster_Inputs[Year], 2023, tblMaster_Inputs[Helper_Treatment], "SEC1250", tblMaster_Inputs[Activity_Type], "Baseline")</f>
        <v>0</v>
      </c>
      <c r="K33" s="12">
        <f>J33</f>
        <v>0</v>
      </c>
      <c r="L33" s="2" t="s">
        <v>468</v>
      </c>
    </row>
    <row r="34" spans="9:12" ht="14.5" customHeight="1" x14ac:dyDescent="0.35"/>
    <row r="35" spans="9:12" ht="14.5" customHeight="1" x14ac:dyDescent="0.35"/>
    <row r="36" spans="9:12" ht="29" customHeight="1" x14ac:dyDescent="0.35">
      <c r="I36" s="3" t="s">
        <v>11</v>
      </c>
      <c r="J36" s="3" t="s">
        <v>469</v>
      </c>
      <c r="K36" s="3" t="s">
        <v>16</v>
      </c>
      <c r="L36" s="3" t="s">
        <v>94</v>
      </c>
    </row>
    <row r="37" spans="9:12" ht="14.5" customHeight="1" x14ac:dyDescent="0.35">
      <c r="I37" t="s">
        <v>470</v>
      </c>
      <c r="J37" s="12">
        <f>K18-J31-J30-J33</f>
        <v>0</v>
      </c>
      <c r="K37" s="12">
        <f>P18-K31-K30-K33</f>
        <v>0</v>
      </c>
      <c r="L37" s="2" t="s">
        <v>197</v>
      </c>
    </row>
    <row r="38" spans="9:12" ht="14.5" customHeight="1" x14ac:dyDescent="0.35">
      <c r="I38" t="s">
        <v>471</v>
      </c>
      <c r="J38" s="12">
        <f>K15+J29</f>
        <v>0</v>
      </c>
      <c r="K38" s="12">
        <f>P15+K29</f>
        <v>0</v>
      </c>
      <c r="L38" s="2" t="s">
        <v>201</v>
      </c>
    </row>
    <row r="39" spans="9:12" ht="14.5" customHeight="1" x14ac:dyDescent="0.35">
      <c r="I39" t="s">
        <v>472</v>
      </c>
      <c r="J39" s="12">
        <f>K8+K10+K11+J28</f>
        <v>0</v>
      </c>
      <c r="K39" s="12">
        <f>P8+P10+P11+K28</f>
        <v>0</v>
      </c>
      <c r="L39" s="2" t="s">
        <v>201</v>
      </c>
    </row>
    <row r="40" spans="9:12" ht="14.5" customHeight="1" x14ac:dyDescent="0.35">
      <c r="I40" t="s">
        <v>473</v>
      </c>
      <c r="J40" s="12">
        <f>J26+J27</f>
        <v>0</v>
      </c>
      <c r="K40" s="12">
        <f>K26+K27</f>
        <v>0</v>
      </c>
      <c r="L40" s="2" t="s">
        <v>474</v>
      </c>
    </row>
    <row r="41" spans="9:12" ht="14.5" customHeight="1" x14ac:dyDescent="0.35">
      <c r="I41" t="s">
        <v>475</v>
      </c>
      <c r="J41" s="12">
        <f>K15+K16</f>
        <v>0</v>
      </c>
      <c r="K41" s="12">
        <f>P15+P16</f>
        <v>0</v>
      </c>
      <c r="L41" s="2" t="s">
        <v>476</v>
      </c>
    </row>
    <row r="42" spans="9:12" ht="14.5" customHeight="1" x14ac:dyDescent="0.35">
      <c r="I42" t="s">
        <v>477</v>
      </c>
      <c r="J42" s="12">
        <f>MIN(0,J26+J27+J28)</f>
        <v>0</v>
      </c>
      <c r="K42" s="12">
        <f>MIN(0,K26+K27+K28)</f>
        <v>0</v>
      </c>
      <c r="L42" s="2" t="s">
        <v>478</v>
      </c>
    </row>
    <row r="43" spans="9:12" ht="14.5" customHeight="1" x14ac:dyDescent="0.35">
      <c r="I43" t="s">
        <v>479</v>
      </c>
      <c r="J43" s="12">
        <f>J26</f>
        <v>0</v>
      </c>
      <c r="K43" s="12">
        <f>K26</f>
        <v>0</v>
      </c>
      <c r="L43" s="2" t="s">
        <v>480</v>
      </c>
    </row>
    <row r="44" spans="9:12" ht="14.5" customHeight="1" x14ac:dyDescent="0.35">
      <c r="J44" s="55"/>
      <c r="K44" s="55">
        <f>J44</f>
        <v>0</v>
      </c>
      <c r="L44" s="2"/>
    </row>
    <row r="45" spans="9:12" ht="14.5" customHeight="1" x14ac:dyDescent="0.35">
      <c r="J45" s="69" t="b">
        <f>IF(Control_Panel!C21="Yes",TRUE,FALSE)</f>
        <v>0</v>
      </c>
      <c r="K45" s="4" t="b">
        <f>J45</f>
        <v>0</v>
      </c>
      <c r="L45" s="2"/>
    </row>
    <row r="46" spans="9:12" ht="14.5" customHeight="1" x14ac:dyDescent="0.35">
      <c r="J46" s="69">
        <f ca="1">Carryovers!F52</f>
        <v>0</v>
      </c>
      <c r="K46" s="55">
        <f ca="1">J46</f>
        <v>0</v>
      </c>
      <c r="L46" s="2"/>
    </row>
    <row r="47" spans="9:12" ht="14.5" customHeight="1" x14ac:dyDescent="0.35"/>
    <row r="48" spans="9:12" ht="14.5" customHeight="1" x14ac:dyDescent="0.35"/>
    <row r="49" spans="9:16" ht="14.5" customHeight="1" x14ac:dyDescent="0.35">
      <c r="I49" s="9" t="s">
        <v>21</v>
      </c>
      <c r="L49" s="8" t="str">
        <f>HYPERLINK("#Master_Inputs!A1", "✏ open Master_Inputs to edit")</f>
        <v>✏ open Master_Inputs to edit</v>
      </c>
    </row>
    <row r="50" spans="9:16" ht="14.5" customHeight="1" x14ac:dyDescent="0.35"/>
    <row r="51" spans="9:16" ht="29" customHeight="1" x14ac:dyDescent="0.35">
      <c r="I51" s="3" t="s">
        <v>146</v>
      </c>
      <c r="J51" s="3" t="s">
        <v>147</v>
      </c>
      <c r="K51" s="3"/>
      <c r="L51" s="3" t="s">
        <v>148</v>
      </c>
      <c r="M51" s="3" t="s">
        <v>149</v>
      </c>
      <c r="N51" s="3" t="s">
        <v>150</v>
      </c>
      <c r="O51" s="3" t="s">
        <v>8</v>
      </c>
      <c r="P51" s="3"/>
    </row>
    <row r="52" spans="9:16" ht="14.5" customHeight="1" x14ac:dyDescent="0.35"/>
    <row r="53" spans="9:16" ht="14.5" customHeight="1" x14ac:dyDescent="0.35"/>
    <row r="54" spans="9:16" ht="14.5" customHeight="1" x14ac:dyDescent="0.35"/>
    <row r="55" spans="9:16" ht="14.5" customHeight="1" x14ac:dyDescent="0.35"/>
    <row r="56" spans="9:16" ht="14.5" customHeight="1" x14ac:dyDescent="0.35"/>
    <row r="57" spans="9:16" ht="14.5" customHeight="1" x14ac:dyDescent="0.35"/>
    <row r="58" spans="9:16" ht="14.5" customHeight="1" x14ac:dyDescent="0.35"/>
    <row r="59" spans="9:16" ht="14.5" customHeight="1" x14ac:dyDescent="0.35"/>
    <row r="60" spans="9:16" ht="14.5" customHeight="1" x14ac:dyDescent="0.35"/>
    <row r="61" spans="9:16" ht="14.5" customHeight="1" x14ac:dyDescent="0.35"/>
    <row r="62" spans="9:16" ht="14.5" customHeight="1" x14ac:dyDescent="0.35"/>
    <row r="63" spans="9:16" ht="14.5" customHeight="1" x14ac:dyDescent="0.35"/>
    <row r="64" spans="9:16" ht="14.5" customHeight="1" x14ac:dyDescent="0.35"/>
    <row r="65" spans="9:12" ht="16" customHeight="1" thickBot="1" x14ac:dyDescent="0.4">
      <c r="I65" s="80" t="s">
        <v>151</v>
      </c>
      <c r="J65" s="48" t="s">
        <v>96</v>
      </c>
      <c r="K65" s="48" t="s">
        <v>16</v>
      </c>
      <c r="L65" s="48" t="s">
        <v>152</v>
      </c>
    </row>
    <row r="66" spans="9:12" ht="14.5" customHeight="1" x14ac:dyDescent="0.35">
      <c r="I66" t="s">
        <v>153</v>
      </c>
    </row>
    <row r="67" spans="9:12" ht="14.5" customHeight="1" x14ac:dyDescent="0.35"/>
    <row r="68" spans="9:12" ht="14.5" customHeight="1" x14ac:dyDescent="0.35">
      <c r="I68" s="80" t="s">
        <v>154</v>
      </c>
      <c r="J68" s="35"/>
      <c r="K68" s="35"/>
      <c r="L68" s="35"/>
    </row>
    <row r="69" spans="9:12" ht="14.5" customHeight="1" x14ac:dyDescent="0.35">
      <c r="I69" t="s">
        <v>155</v>
      </c>
      <c r="J69" s="19"/>
      <c r="K69" s="19"/>
      <c r="L69" s="19"/>
    </row>
    <row r="70" spans="9:12" ht="14.5" customHeight="1" x14ac:dyDescent="0.35">
      <c r="I70" t="s">
        <v>156</v>
      </c>
      <c r="J70" s="12">
        <f>J43</f>
        <v>0</v>
      </c>
      <c r="K70" s="12">
        <f>K43</f>
        <v>0</v>
      </c>
      <c r="L70" s="12"/>
    </row>
    <row r="71" spans="9:12" ht="14.5" customHeight="1" x14ac:dyDescent="0.35">
      <c r="I71" t="s">
        <v>157</v>
      </c>
      <c r="J71" s="19">
        <f>J70*SUMIFS(tblThresholds[Value], tblThresholds[Year], 2023, tblThresholds[FilingStatus], Filing_Status, tblThresholds[Item], "SE_Earnings_Factor")</f>
        <v>0</v>
      </c>
      <c r="K71" s="19">
        <f>K70*SUMIFS(tblThresholds[Value], tblThresholds[Year], 2023, tblThresholds[FilingStatus], Filing_Status, tblThresholds[Item], "SE_Earnings_Factor")</f>
        <v>0</v>
      </c>
      <c r="L71" s="19"/>
    </row>
    <row r="72" spans="9:12" ht="14.5" customHeight="1" x14ac:dyDescent="0.35">
      <c r="I72" t="s">
        <v>158</v>
      </c>
      <c r="J72" s="12">
        <f>J25</f>
        <v>0</v>
      </c>
      <c r="K72" s="12">
        <f>K25</f>
        <v>0</v>
      </c>
      <c r="L72" s="12"/>
    </row>
    <row r="73" spans="9:12" ht="14.5" customHeight="1" x14ac:dyDescent="0.35">
      <c r="I73" t="s">
        <v>159</v>
      </c>
      <c r="J73" s="12">
        <f>MAX(0,SUMIFS(tblThresholds[Value], tblThresholds[Year], 2023, tblThresholds[FilingStatus], Filing_Status, tblThresholds[Item], "SS_Wage_Base")-J72)</f>
        <v>176100</v>
      </c>
      <c r="K73" s="12">
        <f>MAX(0,SUMIFS(tblThresholds[Value], tblThresholds[Year], 2023, tblThresholds[FilingStatus], Filing_Status, tblThresholds[Item], "SS_Wage_Base")-K72)</f>
        <v>176100</v>
      </c>
      <c r="L73" s="12"/>
    </row>
    <row r="74" spans="9:12" ht="14.5" customHeight="1" x14ac:dyDescent="0.35">
      <c r="J74" s="38">
        <f>MIN(J71,J73)</f>
        <v>0</v>
      </c>
      <c r="K74" s="38">
        <f>MIN(K71,K73)</f>
        <v>0</v>
      </c>
      <c r="L74" s="38"/>
    </row>
    <row r="75" spans="9:12" ht="14.5" customHeight="1" x14ac:dyDescent="0.35">
      <c r="I75" t="s">
        <v>160</v>
      </c>
      <c r="J75" s="12">
        <f>J74*SUMIFS(tblThresholds[Value], tblThresholds[Year], 2023, tblThresholds[FilingStatus], Filing_Status, tblThresholds[Item], "SS_Rate_Combined")</f>
        <v>0</v>
      </c>
      <c r="K75" s="12">
        <f>K74*SUMIFS(tblThresholds[Value], tblThresholds[Year], 2023, tblThresholds[FilingStatus], Filing_Status, tblThresholds[Item], "SS_Rate_Combined")</f>
        <v>0</v>
      </c>
      <c r="L75" s="12"/>
    </row>
    <row r="76" spans="9:12" ht="15.5" customHeight="1" x14ac:dyDescent="0.35">
      <c r="I76" t="s">
        <v>161</v>
      </c>
      <c r="J76" s="51">
        <f>J71*SUMIFS(tblThresholds[Value], tblThresholds[Year], 2023, tblThresholds[FilingStatus], Filing_Status, tblThresholds[Item], "Medicare_Rate_Combined")</f>
        <v>0</v>
      </c>
      <c r="K76" s="51">
        <f>K71*SUMIFS(tblThresholds[Value], tblThresholds[Year], 2023, tblThresholds[FilingStatus], Filing_Status, tblThresholds[Item], "Medicare_Rate_Combined")</f>
        <v>0</v>
      </c>
      <c r="L76" s="51"/>
    </row>
    <row r="77" spans="9:12" ht="14.5" customHeight="1" x14ac:dyDescent="0.35">
      <c r="I77" t="s">
        <v>162</v>
      </c>
      <c r="J77" s="12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>0</v>
      </c>
      <c r="K77" s="12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>0</v>
      </c>
      <c r="L77" s="12"/>
    </row>
    <row r="78" spans="9:12" ht="14.5" customHeight="1" x14ac:dyDescent="0.35">
      <c r="J78" s="12">
        <f>-(J75+J76)/2</f>
        <v>0</v>
      </c>
      <c r="K78" s="12">
        <f>-(K75+K76)/2</f>
        <v>0</v>
      </c>
      <c r="L78" s="12"/>
    </row>
    <row r="79" spans="9:12" ht="18.5" customHeight="1" x14ac:dyDescent="0.45">
      <c r="J79" s="52"/>
      <c r="K79" s="12"/>
      <c r="L79" s="12"/>
    </row>
    <row r="80" spans="9:12" ht="14.5" customHeight="1" x14ac:dyDescent="0.35">
      <c r="I80" s="13" t="s">
        <v>163</v>
      </c>
      <c r="J80" s="19">
        <f>J75+J76+J77</f>
        <v>0</v>
      </c>
      <c r="K80" s="19">
        <f>K75+K76+K77</f>
        <v>0</v>
      </c>
      <c r="L80" s="19">
        <f>J80-K80</f>
        <v>0</v>
      </c>
    </row>
    <row r="81" spans="9:12" ht="14.5" customHeight="1" x14ac:dyDescent="0.35">
      <c r="J81" s="12"/>
      <c r="K81" s="12"/>
      <c r="L81" s="12"/>
    </row>
    <row r="82" spans="9:12" ht="14.5" customHeight="1" x14ac:dyDescent="0.35">
      <c r="I82" s="80" t="s">
        <v>164</v>
      </c>
      <c r="J82" s="19"/>
      <c r="K82" s="19"/>
      <c r="L82" s="19"/>
    </row>
    <row r="83" spans="9:12" ht="14.5" customHeight="1" x14ac:dyDescent="0.35">
      <c r="I83" t="s">
        <v>158</v>
      </c>
      <c r="J83" s="12">
        <f>J25</f>
        <v>0</v>
      </c>
      <c r="K83" s="12">
        <f>K25</f>
        <v>0</v>
      </c>
      <c r="L83" s="12"/>
    </row>
    <row r="84" spans="9:12" ht="14.5" customHeight="1" x14ac:dyDescent="0.35">
      <c r="I84" t="s">
        <v>165</v>
      </c>
      <c r="J84" s="12">
        <f>MIN(J83,SUMIFS(tblThresholds[Value], tblThresholds[Year], 2023, tblThresholds[FilingStatus], Filing_Status, tblThresholds[Item], "SS_Wage_Base"))*0.062</f>
        <v>0</v>
      </c>
      <c r="K84" s="12">
        <f>MIN(K83,SUMIFS(tblThresholds[Value], tblThresholds[Year], 2023, tblThresholds[FilingStatus], Filing_Status, tblThresholds[Item], "SS_Wage_Base"))*0.062</f>
        <v>0</v>
      </c>
      <c r="L84" s="12"/>
    </row>
    <row r="85" spans="9:12" ht="14.5" customHeight="1" x14ac:dyDescent="0.35">
      <c r="I85" t="s">
        <v>166</v>
      </c>
      <c r="J85" s="12">
        <f>J83*0.0145</f>
        <v>0</v>
      </c>
      <c r="K85" s="12">
        <f>K83*0.0145</f>
        <v>0</v>
      </c>
      <c r="L85" s="12"/>
    </row>
    <row r="86" spans="9:12" ht="14.5" customHeight="1" x14ac:dyDescent="0.35">
      <c r="I86" t="s">
        <v>162</v>
      </c>
      <c r="J86" s="12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>0</v>
      </c>
      <c r="K86" s="12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>0</v>
      </c>
      <c r="L86" s="12"/>
    </row>
    <row r="87" spans="9:12" ht="14.5" customHeight="1" x14ac:dyDescent="0.35">
      <c r="I87" s="13" t="s">
        <v>167</v>
      </c>
      <c r="J87" s="19">
        <f>J84+J85+J86</f>
        <v>0</v>
      </c>
      <c r="K87" s="19">
        <f>K84+K85+K86</f>
        <v>0</v>
      </c>
      <c r="L87" s="19">
        <f>J87-K87</f>
        <v>0</v>
      </c>
    </row>
    <row r="88" spans="9:12" ht="14.5" customHeight="1" x14ac:dyDescent="0.35">
      <c r="I88" s="13" t="s">
        <v>168</v>
      </c>
      <c r="J88" s="19">
        <f>J84</f>
        <v>0</v>
      </c>
      <c r="K88" s="19">
        <f>K84</f>
        <v>0</v>
      </c>
      <c r="L88" s="19">
        <f>J88-K88</f>
        <v>0</v>
      </c>
    </row>
    <row r="89" spans="9:12" ht="14.5" customHeight="1" x14ac:dyDescent="0.35">
      <c r="I89" s="13" t="s">
        <v>169</v>
      </c>
      <c r="J89" s="19">
        <f>J85</f>
        <v>0</v>
      </c>
      <c r="K89" s="19">
        <f>K85</f>
        <v>0</v>
      </c>
      <c r="L89" s="19">
        <f>J89-K89</f>
        <v>0</v>
      </c>
    </row>
    <row r="90" spans="9:12" ht="14.5" customHeight="1" x14ac:dyDescent="0.35">
      <c r="I90" s="13"/>
      <c r="J90" s="19"/>
      <c r="K90" s="19"/>
      <c r="L90" s="19"/>
    </row>
    <row r="91" spans="9:12" ht="14.5" customHeight="1" x14ac:dyDescent="0.35">
      <c r="I91" s="13" t="s">
        <v>170</v>
      </c>
      <c r="J91" s="19">
        <f>J87+J88+J89</f>
        <v>0</v>
      </c>
      <c r="K91" s="19">
        <f>K87+K88+K89</f>
        <v>0</v>
      </c>
      <c r="L91" s="19">
        <f>J91-K91</f>
        <v>0</v>
      </c>
    </row>
    <row r="92" spans="9:12" ht="14.5" customHeight="1" x14ac:dyDescent="0.35">
      <c r="J92" s="12"/>
      <c r="K92" s="12"/>
      <c r="L92" s="12"/>
    </row>
    <row r="93" spans="9:12" ht="14.5" customHeight="1" x14ac:dyDescent="0.35">
      <c r="I93" s="80" t="s">
        <v>171</v>
      </c>
      <c r="J93" s="19"/>
      <c r="K93" s="19"/>
      <c r="L93" s="19"/>
    </row>
    <row r="94" spans="9:12" ht="14.5" customHeight="1" x14ac:dyDescent="0.35">
      <c r="I94" t="s">
        <v>103</v>
      </c>
      <c r="J94" s="12">
        <f>J37</f>
        <v>0</v>
      </c>
      <c r="K94" s="12">
        <f>K37</f>
        <v>0</v>
      </c>
      <c r="L94" s="12"/>
    </row>
    <row r="95" spans="9:12" ht="14.5" customHeight="1" x14ac:dyDescent="0.35">
      <c r="I95" t="s">
        <v>172</v>
      </c>
      <c r="J95" s="12">
        <f>MAX(0,J94)</f>
        <v>0</v>
      </c>
      <c r="K95" s="12">
        <f>MAX(0,K94)</f>
        <v>0</v>
      </c>
      <c r="L95" s="12"/>
    </row>
    <row r="96" spans="9:12" ht="14.5" customHeight="1" x14ac:dyDescent="0.35">
      <c r="I96" t="s">
        <v>173</v>
      </c>
      <c r="J96" s="12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>0</v>
      </c>
      <c r="K96" s="12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>0</v>
      </c>
      <c r="L96" s="12"/>
    </row>
    <row r="97" spans="9:12" ht="14.5" customHeight="1" x14ac:dyDescent="0.35">
      <c r="I97" s="13" t="s">
        <v>174</v>
      </c>
      <c r="J97" s="19">
        <f>J96</f>
        <v>0</v>
      </c>
      <c r="K97" s="19">
        <f>K96</f>
        <v>0</v>
      </c>
      <c r="L97" s="19">
        <f>J97-K97</f>
        <v>0</v>
      </c>
    </row>
    <row r="98" spans="9:12" ht="14.5" customHeight="1" x14ac:dyDescent="0.35">
      <c r="J98" s="12"/>
      <c r="K98" s="12"/>
      <c r="L98" s="12"/>
    </row>
    <row r="99" spans="9:12" ht="14.5" customHeight="1" x14ac:dyDescent="0.35">
      <c r="I99" s="80" t="s">
        <v>175</v>
      </c>
      <c r="J99" s="19"/>
      <c r="K99" s="19"/>
      <c r="L99" s="19"/>
    </row>
    <row r="100" spans="9:12" ht="14.5" customHeight="1" x14ac:dyDescent="0.35">
      <c r="I100" t="s">
        <v>176</v>
      </c>
      <c r="J100" s="12">
        <f>J31+J30</f>
        <v>0</v>
      </c>
      <c r="K100" s="12">
        <f>K31+K30</f>
        <v>0</v>
      </c>
      <c r="L100" s="12"/>
    </row>
    <row r="101" spans="9:12" ht="14.5" customHeight="1" x14ac:dyDescent="0.35">
      <c r="I101" t="s">
        <v>177</v>
      </c>
      <c r="J101" s="12">
        <f>J33</f>
        <v>0</v>
      </c>
      <c r="K101" s="12">
        <f>K33</f>
        <v>0</v>
      </c>
      <c r="L101" s="12"/>
    </row>
    <row r="102" spans="9:12" ht="14.5" customHeight="1" x14ac:dyDescent="0.35">
      <c r="I102" t="s">
        <v>178</v>
      </c>
      <c r="J102" s="12">
        <f>J95</f>
        <v>0</v>
      </c>
      <c r="K102" s="12">
        <f>K95</f>
        <v>0</v>
      </c>
      <c r="L102" s="12"/>
    </row>
    <row r="103" spans="9:12" ht="14.5" customHeight="1" x14ac:dyDescent="0.35">
      <c r="I103" t="s">
        <v>179</v>
      </c>
      <c r="J103" s="12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>0</v>
      </c>
      <c r="K103" s="12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>0</v>
      </c>
      <c r="L103" s="12"/>
    </row>
    <row r="104" spans="9:12" ht="14.5" customHeight="1" x14ac:dyDescent="0.35">
      <c r="I104" t="s">
        <v>180</v>
      </c>
      <c r="J104" s="12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>0</v>
      </c>
      <c r="K104" s="12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>0</v>
      </c>
      <c r="L104" s="12"/>
    </row>
    <row r="105" spans="9:12" ht="14.5" customHeight="1" x14ac:dyDescent="0.35">
      <c r="I105" t="s">
        <v>181</v>
      </c>
      <c r="J105" s="12">
        <f>J103-J104</f>
        <v>0</v>
      </c>
      <c r="K105" s="12">
        <f>K103-K104</f>
        <v>0</v>
      </c>
      <c r="L105" s="12"/>
    </row>
    <row r="106" spans="9:12" ht="14.5" customHeight="1" x14ac:dyDescent="0.35">
      <c r="J106" s="12">
        <f>J33*0.25</f>
        <v>0</v>
      </c>
      <c r="K106" s="12">
        <f>K33*0.25</f>
        <v>0</v>
      </c>
      <c r="L106" s="12"/>
    </row>
    <row r="107" spans="9:12" ht="14.5" customHeight="1" x14ac:dyDescent="0.35">
      <c r="I107" s="13" t="s">
        <v>182</v>
      </c>
      <c r="J107" s="19">
        <f>J105+J106</f>
        <v>0</v>
      </c>
      <c r="K107" s="19">
        <f>K105+K106</f>
        <v>0</v>
      </c>
      <c r="L107" s="19">
        <f>J107-K107</f>
        <v>0</v>
      </c>
    </row>
    <row r="108" spans="9:12" ht="14.5" customHeight="1" x14ac:dyDescent="0.35">
      <c r="J108" s="12"/>
      <c r="K108" s="12"/>
      <c r="L108" s="12"/>
    </row>
    <row r="109" spans="9:12" ht="14.5" customHeight="1" x14ac:dyDescent="0.35">
      <c r="I109" s="80" t="s">
        <v>183</v>
      </c>
      <c r="J109" s="19"/>
      <c r="K109" s="19"/>
      <c r="L109" s="19"/>
    </row>
    <row r="110" spans="9:12" ht="14.5" customHeight="1" x14ac:dyDescent="0.35">
      <c r="I110" t="s">
        <v>184</v>
      </c>
      <c r="J110" s="12">
        <f>J38</f>
        <v>0</v>
      </c>
      <c r="K110" s="12">
        <f>K38</f>
        <v>0</v>
      </c>
      <c r="L110" s="12"/>
    </row>
    <row r="111" spans="9:12" ht="14.5" customHeight="1" x14ac:dyDescent="0.35">
      <c r="I111" t="s">
        <v>185</v>
      </c>
      <c r="J111" s="12">
        <f>SUMIFS(tblThresholds[Value], tblThresholds[Year], 2023, tblThresholds[FilingStatus], Filing_Status, tblThresholds[Item], "NIIT_Threshold")</f>
        <v>250000</v>
      </c>
      <c r="K111" s="12">
        <f>SUMIFS(tblThresholds[Value], tblThresholds[Year], 2023, tblThresholds[FilingStatus], Filing_Status, tblThresholds[Item], "NIIT_Threshold")</f>
        <v>250000</v>
      </c>
      <c r="L111" s="12"/>
    </row>
    <row r="112" spans="9:12" ht="14.5" customHeight="1" x14ac:dyDescent="0.35">
      <c r="I112" t="s">
        <v>186</v>
      </c>
      <c r="J112" s="12">
        <f>MAX(0,J39)</f>
        <v>0</v>
      </c>
      <c r="K112" s="12">
        <f>MAX(0,K39)</f>
        <v>0</v>
      </c>
      <c r="L112" s="12"/>
    </row>
    <row r="113" spans="9:12" ht="14.5" customHeight="1" x14ac:dyDescent="0.35">
      <c r="I113" t="s">
        <v>187</v>
      </c>
      <c r="J113" s="12">
        <f>MAX(0,J110-J111)</f>
        <v>0</v>
      </c>
      <c r="K113" s="12">
        <f>MAX(0,K110-K111)</f>
        <v>0</v>
      </c>
      <c r="L113" s="12"/>
    </row>
    <row r="114" spans="9:12" ht="14.5" customHeight="1" x14ac:dyDescent="0.35">
      <c r="I114" s="13" t="s">
        <v>188</v>
      </c>
      <c r="J114" s="19">
        <f>MIN(J112,J113)*SUMIFS(tblThresholds[Value], tblThresholds[Year], 2023, tblThresholds[FilingStatus], Filing_Status, tblThresholds[Item], "NIIT_Rate")</f>
        <v>0</v>
      </c>
      <c r="K114" s="19">
        <f>MIN(K112,K113)*SUMIFS(tblThresholds[Value], tblThresholds[Year], 2023, tblThresholds[FilingStatus], Filing_Status, tblThresholds[Item], "NIIT_Rate")</f>
        <v>0</v>
      </c>
      <c r="L114" s="19">
        <f>J114-K114</f>
        <v>0</v>
      </c>
    </row>
    <row r="115" spans="9:12" ht="14.5" customHeight="1" x14ac:dyDescent="0.35">
      <c r="J115" s="12"/>
      <c r="K115" s="12"/>
      <c r="L115" s="12"/>
    </row>
    <row r="116" spans="9:12" ht="14.5" customHeight="1" x14ac:dyDescent="0.35">
      <c r="I116" s="80" t="s">
        <v>189</v>
      </c>
      <c r="J116" s="19"/>
      <c r="K116" s="19"/>
      <c r="L116" s="19"/>
    </row>
    <row r="117" spans="9:12" ht="14.5" customHeight="1" x14ac:dyDescent="0.35">
      <c r="I117" t="s">
        <v>190</v>
      </c>
      <c r="J117" s="12">
        <f>J40</f>
        <v>0</v>
      </c>
      <c r="K117" s="12">
        <f>K40</f>
        <v>0</v>
      </c>
      <c r="L117" s="12"/>
    </row>
    <row r="118" spans="9:12" ht="14.5" customHeight="1" x14ac:dyDescent="0.35">
      <c r="I118" t="s">
        <v>191</v>
      </c>
      <c r="J118" s="12">
        <f>MAX(0,J117)*0.2</f>
        <v>0</v>
      </c>
      <c r="K118" s="12">
        <f>MAX(0,K117)*0.2</f>
        <v>0</v>
      </c>
      <c r="L118" s="12"/>
    </row>
    <row r="119" spans="9:12" ht="14.5" customHeight="1" x14ac:dyDescent="0.35">
      <c r="I119" t="s">
        <v>192</v>
      </c>
      <c r="J119" s="12">
        <f>MAX(0,J41)*0.2</f>
        <v>0</v>
      </c>
      <c r="K119" s="12">
        <f>MAX(0,K41)*0.2</f>
        <v>0</v>
      </c>
      <c r="L119" s="12"/>
    </row>
    <row r="120" spans="9:12" ht="14.5" customHeight="1" x14ac:dyDescent="0.35">
      <c r="I120" t="s">
        <v>193</v>
      </c>
      <c r="J120" s="12">
        <f>MAX(J23*0.5, J23*0.25+J44*0.025)</f>
        <v>0</v>
      </c>
      <c r="K120" s="12">
        <f>MAX(K23*0.5, K23*0.25+K44*0.025)</f>
        <v>0</v>
      </c>
      <c r="L120" s="12"/>
    </row>
    <row r="121" spans="9:12" ht="14.5" customHeight="1" x14ac:dyDescent="0.35">
      <c r="I121" t="s">
        <v>194</v>
      </c>
      <c r="J121" s="12" t="str">
        <f>IF(J41&gt;SUMIFS(tblThresholds[Value], tblThresholds[Year], 2023, tblThresholds[FilingStatus], Filing_Status, tblThresholds[Item], "QBI_Threshold_Start"),"YES","NO")</f>
        <v>NO</v>
      </c>
      <c r="K121" s="12" t="str">
        <f>IF(K41&gt;SUMIFS(tblThresholds[Value], tblThresholds[Year], 2023, tblThresholds[FilingStatus], Filing_Status, tblThresholds[Item], "QBI_Threshold_Start"),"YES","NO")</f>
        <v>NO</v>
      </c>
      <c r="L121" s="12"/>
    </row>
    <row r="122" spans="9:12" ht="14.5" customHeight="1" x14ac:dyDescent="0.35">
      <c r="I122" s="13" t="s">
        <v>195</v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>0</v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>0</v>
      </c>
      <c r="L122" s="19">
        <f>K122-J122</f>
        <v>0</v>
      </c>
    </row>
    <row r="123" spans="9:12" ht="14.5" customHeight="1" x14ac:dyDescent="0.35">
      <c r="J123" s="12"/>
      <c r="K123" s="12"/>
      <c r="L123" s="12"/>
    </row>
    <row r="124" spans="9:12" ht="14.5" customHeight="1" x14ac:dyDescent="0.35">
      <c r="I124" s="80" t="s">
        <v>196</v>
      </c>
      <c r="J124" s="19"/>
      <c r="K124" s="19"/>
      <c r="L124" s="19"/>
    </row>
    <row r="125" spans="9:12" ht="14.5" customHeight="1" x14ac:dyDescent="0.35">
      <c r="I125" t="s">
        <v>100</v>
      </c>
      <c r="J125" s="12">
        <f>K6+K8+K10+K11+K12</f>
        <v>0</v>
      </c>
      <c r="K125" s="12">
        <f>P13</f>
        <v>0</v>
      </c>
      <c r="L125" s="12" t="s">
        <v>152</v>
      </c>
    </row>
    <row r="126" spans="9:12" ht="14.5" customHeight="1" x14ac:dyDescent="0.35">
      <c r="I126" t="s">
        <v>197</v>
      </c>
      <c r="J126" s="12">
        <f>J97</f>
        <v>0</v>
      </c>
      <c r="K126" s="12">
        <f>K97</f>
        <v>0</v>
      </c>
      <c r="L126" s="12">
        <f t="shared" ref="L126:L131" si="1">J126-K126</f>
        <v>0</v>
      </c>
    </row>
    <row r="127" spans="9:12" ht="14.5" customHeight="1" x14ac:dyDescent="0.35">
      <c r="I127" t="s">
        <v>198</v>
      </c>
      <c r="J127" s="12">
        <f>J107</f>
        <v>0</v>
      </c>
      <c r="K127" s="12">
        <f>K107</f>
        <v>0</v>
      </c>
      <c r="L127" s="12">
        <f t="shared" si="1"/>
        <v>0</v>
      </c>
    </row>
    <row r="128" spans="9:12" ht="14.5" customHeight="1" x14ac:dyDescent="0.35">
      <c r="I128" t="s">
        <v>199</v>
      </c>
      <c r="J128" s="12">
        <f>J80</f>
        <v>0</v>
      </c>
      <c r="K128" s="12">
        <f>K80</f>
        <v>0</v>
      </c>
      <c r="L128" s="12">
        <f t="shared" si="1"/>
        <v>0</v>
      </c>
    </row>
    <row r="129" spans="9:12" ht="14.5" customHeight="1" x14ac:dyDescent="0.35">
      <c r="I129" t="s">
        <v>200</v>
      </c>
      <c r="J129" s="12">
        <f>J91</f>
        <v>0</v>
      </c>
      <c r="K129" s="12">
        <f>K91</f>
        <v>0</v>
      </c>
      <c r="L129" s="12">
        <f t="shared" si="1"/>
        <v>0</v>
      </c>
    </row>
    <row r="130" spans="9:12" ht="14.5" customHeight="1" x14ac:dyDescent="0.35">
      <c r="I130" t="s">
        <v>201</v>
      </c>
      <c r="J130" s="12">
        <f>J114</f>
        <v>0</v>
      </c>
      <c r="K130" s="12">
        <f>K114</f>
        <v>0</v>
      </c>
      <c r="L130" s="12">
        <f t="shared" si="1"/>
        <v>0</v>
      </c>
    </row>
    <row r="131" spans="9:12" ht="14.5" customHeight="1" x14ac:dyDescent="0.35">
      <c r="I131" t="s">
        <v>202</v>
      </c>
      <c r="J131" s="12">
        <f>-J122*0.24</f>
        <v>0</v>
      </c>
      <c r="K131" s="12">
        <f>-K122*0.24</f>
        <v>0</v>
      </c>
      <c r="L131" s="12">
        <f t="shared" si="1"/>
        <v>0</v>
      </c>
    </row>
    <row r="132" spans="9:12" ht="14.5" customHeight="1" x14ac:dyDescent="0.35">
      <c r="J132" s="12"/>
      <c r="K132" s="12"/>
      <c r="L132" s="12"/>
    </row>
    <row r="133" spans="9:12" ht="14.5" customHeight="1" x14ac:dyDescent="0.35">
      <c r="I133" s="13" t="s">
        <v>203</v>
      </c>
      <c r="J133" s="19">
        <f>SUM(J126:J131)</f>
        <v>0</v>
      </c>
      <c r="K133" s="19">
        <f>SUM(K126:K131)</f>
        <v>0</v>
      </c>
      <c r="L133" s="19">
        <f>J133-K133</f>
        <v>0</v>
      </c>
    </row>
    <row r="134" spans="9:12" ht="14.5" customHeight="1" x14ac:dyDescent="0.35">
      <c r="I134" t="s">
        <v>204</v>
      </c>
      <c r="J134" s="56">
        <f>IFERROR(J133/J125,0)</f>
        <v>0</v>
      </c>
      <c r="K134" s="56">
        <f>IFERROR(K133/K125,0)</f>
        <v>0</v>
      </c>
      <c r="L134" s="56">
        <f>J134-K134</f>
        <v>0</v>
      </c>
    </row>
    <row r="135" spans="9:12" ht="14.5" customHeight="1" x14ac:dyDescent="0.35">
      <c r="J135" s="12"/>
      <c r="K135" s="12"/>
      <c r="L135" s="12"/>
    </row>
    <row r="136" spans="9:12" ht="14.5" customHeight="1" x14ac:dyDescent="0.35">
      <c r="I136" s="13" t="s">
        <v>205</v>
      </c>
      <c r="J136" s="19">
        <f>L133</f>
        <v>0</v>
      </c>
      <c r="K136" s="19"/>
      <c r="L136" s="19"/>
    </row>
  </sheetData>
  <conditionalFormatting sqref="A6:H20">
    <cfRule type="expression" dxfId="5" priority="1">
      <formula>$H6=""</formula>
    </cfRule>
  </conditionalFormatting>
  <dataValidations count="1">
    <dataValidation type="list" allowBlank="1" showInputMessage="1" showErrorMessage="1" promptTitle="Prior Year?" prompt="Select Y for prior year baseline, or leave blank" sqref="L6:L18" xr:uid="{00000000-0002-0000-0600-000000000000}">
      <formula1>"Y"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Q136"/>
  <sheetViews>
    <sheetView workbookViewId="0">
      <selection activeCell="L53" sqref="L53"/>
    </sheetView>
  </sheetViews>
  <sheetFormatPr defaultRowHeight="14.5" x14ac:dyDescent="0.35"/>
  <cols>
    <col min="1" max="1" width="12" customWidth="1"/>
    <col min="2" max="2" width="36" customWidth="1"/>
    <col min="3" max="3" width="12" customWidth="1"/>
    <col min="4" max="5" width="14" customWidth="1"/>
    <col min="6" max="6" width="32" customWidth="1"/>
    <col min="7" max="8" width="3" customWidth="1"/>
    <col min="9" max="9" width="36" customWidth="1"/>
    <col min="10" max="10" width="16" customWidth="1"/>
    <col min="11" max="11" width="6.36328125" customWidth="1"/>
    <col min="12" max="12" width="16" customWidth="1"/>
    <col min="13" max="13" width="14" customWidth="1"/>
    <col min="14" max="14" width="16" customWidth="1"/>
    <col min="15" max="16" width="9" customWidth="1"/>
  </cols>
  <sheetData>
    <row r="1" spans="1:17" ht="18.5" customHeight="1" x14ac:dyDescent="0.35">
      <c r="A1" s="17" t="s">
        <v>481</v>
      </c>
    </row>
    <row r="2" spans="1:17" ht="14.5" customHeight="1" x14ac:dyDescent="0.35">
      <c r="A2" s="89" t="s">
        <v>1</v>
      </c>
    </row>
    <row r="3" spans="1:17" ht="14.5" customHeight="1" x14ac:dyDescent="0.35"/>
    <row r="4" spans="1:17" ht="14.5" customHeight="1" x14ac:dyDescent="0.35">
      <c r="A4" s="80" t="s">
        <v>2</v>
      </c>
    </row>
    <row r="5" spans="1:17" ht="14.5" customHeight="1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1789</v>
      </c>
      <c r="I5" s="3" t="s">
        <v>10</v>
      </c>
      <c r="J5" s="3" t="s">
        <v>11</v>
      </c>
      <c r="K5" s="3" t="s">
        <v>12</v>
      </c>
      <c r="L5" s="53" t="s">
        <v>13</v>
      </c>
      <c r="M5" s="3" t="s">
        <v>14</v>
      </c>
      <c r="N5" s="3" t="s">
        <v>15</v>
      </c>
      <c r="O5" s="3" t="s">
        <v>16</v>
      </c>
      <c r="P5" s="98" t="s">
        <v>17</v>
      </c>
      <c r="Q5" s="3" t="s">
        <v>18</v>
      </c>
    </row>
    <row r="6" spans="1:17" ht="14.5" customHeight="1" x14ac:dyDescent="0.35">
      <c r="A6" s="65" t="s">
        <v>19</v>
      </c>
      <c r="B6" s="65" t="s">
        <v>20</v>
      </c>
      <c r="C6" s="65" t="s">
        <v>21</v>
      </c>
      <c r="D6" s="93"/>
      <c r="E6" s="65"/>
      <c r="F6" s="65"/>
      <c r="G6" s="65">
        <v>8</v>
      </c>
      <c r="H6" s="65" t="s">
        <v>929</v>
      </c>
      <c r="I6" t="s">
        <v>21</v>
      </c>
      <c r="J6" t="s">
        <v>24</v>
      </c>
      <c r="K6" s="12">
        <f>SUMIFS(tblMaster_Inputs[Baseline_Amount],tblMaster_Inputs[Year],2024,tblMaster_Inputs[Primary_Line],$I6, tblMaster_Inputs[Activity_Type], "Baseline")</f>
        <v>153648</v>
      </c>
      <c r="L6" s="54"/>
      <c r="M6" s="4"/>
      <c r="N6" s="12">
        <f>SUMIFS(tblY2024_Strategies[Amount],tblY2024_Strategies[TargetLine],$I6)-SUMIFS(tblY2024_Strategies[Amount],tblY2024_Strategies[CounterLine],$I6)</f>
        <v>0</v>
      </c>
      <c r="O6" s="12">
        <f>IF(UPPER(L6)="Y",SUMIFS(tblMaster_Inputs[Baseline_Amount],tblMaster_Inputs[Year],2023,tblMaster_Inputs[Primary_Line],"1z"),IF(ISBLANK(M6),K6,M6))</f>
        <v>153648</v>
      </c>
      <c r="P6" s="12">
        <f>O6+N6</f>
        <v>153648</v>
      </c>
      <c r="Q6" s="8" t="str">
        <f t="shared" ref="Q6:Q18" si="0">HYPERLINK("#Y2024!I49", "↗ drill")</f>
        <v>↗ drill</v>
      </c>
    </row>
    <row r="7" spans="1:17" ht="14.5" customHeight="1" x14ac:dyDescent="0.35">
      <c r="A7" s="65" t="s">
        <v>25</v>
      </c>
      <c r="B7" s="65" t="s">
        <v>26</v>
      </c>
      <c r="C7" s="65">
        <v>10</v>
      </c>
      <c r="D7" s="93"/>
      <c r="E7" s="65"/>
      <c r="F7" s="65"/>
      <c r="G7" s="65"/>
      <c r="H7" s="65" t="s">
        <v>899</v>
      </c>
      <c r="I7" t="s">
        <v>28</v>
      </c>
      <c r="J7" t="s">
        <v>482</v>
      </c>
      <c r="K7" s="12">
        <f>SUMIFS(tblMaster_Inputs[Helper_Amount],tblMaster_Inputs[Year],2024,tblMaster_Inputs[Helper_Treatment],"TAX_EXEMPT")</f>
        <v>0</v>
      </c>
      <c r="L7" s="54"/>
      <c r="M7" s="4"/>
      <c r="N7">
        <f>SUMIFS(tblY2024_Strategies[Amount],tblY2024_Strategies[TargetLine],"2a",tblY2024_Strategies[Status],"Committed")</f>
        <v>0</v>
      </c>
      <c r="O7" s="12">
        <f>IF(UPPER(L7)="Y",SUMIFS(tblMaster_Inputs[Helper_Amount],tblMaster_Inputs[Year],2023,tblMaster_Inputs[Helper_Treatment],"TAX_EXEMPT"),IF(ISBLANK(M7),K7,M7))</f>
        <v>0</v>
      </c>
      <c r="P7" s="12">
        <f>O7</f>
        <v>0</v>
      </c>
      <c r="Q7" s="8" t="str">
        <f t="shared" si="0"/>
        <v>↗ drill</v>
      </c>
    </row>
    <row r="8" spans="1:17" ht="14.5" customHeight="1" x14ac:dyDescent="0.35">
      <c r="A8" s="65" t="s">
        <v>30</v>
      </c>
      <c r="B8" s="65" t="s">
        <v>31</v>
      </c>
      <c r="C8" s="65">
        <v>12</v>
      </c>
      <c r="D8" s="93"/>
      <c r="E8" s="65"/>
      <c r="F8" s="65"/>
      <c r="G8" s="65"/>
      <c r="H8" s="65" t="s">
        <v>960</v>
      </c>
      <c r="I8" t="s">
        <v>34</v>
      </c>
      <c r="J8" t="s">
        <v>35</v>
      </c>
      <c r="K8" s="12">
        <f>SUMIFS(tblMaster_Inputs[Baseline_Amount],tblMaster_Inputs[Year],2024,tblMaster_Inputs[Primary_Line],$I8, tblMaster_Inputs[Activity_Type], "Baseline")</f>
        <v>0</v>
      </c>
      <c r="L8" s="54"/>
      <c r="M8" s="4"/>
      <c r="N8" s="12">
        <f>SUMIFS(tblY2024_Strategies[Amount],tblY2024_Strategies[TargetLine],$I8)-SUMIFS(tblY2024_Strategies[Amount],tblY2024_Strategies[CounterLine],$I8)</f>
        <v>0</v>
      </c>
      <c r="O8" s="12">
        <f>IF(UPPER(L8)="Y",SUMIFS(tblMaster_Inputs[Baseline_Amount],tblMaster_Inputs[Year],2023,tblMaster_Inputs[Primary_Line],"2b"),IF(ISBLANK(M8),K8,M8))</f>
        <v>0</v>
      </c>
      <c r="P8" s="12">
        <f>O8+N8</f>
        <v>0</v>
      </c>
      <c r="Q8" s="8" t="str">
        <f t="shared" si="0"/>
        <v>↗ drill</v>
      </c>
    </row>
    <row r="9" spans="1:17" ht="14.5" customHeight="1" x14ac:dyDescent="0.35">
      <c r="A9" s="65" t="s">
        <v>36</v>
      </c>
      <c r="B9" s="65" t="s">
        <v>37</v>
      </c>
      <c r="C9" s="65">
        <v>10</v>
      </c>
      <c r="D9" s="93"/>
      <c r="E9" s="65"/>
      <c r="F9" s="65"/>
      <c r="G9" s="65"/>
      <c r="H9" s="65" t="s">
        <v>899</v>
      </c>
      <c r="I9" t="s">
        <v>40</v>
      </c>
      <c r="J9" t="s">
        <v>483</v>
      </c>
      <c r="K9" s="12">
        <f>SUMIFS(tblMaster_Inputs[Helper_Amount],tblMaster_Inputs[Year],2024,tblMaster_Inputs[Helper_Treatment],"QUAL_DIV")</f>
        <v>0</v>
      </c>
      <c r="L9" s="54"/>
      <c r="M9" s="4"/>
      <c r="N9">
        <f>SUMIFS(tblY2024_Strategies[Amount],tblY2024_Strategies[TargetLine],"3a",tblY2024_Strategies[Status],"Committed")</f>
        <v>0</v>
      </c>
      <c r="O9" s="12">
        <f>IF(UPPER(L9)="Y",SUMIFS(tblMaster_Inputs[Helper_Amount],tblMaster_Inputs[Year],2023,tblMaster_Inputs[Helper_Treatment],"QUAL_DIV"),IF(ISBLANK(M9),K9,M9))</f>
        <v>0</v>
      </c>
      <c r="P9" s="12">
        <f>O9</f>
        <v>0</v>
      </c>
      <c r="Q9" s="8" t="str">
        <f t="shared" si="0"/>
        <v>↗ drill</v>
      </c>
    </row>
    <row r="10" spans="1:17" ht="14.5" customHeight="1" x14ac:dyDescent="0.35">
      <c r="A10" s="65" t="s">
        <v>42</v>
      </c>
      <c r="B10" s="65" t="s">
        <v>43</v>
      </c>
      <c r="C10" s="65">
        <v>8</v>
      </c>
      <c r="D10" s="93"/>
      <c r="E10" s="65"/>
      <c r="F10" s="65"/>
      <c r="G10" s="65"/>
      <c r="H10" s="65" t="s">
        <v>945</v>
      </c>
      <c r="I10" t="s">
        <v>45</v>
      </c>
      <c r="J10" t="s">
        <v>412</v>
      </c>
      <c r="K10" s="12">
        <f>SUMIFS(tblMaster_Inputs[Baseline_Amount],tblMaster_Inputs[Year],2024,tblMaster_Inputs[Primary_Line],$I10, tblMaster_Inputs[Activity_Type], "Baseline")</f>
        <v>25922</v>
      </c>
      <c r="L10" s="54"/>
      <c r="M10" s="4"/>
      <c r="N10" s="12">
        <f>SUMIFS(tblY2024_Strategies[Amount],tblY2024_Strategies[TargetLine],$I10)-SUMIFS(tblY2024_Strategies[Amount],tblY2024_Strategies[CounterLine],$I10)</f>
        <v>0</v>
      </c>
      <c r="O10" s="12">
        <f>IF(UPPER(L10)="Y",SUMIFS(tblMaster_Inputs[Baseline_Amount],tblMaster_Inputs[Year],2023,tblMaster_Inputs[Primary_Line],"3b"),IF(ISBLANK(M10),K10,M10))</f>
        <v>25922</v>
      </c>
      <c r="P10" s="12">
        <f>O10+N10</f>
        <v>25922</v>
      </c>
      <c r="Q10" s="8" t="str">
        <f t="shared" si="0"/>
        <v>↗ drill</v>
      </c>
    </row>
    <row r="11" spans="1:17" ht="14.5" customHeight="1" x14ac:dyDescent="0.35">
      <c r="A11" s="65" t="s">
        <v>47</v>
      </c>
      <c r="B11" s="65" t="s">
        <v>48</v>
      </c>
      <c r="C11" s="65" t="s">
        <v>21</v>
      </c>
      <c r="D11" s="93"/>
      <c r="E11" s="65"/>
      <c r="F11" s="65"/>
      <c r="G11" s="65"/>
      <c r="H11" s="65" t="s">
        <v>1790</v>
      </c>
      <c r="I11">
        <v>7</v>
      </c>
      <c r="J11" t="s">
        <v>51</v>
      </c>
      <c r="K11" s="12">
        <f>SUMIFS(tblMaster_Inputs[Baseline_Amount],tblMaster_Inputs[Year],2024,tblMaster_Inputs[Primary_Line],$I11, tblMaster_Inputs[Activity_Type], "Baseline")</f>
        <v>14487</v>
      </c>
      <c r="L11" s="54"/>
      <c r="M11" s="4"/>
      <c r="N11" s="12">
        <f>SUMIFS(tblY2024_Strategies[Amount],tblY2024_Strategies[TargetLine],$I11)-SUMIFS(tblY2024_Strategies[Amount],tblY2024_Strategies[CounterLine],$I11)</f>
        <v>0</v>
      </c>
      <c r="O11" s="12">
        <f>IF(UPPER(L11)="Y",SUMIFS(tblMaster_Inputs[Baseline_Amount],tblMaster_Inputs[Year],2023,tblMaster_Inputs[Primary_Line],"7"),IF(ISBLANK(M11),K11,M11))</f>
        <v>14487</v>
      </c>
      <c r="P11" s="12">
        <f>O11+N11</f>
        <v>14487</v>
      </c>
      <c r="Q11" s="8" t="str">
        <f t="shared" si="0"/>
        <v>↗ drill</v>
      </c>
    </row>
    <row r="12" spans="1:17" ht="14.5" customHeight="1" x14ac:dyDescent="0.35">
      <c r="A12" s="65" t="s">
        <v>52</v>
      </c>
      <c r="B12" s="65" t="s">
        <v>53</v>
      </c>
      <c r="C12" s="65">
        <v>8</v>
      </c>
      <c r="D12" s="93"/>
      <c r="E12" s="65"/>
      <c r="F12" s="65"/>
      <c r="G12" s="65"/>
      <c r="H12" s="65" t="s">
        <v>905</v>
      </c>
      <c r="I12">
        <v>8</v>
      </c>
      <c r="J12" t="s">
        <v>484</v>
      </c>
      <c r="K12" s="12">
        <f>SUMIFS(tblMaster_Inputs[Baseline_Amount],tblMaster_Inputs[Year],2024,tblMaster_Inputs[Primary_Line],$I12, tblMaster_Inputs[Activity_Type], "Baseline")</f>
        <v>-100766</v>
      </c>
      <c r="L12" s="54"/>
      <c r="M12" s="4"/>
      <c r="N12" s="12">
        <f>SUMIFS(tblY2024_Strategies[Amount],tblY2024_Strategies[TargetLine],$I12)-SUMIFS(tblY2024_Strategies[Amount],tblY2024_Strategies[CounterLine],$I12)</f>
        <v>0</v>
      </c>
      <c r="O12" s="12">
        <f>IF(UPPER(L12)="Y",SUMIFS(tblMaster_Inputs[Baseline_Amount],tblMaster_Inputs[Year],2023,tblMaster_Inputs[Primary_Line],"8"),IF(ISBLANK(M12),K12,M12))</f>
        <v>-100766</v>
      </c>
      <c r="P12" s="12">
        <f>O12+N12</f>
        <v>-100766</v>
      </c>
      <c r="Q12" s="8" t="str">
        <f t="shared" si="0"/>
        <v>↗ drill</v>
      </c>
    </row>
    <row r="13" spans="1:17" ht="14.5" customHeight="1" x14ac:dyDescent="0.35">
      <c r="A13" s="65" t="s">
        <v>57</v>
      </c>
      <c r="B13" s="65" t="s">
        <v>58</v>
      </c>
      <c r="C13" s="65">
        <v>8</v>
      </c>
      <c r="D13" s="93"/>
      <c r="E13" s="65"/>
      <c r="F13" s="65"/>
      <c r="G13" s="65"/>
      <c r="H13" s="65" t="s">
        <v>909</v>
      </c>
      <c r="I13">
        <v>9</v>
      </c>
      <c r="J13" t="s">
        <v>61</v>
      </c>
      <c r="K13" s="12">
        <f>K6+K8+K10+K11+K12</f>
        <v>93291</v>
      </c>
      <c r="L13" s="54"/>
      <c r="M13" s="4"/>
      <c r="N13" s="12">
        <f>N6+N8+N10+N11+N12</f>
        <v>0</v>
      </c>
      <c r="O13" s="12">
        <f>O6+O8+O10+O11+O12</f>
        <v>93291</v>
      </c>
      <c r="P13" s="12">
        <f>P6+P8+P10+P11+P12</f>
        <v>93291</v>
      </c>
      <c r="Q13" s="8" t="str">
        <f t="shared" si="0"/>
        <v>↗ drill</v>
      </c>
    </row>
    <row r="14" spans="1:17" ht="14.5" customHeight="1" x14ac:dyDescent="0.35">
      <c r="A14" s="65" t="s">
        <v>62</v>
      </c>
      <c r="B14" s="65" t="s">
        <v>63</v>
      </c>
      <c r="C14" s="65">
        <v>8</v>
      </c>
      <c r="D14" s="93"/>
      <c r="E14" s="65"/>
      <c r="F14" s="65" t="s">
        <v>1792</v>
      </c>
      <c r="G14" s="65" t="s">
        <v>21</v>
      </c>
      <c r="H14" s="65" t="s">
        <v>914</v>
      </c>
      <c r="I14">
        <v>10</v>
      </c>
      <c r="J14" t="s">
        <v>66</v>
      </c>
      <c r="K14" s="12">
        <f>SUMIFS(tblMaster_Inputs[Baseline_Amount],tblMaster_Inputs[Year],2024,tblMaster_Inputs[Primary_Line],$I14, tblMaster_Inputs[Activity_Type], "Baseline")</f>
        <v>0</v>
      </c>
      <c r="L14" s="54"/>
      <c r="M14" s="4"/>
      <c r="N14" s="12">
        <f>SUMIFS(tblY2024_Strategies[Amount],tblY2024_Strategies[TargetLine],$I14)-SUMIFS(tblY2024_Strategies[Amount],tblY2024_Strategies[CounterLine],$I14)</f>
        <v>0</v>
      </c>
      <c r="O14" s="12">
        <f>IF(UPPER(L14)="Y",SUMIFS(tblMaster_Inputs[Baseline_Amount],tblMaster_Inputs[Year],2023,tblMaster_Inputs[Primary_Line],"10"),IF(ISBLANK(M14),K14,M14))</f>
        <v>0</v>
      </c>
      <c r="P14" s="12">
        <f>O14+N14</f>
        <v>0</v>
      </c>
      <c r="Q14" s="8" t="str">
        <f t="shared" si="0"/>
        <v>↗ drill</v>
      </c>
    </row>
    <row r="15" spans="1:17" ht="14.5" customHeight="1" x14ac:dyDescent="0.35">
      <c r="A15" s="65" t="s">
        <v>67</v>
      </c>
      <c r="B15" s="65" t="s">
        <v>68</v>
      </c>
      <c r="C15" s="65">
        <v>8</v>
      </c>
      <c r="D15" s="93"/>
      <c r="E15" s="65"/>
      <c r="F15" s="65"/>
      <c r="G15" s="65" t="s">
        <v>21</v>
      </c>
      <c r="H15" s="65" t="s">
        <v>923</v>
      </c>
      <c r="I15">
        <v>11</v>
      </c>
      <c r="J15" t="s">
        <v>71</v>
      </c>
      <c r="K15" s="12">
        <f>K13+K14</f>
        <v>93291</v>
      </c>
      <c r="L15" s="54"/>
      <c r="M15" s="4"/>
      <c r="N15" s="12">
        <f>N13+N14</f>
        <v>0</v>
      </c>
      <c r="O15" s="12">
        <f>O13+O14</f>
        <v>93291</v>
      </c>
      <c r="P15" s="12">
        <f>P13+P14</f>
        <v>93291</v>
      </c>
      <c r="Q15" s="8" t="str">
        <f t="shared" si="0"/>
        <v>↗ drill</v>
      </c>
    </row>
    <row r="16" spans="1:17" ht="14.5" customHeight="1" x14ac:dyDescent="0.35">
      <c r="A16" s="65" t="s">
        <v>72</v>
      </c>
      <c r="B16" s="65" t="s">
        <v>73</v>
      </c>
      <c r="C16" s="65">
        <v>7</v>
      </c>
      <c r="D16" s="93"/>
      <c r="E16" s="65"/>
      <c r="F16" s="65"/>
      <c r="G16" s="65"/>
      <c r="H16" s="65" t="s">
        <v>1791</v>
      </c>
      <c r="I16">
        <v>12</v>
      </c>
      <c r="J16" t="s">
        <v>76</v>
      </c>
      <c r="K16" s="12">
        <f>SUMIFS(tblMaster_Inputs[Baseline_Amount],tblMaster_Inputs[Year],2024,tblMaster_Inputs[Primary_Line],$I16, tblMaster_Inputs[Activity_Type], "Baseline")</f>
        <v>0</v>
      </c>
      <c r="L16" s="54"/>
      <c r="M16" s="4"/>
      <c r="N16" s="12">
        <f>SUMIFS(tblY2024_Strategies[Amount],tblY2024_Strategies[TargetLine],$I16)-SUMIFS(tblY2024_Strategies[Amount],tblY2024_Strategies[CounterLine],$I16)</f>
        <v>0</v>
      </c>
      <c r="O16" s="12">
        <f>IF(UPPER(L16)="Y",SUMIFS(tblMaster_Inputs[Baseline_Amount],tblMaster_Inputs[Year],2023,tblMaster_Inputs[Primary_Line],"12"),IF(ISBLANK(M16),K16,M16))</f>
        <v>0</v>
      </c>
      <c r="P16" s="12">
        <f>O16+N16</f>
        <v>0</v>
      </c>
      <c r="Q16" s="8" t="str">
        <f t="shared" si="0"/>
        <v>↗ drill</v>
      </c>
    </row>
    <row r="17" spans="1:17" ht="14.5" customHeight="1" x14ac:dyDescent="0.35">
      <c r="A17" s="65" t="s">
        <v>77</v>
      </c>
      <c r="B17" s="65" t="s">
        <v>78</v>
      </c>
      <c r="C17" s="65">
        <v>8</v>
      </c>
      <c r="D17" s="93"/>
      <c r="E17" s="65"/>
      <c r="F17" s="65"/>
      <c r="G17" s="65"/>
      <c r="H17" s="65" t="s">
        <v>945</v>
      </c>
      <c r="I17">
        <v>13</v>
      </c>
      <c r="J17" t="s">
        <v>81</v>
      </c>
      <c r="K17" s="12">
        <f>SUMIFS(tblMaster_Inputs[Baseline_Amount],tblMaster_Inputs[Year],2024,tblMaster_Inputs[Primary_Line],$I17, tblMaster_Inputs[Activity_Type], "Baseline")</f>
        <v>0</v>
      </c>
      <c r="L17" s="54"/>
      <c r="M17" s="4"/>
      <c r="N17" s="12">
        <f>SUMIFS(tblY2024_Strategies[Amount],tblY2024_Strategies[TargetLine],$I17)-SUMIFS(tblY2024_Strategies[Amount],tblY2024_Strategies[CounterLine],$I17)</f>
        <v>0</v>
      </c>
      <c r="O17" s="12">
        <f>IF(UPPER(L17)="Y",SUMIFS(tblMaster_Inputs[Baseline_Amount],tblMaster_Inputs[Year],2023,tblMaster_Inputs[Primary_Line],"13"),IF(ISBLANK(M17),K17,M17))</f>
        <v>0</v>
      </c>
      <c r="P17" s="12">
        <f>O17+N17</f>
        <v>0</v>
      </c>
      <c r="Q17" s="8" t="str">
        <f t="shared" si="0"/>
        <v>↗ drill</v>
      </c>
    </row>
    <row r="18" spans="1:17" ht="14.5" customHeight="1" x14ac:dyDescent="0.35">
      <c r="A18" s="65" t="s">
        <v>82</v>
      </c>
      <c r="B18" s="65" t="s">
        <v>83</v>
      </c>
      <c r="C18" s="65">
        <v>13</v>
      </c>
      <c r="D18" s="93"/>
      <c r="E18" s="65"/>
      <c r="F18" s="65"/>
      <c r="G18" s="65"/>
      <c r="H18" s="65"/>
      <c r="I18">
        <v>15</v>
      </c>
      <c r="J18" t="s">
        <v>86</v>
      </c>
      <c r="K18" s="12">
        <f>K15+K16+K17</f>
        <v>93291</v>
      </c>
      <c r="L18" s="54"/>
      <c r="M18" s="4"/>
      <c r="N18" s="12">
        <f>N15+N16+N17</f>
        <v>0</v>
      </c>
      <c r="O18" s="12">
        <f>O15+O16+O17</f>
        <v>93291</v>
      </c>
      <c r="P18" s="12">
        <f>P15+P16+P17</f>
        <v>93291</v>
      </c>
      <c r="Q18" s="8" t="str">
        <f t="shared" si="0"/>
        <v>↗ drill</v>
      </c>
    </row>
    <row r="19" spans="1:17" ht="14.5" customHeight="1" x14ac:dyDescent="0.35">
      <c r="A19" s="65" t="s">
        <v>87</v>
      </c>
      <c r="B19" s="65" t="s">
        <v>88</v>
      </c>
      <c r="C19" s="65">
        <v>12</v>
      </c>
      <c r="D19" s="93"/>
      <c r="E19" s="65"/>
      <c r="F19" s="65"/>
      <c r="G19" s="65"/>
      <c r="H19" s="65"/>
    </row>
    <row r="20" spans="1:17" ht="14.5" customHeight="1" x14ac:dyDescent="0.35">
      <c r="A20" s="65" t="s">
        <v>90</v>
      </c>
      <c r="B20" s="65" t="s">
        <v>91</v>
      </c>
      <c r="C20" s="65">
        <v>8</v>
      </c>
      <c r="D20" s="93"/>
      <c r="E20" s="65"/>
      <c r="F20" s="65"/>
      <c r="G20" s="65"/>
      <c r="H20" s="65" t="s">
        <v>919</v>
      </c>
    </row>
    <row r="21" spans="1:17" ht="14.5" customHeight="1" x14ac:dyDescent="0.35"/>
    <row r="22" spans="1:17" ht="29" customHeight="1" x14ac:dyDescent="0.35">
      <c r="A22" s="80" t="s">
        <v>93</v>
      </c>
      <c r="I22" s="3" t="s">
        <v>11</v>
      </c>
      <c r="J22" s="3" t="s">
        <v>6</v>
      </c>
      <c r="K22" s="3" t="s">
        <v>16</v>
      </c>
      <c r="L22" s="3" t="s">
        <v>94</v>
      </c>
    </row>
    <row r="23" spans="1:17" ht="14.5" customHeight="1" x14ac:dyDescent="0.35">
      <c r="A23" s="92" t="s">
        <v>95</v>
      </c>
      <c r="B23" s="92" t="s">
        <v>96</v>
      </c>
      <c r="C23" s="92" t="s">
        <v>16</v>
      </c>
      <c r="D23" s="92" t="s">
        <v>97</v>
      </c>
      <c r="E23" s="92" t="s">
        <v>98</v>
      </c>
      <c r="I23" t="s">
        <v>485</v>
      </c>
      <c r="J23" s="12">
        <f>SUMIFS(tblMaster_Inputs[Baseline_Amount],tblMaster_Inputs[Year],2024,tblMaster_Inputs[Treatment_Profile],"W2_SCorpOwner", tblMaster_Inputs[Activity_Type], "Baseline")</f>
        <v>153648</v>
      </c>
      <c r="K23" s="12">
        <f>J23+SUMIFS(tblY2024_Strategies[Amount],tblY2024_Strategies[TargetLine],"1z")-SUMIFS(tblY2024_Strategies[Amount],tblY2024_Strategies[CounterLine],"1z")</f>
        <v>153648</v>
      </c>
      <c r="L23" s="2"/>
    </row>
    <row r="24" spans="1:17" ht="14.5" customHeight="1" x14ac:dyDescent="0.35">
      <c r="A24" t="s">
        <v>100</v>
      </c>
      <c r="B24" s="94">
        <f>K13</f>
        <v>93291</v>
      </c>
      <c r="C24" s="94">
        <f>O13</f>
        <v>93291</v>
      </c>
      <c r="D24" s="94">
        <f>P13</f>
        <v>93291</v>
      </c>
      <c r="E24" s="94">
        <f>B24-D24</f>
        <v>0</v>
      </c>
      <c r="I24" t="s">
        <v>486</v>
      </c>
      <c r="J24" s="12">
        <f>SUMIFS(tblMaster_Inputs[Baseline_Amount],tblMaster_Inputs[Year],2024,tblMaster_Inputs[Treatment_Profile],"W2_Employee", tblMaster_Inputs[Activity_Type], "Baseline")</f>
        <v>0</v>
      </c>
      <c r="K24" s="12">
        <f>J24</f>
        <v>0</v>
      </c>
      <c r="L24" s="2"/>
    </row>
    <row r="25" spans="1:17" ht="14.5" customHeight="1" x14ac:dyDescent="0.35">
      <c r="A25" t="s">
        <v>103</v>
      </c>
      <c r="B25" s="94">
        <f>K18</f>
        <v>93291</v>
      </c>
      <c r="C25" s="94">
        <f>O18</f>
        <v>93291</v>
      </c>
      <c r="D25" s="94">
        <f>P18</f>
        <v>93291</v>
      </c>
      <c r="E25" s="94">
        <f>B25-D25</f>
        <v>0</v>
      </c>
      <c r="I25" t="s">
        <v>487</v>
      </c>
      <c r="J25" s="12">
        <f>J23+J24</f>
        <v>153648</v>
      </c>
      <c r="K25" s="12">
        <f>K23+K24</f>
        <v>153648</v>
      </c>
      <c r="L25" s="2"/>
    </row>
    <row r="26" spans="1:17" ht="14.5" customHeight="1" x14ac:dyDescent="0.35">
      <c r="A26" s="13" t="s">
        <v>105</v>
      </c>
      <c r="B26" s="95">
        <f>J133</f>
        <v>32500.624</v>
      </c>
      <c r="C26" s="95">
        <f>J133</f>
        <v>32500.624</v>
      </c>
      <c r="D26" s="95">
        <f>K133</f>
        <v>32500.624</v>
      </c>
      <c r="E26" s="94">
        <f>B26-D26</f>
        <v>0</v>
      </c>
      <c r="I26" t="s">
        <v>488</v>
      </c>
      <c r="J26" s="12">
        <f>SUMIFS(tblMaster_Inputs[Baseline_Amount],tblMaster_Inputs[Year],2024,tblMaster_Inputs[Bucket],"Business Income",tblMaster_Inputs[SE_Subject],"Yes", tblMaster_Inputs[Activity_Type], "Baseline")</f>
        <v>0</v>
      </c>
      <c r="K26" s="12">
        <f>J26</f>
        <v>0</v>
      </c>
      <c r="L26" s="2"/>
    </row>
    <row r="27" spans="1:17" ht="14.5" customHeight="1" x14ac:dyDescent="0.35">
      <c r="A27" t="s">
        <v>108</v>
      </c>
      <c r="B27" s="96">
        <f>J134</f>
        <v>0.34837898618301871</v>
      </c>
      <c r="C27" s="96">
        <f>J134</f>
        <v>0.34837898618301871</v>
      </c>
      <c r="D27" s="96">
        <f>K134</f>
        <v>0.34837898618301871</v>
      </c>
      <c r="E27" s="96">
        <f>B27-D27</f>
        <v>0</v>
      </c>
      <c r="I27" t="s">
        <v>489</v>
      </c>
      <c r="J27" s="12">
        <f>SUMIFS(tblMaster_Inputs[Baseline_Amount],tblMaster_Inputs[Year],2024,tblMaster_Inputs[Bucket],"Business Income",tblMaster_Inputs[SE_Subject],"No",tblMaster_Inputs[NIIT_Class],"Active", tblMaster_Inputs[Activity_Type], "Baseline")</f>
        <v>0</v>
      </c>
      <c r="K27" s="12">
        <f>J27+SUMIFS(tblY2024_Strategies[Amount],tblY2024_Strategies[TargetLine],"8")-SUMIFS(tblY2024_Strategies[Amount],tblY2024_Strategies[CounterLine],"8")</f>
        <v>0</v>
      </c>
      <c r="L27" s="2"/>
    </row>
    <row r="28" spans="1:17" ht="14.5" customHeight="1" x14ac:dyDescent="0.35">
      <c r="A28" t="s">
        <v>111</v>
      </c>
      <c r="B28" s="97">
        <f>COUNTIF(tblY2024_Strategies[Status],"Committed")</f>
        <v>0</v>
      </c>
      <c r="C28" s="97" t="s">
        <v>112</v>
      </c>
      <c r="D28" s="94">
        <f>SUMIF(tblY2024_Strategies[Status],"Committed",tblY2024_Strategies[Amount])</f>
        <v>0</v>
      </c>
      <c r="E28" s="97"/>
      <c r="I28" t="s">
        <v>490</v>
      </c>
      <c r="J28" s="12">
        <f>SUMIFS(tblMaster_Inputs[Baseline_Amount],tblMaster_Inputs[Year],2024,tblMaster_Inputs[Bucket],"Business Income",tblMaster_Inputs[NIIT_Class],"Passive", tblMaster_Inputs[Activity_Type], "Baseline")</f>
        <v>-100766</v>
      </c>
      <c r="K28" s="12">
        <f>J28</f>
        <v>-100766</v>
      </c>
      <c r="L28" s="2"/>
    </row>
    <row r="29" spans="1:17" ht="14.5" customHeight="1" x14ac:dyDescent="0.35">
      <c r="I29" t="s">
        <v>461</v>
      </c>
      <c r="J29" s="12">
        <f>SUMIFS(tblMaster_Inputs[Helper_Amount],tblMaster_Inputs[Year],2024,tblMaster_Inputs[Helper_Treatment],"TAX_EXEMPT")</f>
        <v>0</v>
      </c>
      <c r="K29" s="12">
        <f>J29+SUMIFS(tblY2024_Strategies[Amount],tblY2024_Strategies[TargetLine],"2a")-SUMIFS(tblY2024_Strategies[Amount],tblY2024_Strategies[CounterLine],"2a")</f>
        <v>0</v>
      </c>
      <c r="L29" s="2"/>
    </row>
    <row r="30" spans="1:17" ht="14.5" customHeight="1" x14ac:dyDescent="0.35">
      <c r="I30" t="s">
        <v>491</v>
      </c>
      <c r="J30" s="12">
        <f>SUMIFS(tblMaster_Inputs[Helper_Amount],tblMaster_Inputs[Year],2024,tblMaster_Inputs[Helper_Treatment],"QUAL_DIV", tblMaster_Inputs[Activity_Type], "Baseline")</f>
        <v>0</v>
      </c>
      <c r="K30" s="12">
        <f>J30</f>
        <v>0</v>
      </c>
      <c r="L30" s="2"/>
    </row>
    <row r="31" spans="1:17" ht="14.5" customHeight="1" x14ac:dyDescent="0.35">
      <c r="I31" t="s">
        <v>492</v>
      </c>
      <c r="J31" s="12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>14487</v>
      </c>
      <c r="K31" s="12">
        <f>J31+SUMIFS(tblY2024_Strategies[Amount],tblY2024_Strategies[TargetLine],"7")-SUMIFS(tblY2024_Strategies[Amount],tblY2024_Strategies[CounterLine],"7")</f>
        <v>14487</v>
      </c>
      <c r="L31" s="2"/>
    </row>
    <row r="32" spans="1:17" ht="14.5" customHeight="1" x14ac:dyDescent="0.35">
      <c r="I32" t="s">
        <v>493</v>
      </c>
      <c r="J32" s="12">
        <f>SUMIFS(tblMaster_Inputs[Baseline_Amount],tblMaster_Inputs[Year],2024,tblMaster_Inputs[Treatment_Profile],"STCG_Stock", tblMaster_Inputs[Activity_Type], "Baseline")</f>
        <v>0</v>
      </c>
      <c r="K32" s="12">
        <f>J32</f>
        <v>0</v>
      </c>
      <c r="L32" s="2"/>
    </row>
    <row r="33" spans="9:12" ht="14.5" customHeight="1" x14ac:dyDescent="0.35">
      <c r="I33" t="s">
        <v>494</v>
      </c>
      <c r="J33" s="12">
        <f>SUMIFS(tblMaster_Inputs[Helper_Amount],tblMaster_Inputs[Year],2024,tblMaster_Inputs[Helper_Treatment],"SEC1250", tblMaster_Inputs[Activity_Type], "Baseline")</f>
        <v>0</v>
      </c>
      <c r="K33" s="12">
        <f>J33</f>
        <v>0</v>
      </c>
      <c r="L33" s="2"/>
    </row>
    <row r="34" spans="9:12" ht="14.5" customHeight="1" x14ac:dyDescent="0.35"/>
    <row r="35" spans="9:12" ht="14.5" customHeight="1" x14ac:dyDescent="0.35"/>
    <row r="36" spans="9:12" ht="29" customHeight="1" x14ac:dyDescent="0.35">
      <c r="I36" s="3" t="s">
        <v>11</v>
      </c>
      <c r="J36" s="3" t="s">
        <v>469</v>
      </c>
      <c r="K36" s="3" t="s">
        <v>16</v>
      </c>
      <c r="L36" s="3" t="s">
        <v>94</v>
      </c>
    </row>
    <row r="37" spans="9:12" ht="14.5" customHeight="1" x14ac:dyDescent="0.35">
      <c r="I37" t="s">
        <v>495</v>
      </c>
      <c r="J37" s="12">
        <f>K18-J31-J30-J33</f>
        <v>78804</v>
      </c>
      <c r="K37" s="12">
        <f>P18-K31-K30-K33</f>
        <v>78804</v>
      </c>
      <c r="L37" s="2"/>
    </row>
    <row r="38" spans="9:12" ht="14.5" customHeight="1" x14ac:dyDescent="0.35">
      <c r="I38" t="s">
        <v>496</v>
      </c>
      <c r="J38" s="12">
        <f>K15+J29</f>
        <v>93291</v>
      </c>
      <c r="K38" s="12">
        <f>P15+K29</f>
        <v>93291</v>
      </c>
      <c r="L38" s="2"/>
    </row>
    <row r="39" spans="9:12" ht="14.5" customHeight="1" x14ac:dyDescent="0.35">
      <c r="I39" t="s">
        <v>497</v>
      </c>
      <c r="J39" s="12">
        <f>K8+K10+K11+J28</f>
        <v>-60357</v>
      </c>
      <c r="K39" s="12">
        <f>P8+P10+P11+K28</f>
        <v>-60357</v>
      </c>
      <c r="L39" s="2"/>
    </row>
    <row r="40" spans="9:12" ht="14.5" customHeight="1" x14ac:dyDescent="0.35">
      <c r="I40" t="s">
        <v>498</v>
      </c>
      <c r="J40" s="12">
        <f>J26+J27</f>
        <v>0</v>
      </c>
      <c r="K40" s="12">
        <f>K26+K27</f>
        <v>0</v>
      </c>
      <c r="L40" s="2"/>
    </row>
    <row r="41" spans="9:12" ht="14.5" customHeight="1" x14ac:dyDescent="0.35">
      <c r="I41" t="s">
        <v>499</v>
      </c>
      <c r="J41" s="12">
        <f>K15+K16</f>
        <v>93291</v>
      </c>
      <c r="K41" s="12">
        <f>P15+P16</f>
        <v>93291</v>
      </c>
      <c r="L41" s="2"/>
    </row>
    <row r="42" spans="9:12" ht="14.5" customHeight="1" x14ac:dyDescent="0.35">
      <c r="I42" t="s">
        <v>500</v>
      </c>
      <c r="J42" s="12">
        <f>MIN(0,J26+J27+J28)</f>
        <v>-100766</v>
      </c>
      <c r="K42" s="12">
        <f>MIN(0,K26+K27+K28)</f>
        <v>-100766</v>
      </c>
      <c r="L42" s="2"/>
    </row>
    <row r="43" spans="9:12" ht="14.5" customHeight="1" x14ac:dyDescent="0.35">
      <c r="I43" t="s">
        <v>479</v>
      </c>
      <c r="J43" s="12">
        <f>J26</f>
        <v>0</v>
      </c>
      <c r="K43" s="12">
        <f>K26</f>
        <v>0</v>
      </c>
      <c r="L43" s="2"/>
    </row>
    <row r="44" spans="9:12" ht="14.5" customHeight="1" x14ac:dyDescent="0.35">
      <c r="J44" s="55"/>
      <c r="K44" s="55">
        <f>J44</f>
        <v>0</v>
      </c>
      <c r="L44" s="2"/>
    </row>
    <row r="45" spans="9:12" ht="14.5" customHeight="1" x14ac:dyDescent="0.35">
      <c r="J45" s="69" t="b">
        <f>IF(Control_Panel!C21="Yes",TRUE,FALSE)</f>
        <v>0</v>
      </c>
      <c r="K45" s="4" t="b">
        <f>J45</f>
        <v>0</v>
      </c>
      <c r="L45" s="2"/>
    </row>
    <row r="46" spans="9:12" ht="14.5" customHeight="1" x14ac:dyDescent="0.35">
      <c r="J46" s="69">
        <f ca="1">Carryovers!F52</f>
        <v>0</v>
      </c>
      <c r="K46" s="55">
        <f ca="1">J46</f>
        <v>0</v>
      </c>
      <c r="L46" s="2"/>
    </row>
    <row r="47" spans="9:12" ht="14.5" customHeight="1" x14ac:dyDescent="0.35"/>
    <row r="48" spans="9:12" ht="14.5" customHeight="1" x14ac:dyDescent="0.35"/>
    <row r="49" spans="9:16" ht="14.5" customHeight="1" x14ac:dyDescent="0.35">
      <c r="I49" s="9" t="s">
        <v>21</v>
      </c>
      <c r="L49" s="8" t="str">
        <f>HYPERLINK("#Master_Inputs!A1","✏ open Master_Inputs")</f>
        <v>✏ open Master_Inputs</v>
      </c>
    </row>
    <row r="50" spans="9:16" ht="14.5" customHeight="1" x14ac:dyDescent="0.35"/>
    <row r="51" spans="9:16" ht="29" customHeight="1" x14ac:dyDescent="0.35">
      <c r="I51" s="3"/>
      <c r="J51" s="3"/>
      <c r="K51" s="3"/>
      <c r="L51" s="3"/>
      <c r="M51" s="3"/>
      <c r="N51" s="3"/>
      <c r="O51" s="3"/>
      <c r="P51" s="3"/>
    </row>
    <row r="52" spans="9:16" ht="14.5" customHeight="1" x14ac:dyDescent="0.35"/>
    <row r="53" spans="9:16" ht="14.5" customHeight="1" x14ac:dyDescent="0.35"/>
    <row r="54" spans="9:16" ht="14.5" customHeight="1" x14ac:dyDescent="0.35"/>
    <row r="55" spans="9:16" ht="14.5" customHeight="1" x14ac:dyDescent="0.35"/>
    <row r="56" spans="9:16" ht="14.5" customHeight="1" x14ac:dyDescent="0.35"/>
    <row r="57" spans="9:16" ht="14.5" customHeight="1" x14ac:dyDescent="0.35"/>
    <row r="58" spans="9:16" ht="14.5" customHeight="1" x14ac:dyDescent="0.35"/>
    <row r="59" spans="9:16" ht="14.5" customHeight="1" x14ac:dyDescent="0.35"/>
    <row r="60" spans="9:16" ht="14.5" customHeight="1" x14ac:dyDescent="0.35"/>
    <row r="61" spans="9:16" ht="14.5" customHeight="1" x14ac:dyDescent="0.35"/>
    <row r="62" spans="9:16" ht="14.5" customHeight="1" x14ac:dyDescent="0.35"/>
    <row r="63" spans="9:16" ht="14.5" customHeight="1" x14ac:dyDescent="0.35"/>
    <row r="64" spans="9:16" ht="14.5" customHeight="1" x14ac:dyDescent="0.35"/>
    <row r="65" spans="9:12" ht="16" customHeight="1" thickBot="1" x14ac:dyDescent="0.4">
      <c r="I65" s="80" t="s">
        <v>151</v>
      </c>
      <c r="J65" s="48" t="s">
        <v>96</v>
      </c>
      <c r="K65" s="48" t="s">
        <v>16</v>
      </c>
      <c r="L65" s="48" t="s">
        <v>152</v>
      </c>
    </row>
    <row r="66" spans="9:12" ht="14.5" customHeight="1" x14ac:dyDescent="0.35">
      <c r="I66" t="s">
        <v>153</v>
      </c>
    </row>
    <row r="67" spans="9:12" ht="14.5" customHeight="1" x14ac:dyDescent="0.35"/>
    <row r="68" spans="9:12" ht="14.5" customHeight="1" x14ac:dyDescent="0.35">
      <c r="I68" s="80" t="s">
        <v>154</v>
      </c>
      <c r="J68" s="35"/>
      <c r="K68" s="35"/>
      <c r="L68" s="35"/>
    </row>
    <row r="69" spans="9:12" ht="14.5" customHeight="1" x14ac:dyDescent="0.35">
      <c r="I69" t="s">
        <v>155</v>
      </c>
      <c r="J69" s="19"/>
      <c r="K69" s="19"/>
      <c r="L69" s="19"/>
    </row>
    <row r="70" spans="9:12" ht="14.5" customHeight="1" x14ac:dyDescent="0.35">
      <c r="I70" t="s">
        <v>156</v>
      </c>
      <c r="J70" s="12">
        <f>J43</f>
        <v>0</v>
      </c>
      <c r="K70" s="12">
        <f>K43</f>
        <v>0</v>
      </c>
      <c r="L70" s="12"/>
    </row>
    <row r="71" spans="9:12" ht="14.5" customHeight="1" x14ac:dyDescent="0.35">
      <c r="I71" t="s">
        <v>157</v>
      </c>
      <c r="J71" s="19">
        <f>J70*SUMIFS(tblThresholds[Value], tblThresholds[Year], 2024, tblThresholds[FilingStatus], Filing_Status, tblThresholds[Item], "SE_Earnings_Factor")</f>
        <v>0</v>
      </c>
      <c r="K71" s="19">
        <f>K70*SUMIFS(tblThresholds[Value], tblThresholds[Year], 2024, tblThresholds[FilingStatus], Filing_Status, tblThresholds[Item], "SE_Earnings_Factor")</f>
        <v>0</v>
      </c>
      <c r="L71" s="19"/>
    </row>
    <row r="72" spans="9:12" ht="14.5" customHeight="1" x14ac:dyDescent="0.35">
      <c r="I72" t="s">
        <v>158</v>
      </c>
      <c r="J72" s="12">
        <f>J25</f>
        <v>153648</v>
      </c>
      <c r="K72" s="12">
        <f>K25</f>
        <v>153648</v>
      </c>
      <c r="L72" s="12"/>
    </row>
    <row r="73" spans="9:12" ht="14.5" customHeight="1" x14ac:dyDescent="0.35">
      <c r="I73" t="s">
        <v>159</v>
      </c>
      <c r="J73" s="12">
        <f>MAX(0,SUMIFS(tblThresholds[Value], tblThresholds[Year], 2024, tblThresholds[FilingStatus], Filing_Status, tblThresholds[Item], "SS_Wage_Base")-J72)</f>
        <v>22452</v>
      </c>
      <c r="K73" s="12">
        <f>MAX(0,SUMIFS(tblThresholds[Value], tblThresholds[Year], 2024, tblThresholds[FilingStatus], Filing_Status, tblThresholds[Item], "SS_Wage_Base")-K72)</f>
        <v>22452</v>
      </c>
      <c r="L73" s="12"/>
    </row>
    <row r="74" spans="9:12" ht="14.5" customHeight="1" x14ac:dyDescent="0.35">
      <c r="J74" s="38">
        <f>MIN(J71,J73)</f>
        <v>0</v>
      </c>
      <c r="K74" s="38">
        <f>MIN(K71,K73)</f>
        <v>0</v>
      </c>
      <c r="L74" s="38"/>
    </row>
    <row r="75" spans="9:12" ht="14.5" customHeight="1" x14ac:dyDescent="0.35">
      <c r="I75" t="s">
        <v>160</v>
      </c>
      <c r="J75" s="12">
        <f>J74*SUMIFS(tblThresholds[Value], tblThresholds[Year], 2024, tblThresholds[FilingStatus], Filing_Status, tblThresholds[Item], "SS_Rate_Combined")</f>
        <v>0</v>
      </c>
      <c r="K75" s="12">
        <f>K74*SUMIFS(tblThresholds[Value], tblThresholds[Year], 2024, tblThresholds[FilingStatus], Filing_Status, tblThresholds[Item], "SS_Rate_Combined")</f>
        <v>0</v>
      </c>
      <c r="L75" s="12"/>
    </row>
    <row r="76" spans="9:12" ht="15.5" customHeight="1" x14ac:dyDescent="0.35">
      <c r="I76" t="s">
        <v>161</v>
      </c>
      <c r="J76" s="51">
        <f>J71*SUMIFS(tblThresholds[Value], tblThresholds[Year], 2024, tblThresholds[FilingStatus], Filing_Status, tblThresholds[Item], "Medicare_Rate_Combined")</f>
        <v>0</v>
      </c>
      <c r="K76" s="51">
        <f>K71*SUMIFS(tblThresholds[Value], tblThresholds[Year], 2024, tblThresholds[FilingStatus], Filing_Status, tblThresholds[Item], "Medicare_Rate_Combined")</f>
        <v>0</v>
      </c>
      <c r="L76" s="51"/>
    </row>
    <row r="77" spans="9:12" ht="14.5" customHeight="1" x14ac:dyDescent="0.35">
      <c r="I77" t="s">
        <v>162</v>
      </c>
      <c r="J77" s="12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>0</v>
      </c>
      <c r="K77" s="12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>0</v>
      </c>
      <c r="L77" s="12"/>
    </row>
    <row r="78" spans="9:12" ht="14.5" customHeight="1" x14ac:dyDescent="0.35">
      <c r="J78" s="12">
        <f>-(J75+J76)/2</f>
        <v>0</v>
      </c>
      <c r="K78" s="12">
        <f>-(K75+K76)/2</f>
        <v>0</v>
      </c>
      <c r="L78" s="12"/>
    </row>
    <row r="79" spans="9:12" ht="18.5" customHeight="1" x14ac:dyDescent="0.45">
      <c r="J79" s="52"/>
      <c r="K79" s="12"/>
      <c r="L79" s="12"/>
    </row>
    <row r="80" spans="9:12" ht="14.5" customHeight="1" x14ac:dyDescent="0.35">
      <c r="I80" s="13" t="s">
        <v>163</v>
      </c>
      <c r="J80" s="19">
        <f>J75+J76+J77</f>
        <v>0</v>
      </c>
      <c r="K80" s="19">
        <f>K75+K76+K77</f>
        <v>0</v>
      </c>
      <c r="L80" s="19">
        <f>J80-K80</f>
        <v>0</v>
      </c>
    </row>
    <row r="81" spans="9:12" ht="14.5" customHeight="1" x14ac:dyDescent="0.35">
      <c r="J81" s="12"/>
      <c r="K81" s="12"/>
      <c r="L81" s="12"/>
    </row>
    <row r="82" spans="9:12" ht="14.5" customHeight="1" x14ac:dyDescent="0.35">
      <c r="I82" s="80" t="s">
        <v>164</v>
      </c>
      <c r="J82" s="19"/>
      <c r="K82" s="19"/>
      <c r="L82" s="19"/>
    </row>
    <row r="83" spans="9:12" ht="14.5" customHeight="1" x14ac:dyDescent="0.35">
      <c r="I83" t="s">
        <v>158</v>
      </c>
      <c r="J83" s="12">
        <f>J25</f>
        <v>153648</v>
      </c>
      <c r="K83" s="12">
        <f>K25</f>
        <v>153648</v>
      </c>
      <c r="L83" s="12"/>
    </row>
    <row r="84" spans="9:12" ht="14.5" customHeight="1" x14ac:dyDescent="0.35">
      <c r="I84" t="s">
        <v>165</v>
      </c>
      <c r="J84" s="12">
        <f>MIN(J83,SUMIFS(tblThresholds[Value], tblThresholds[Year], 2024, tblThresholds[FilingStatus], Filing_Status, tblThresholds[Item], "SS_Wage_Base"))*0.062</f>
        <v>9526.1759999999995</v>
      </c>
      <c r="K84" s="12">
        <f>MIN(K83,SUMIFS(tblThresholds[Value], tblThresholds[Year], 2024, tblThresholds[FilingStatus], Filing_Status, tblThresholds[Item], "SS_Wage_Base"))*0.062</f>
        <v>9526.1759999999995</v>
      </c>
      <c r="L84" s="12"/>
    </row>
    <row r="85" spans="9:12" ht="14.5" customHeight="1" x14ac:dyDescent="0.35">
      <c r="I85" t="s">
        <v>166</v>
      </c>
      <c r="J85" s="12">
        <f>J83*0.0145</f>
        <v>2227.8960000000002</v>
      </c>
      <c r="K85" s="12">
        <f>K83*0.0145</f>
        <v>2227.8960000000002</v>
      </c>
      <c r="L85" s="12"/>
    </row>
    <row r="86" spans="9:12" ht="14.5" customHeight="1" x14ac:dyDescent="0.35">
      <c r="I86" t="s">
        <v>162</v>
      </c>
      <c r="J86" s="12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>0</v>
      </c>
      <c r="K86" s="12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>0</v>
      </c>
      <c r="L86" s="12"/>
    </row>
    <row r="87" spans="9:12" ht="14.5" customHeight="1" x14ac:dyDescent="0.35">
      <c r="I87" s="13" t="s">
        <v>167</v>
      </c>
      <c r="J87" s="19">
        <f>J84+J85+J86</f>
        <v>11754.072</v>
      </c>
      <c r="K87" s="19">
        <f>K84+K85+K86</f>
        <v>11754.072</v>
      </c>
      <c r="L87" s="19">
        <f>J87-K87</f>
        <v>0</v>
      </c>
    </row>
    <row r="88" spans="9:12" ht="14.5" customHeight="1" x14ac:dyDescent="0.35">
      <c r="I88" s="13" t="s">
        <v>168</v>
      </c>
      <c r="J88" s="19">
        <f>J84</f>
        <v>9526.1759999999995</v>
      </c>
      <c r="K88" s="19">
        <f>K84</f>
        <v>9526.1759999999995</v>
      </c>
      <c r="L88" s="19">
        <f>J88-K88</f>
        <v>0</v>
      </c>
    </row>
    <row r="89" spans="9:12" ht="14.5" customHeight="1" x14ac:dyDescent="0.35">
      <c r="I89" s="13" t="s">
        <v>169</v>
      </c>
      <c r="J89" s="19">
        <f>J85</f>
        <v>2227.8960000000002</v>
      </c>
      <c r="K89" s="19">
        <f>K85</f>
        <v>2227.8960000000002</v>
      </c>
      <c r="L89" s="19">
        <f>J89-K89</f>
        <v>0</v>
      </c>
    </row>
    <row r="90" spans="9:12" ht="14.5" customHeight="1" x14ac:dyDescent="0.35">
      <c r="I90" s="13"/>
      <c r="J90" s="19"/>
      <c r="K90" s="19"/>
      <c r="L90" s="19"/>
    </row>
    <row r="91" spans="9:12" ht="14.5" customHeight="1" x14ac:dyDescent="0.35">
      <c r="I91" s="13" t="s">
        <v>170</v>
      </c>
      <c r="J91" s="19">
        <f>J87+J88+J89</f>
        <v>23508.144</v>
      </c>
      <c r="K91" s="19">
        <f>K87+K88+K89</f>
        <v>23508.144</v>
      </c>
      <c r="L91" s="19">
        <f>J91-K91</f>
        <v>0</v>
      </c>
    </row>
    <row r="92" spans="9:12" ht="14.5" customHeight="1" x14ac:dyDescent="0.35">
      <c r="J92" s="12"/>
      <c r="K92" s="12"/>
      <c r="L92" s="12"/>
    </row>
    <row r="93" spans="9:12" ht="14.5" customHeight="1" x14ac:dyDescent="0.35">
      <c r="I93" s="80" t="s">
        <v>171</v>
      </c>
      <c r="J93" s="19"/>
      <c r="K93" s="19"/>
      <c r="L93" s="19"/>
    </row>
    <row r="94" spans="9:12" ht="14.5" customHeight="1" x14ac:dyDescent="0.35">
      <c r="I94" t="s">
        <v>103</v>
      </c>
      <c r="J94" s="12">
        <f>J37</f>
        <v>78804</v>
      </c>
      <c r="K94" s="12">
        <f>K37</f>
        <v>78804</v>
      </c>
      <c r="L94" s="12"/>
    </row>
    <row r="95" spans="9:12" ht="14.5" customHeight="1" x14ac:dyDescent="0.35">
      <c r="I95" t="s">
        <v>172</v>
      </c>
      <c r="J95" s="12">
        <f>MAX(0,J94)</f>
        <v>78804</v>
      </c>
      <c r="K95" s="12">
        <f>MAX(0,K94)</f>
        <v>78804</v>
      </c>
      <c r="L95" s="12"/>
    </row>
    <row r="96" spans="9:12" ht="14.5" customHeight="1" x14ac:dyDescent="0.35">
      <c r="I96" t="s">
        <v>173</v>
      </c>
      <c r="J96" s="12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>8992.48</v>
      </c>
      <c r="K96" s="12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>8992.48</v>
      </c>
      <c r="L96" s="12"/>
    </row>
    <row r="97" spans="9:12" ht="14.5" customHeight="1" x14ac:dyDescent="0.35">
      <c r="I97" s="13" t="s">
        <v>174</v>
      </c>
      <c r="J97" s="19">
        <f>J96</f>
        <v>8992.48</v>
      </c>
      <c r="K97" s="19">
        <f>K96</f>
        <v>8992.48</v>
      </c>
      <c r="L97" s="19">
        <f>J97-K97</f>
        <v>0</v>
      </c>
    </row>
    <row r="98" spans="9:12" ht="14.5" customHeight="1" x14ac:dyDescent="0.35">
      <c r="J98" s="12"/>
      <c r="K98" s="12"/>
      <c r="L98" s="12"/>
    </row>
    <row r="99" spans="9:12" ht="14.5" customHeight="1" x14ac:dyDescent="0.35">
      <c r="I99" s="80" t="s">
        <v>175</v>
      </c>
      <c r="J99" s="19"/>
      <c r="K99" s="19"/>
      <c r="L99" s="19"/>
    </row>
    <row r="100" spans="9:12" ht="14.5" customHeight="1" x14ac:dyDescent="0.35">
      <c r="I100" t="s">
        <v>176</v>
      </c>
      <c r="J100" s="12">
        <f>J31+J30</f>
        <v>14487</v>
      </c>
      <c r="K100" s="12">
        <f>K31+K30</f>
        <v>14487</v>
      </c>
      <c r="L100" s="12"/>
    </row>
    <row r="101" spans="9:12" ht="14.5" customHeight="1" x14ac:dyDescent="0.35">
      <c r="I101" t="s">
        <v>177</v>
      </c>
      <c r="J101" s="12">
        <f>J33</f>
        <v>0</v>
      </c>
      <c r="K101" s="12">
        <f>K33</f>
        <v>0</v>
      </c>
      <c r="L101" s="12"/>
    </row>
    <row r="102" spans="9:12" ht="14.5" customHeight="1" x14ac:dyDescent="0.35">
      <c r="I102" t="s">
        <v>178</v>
      </c>
      <c r="J102" s="12">
        <f>J95</f>
        <v>78804</v>
      </c>
      <c r="K102" s="12">
        <f>K95</f>
        <v>78804</v>
      </c>
      <c r="L102" s="12"/>
    </row>
    <row r="103" spans="9:12" ht="14.5" customHeight="1" x14ac:dyDescent="0.35">
      <c r="I103" t="s">
        <v>179</v>
      </c>
      <c r="J103" s="12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>0</v>
      </c>
      <c r="K103" s="12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>0</v>
      </c>
      <c r="L103" s="12"/>
    </row>
    <row r="104" spans="9:12" ht="14.5" customHeight="1" x14ac:dyDescent="0.35">
      <c r="I104" t="s">
        <v>180</v>
      </c>
      <c r="J104" s="12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>0</v>
      </c>
      <c r="K104" s="12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>0</v>
      </c>
      <c r="L104" s="12"/>
    </row>
    <row r="105" spans="9:12" ht="14.5" customHeight="1" x14ac:dyDescent="0.35">
      <c r="I105" t="s">
        <v>181</v>
      </c>
      <c r="J105" s="12">
        <f>J103-J104</f>
        <v>0</v>
      </c>
      <c r="K105" s="12">
        <f>K103-K104</f>
        <v>0</v>
      </c>
      <c r="L105" s="12"/>
    </row>
    <row r="106" spans="9:12" ht="14.5" customHeight="1" x14ac:dyDescent="0.35">
      <c r="J106" s="12">
        <f>J33*0.25</f>
        <v>0</v>
      </c>
      <c r="K106" s="12">
        <f>K33*0.25</f>
        <v>0</v>
      </c>
      <c r="L106" s="12"/>
    </row>
    <row r="107" spans="9:12" ht="14.5" customHeight="1" x14ac:dyDescent="0.35">
      <c r="I107" s="13" t="s">
        <v>182</v>
      </c>
      <c r="J107" s="19">
        <f>J105+J106</f>
        <v>0</v>
      </c>
      <c r="K107" s="19">
        <f>K105+K106</f>
        <v>0</v>
      </c>
      <c r="L107" s="19">
        <f>J107-K107</f>
        <v>0</v>
      </c>
    </row>
    <row r="108" spans="9:12" ht="14.5" customHeight="1" x14ac:dyDescent="0.35">
      <c r="J108" s="12"/>
      <c r="K108" s="12"/>
      <c r="L108" s="12"/>
    </row>
    <row r="109" spans="9:12" ht="14.5" customHeight="1" x14ac:dyDescent="0.35">
      <c r="I109" s="80" t="s">
        <v>183</v>
      </c>
      <c r="J109" s="19"/>
      <c r="K109" s="19"/>
      <c r="L109" s="19"/>
    </row>
    <row r="110" spans="9:12" ht="14.5" customHeight="1" x14ac:dyDescent="0.35">
      <c r="I110" t="s">
        <v>184</v>
      </c>
      <c r="J110" s="12">
        <f>J38</f>
        <v>93291</v>
      </c>
      <c r="K110" s="12">
        <f>K38</f>
        <v>93291</v>
      </c>
      <c r="L110" s="12"/>
    </row>
    <row r="111" spans="9:12" ht="14.5" customHeight="1" x14ac:dyDescent="0.35">
      <c r="I111" t="s">
        <v>185</v>
      </c>
      <c r="J111" s="12">
        <f>SUMIFS(tblThresholds[Value], tblThresholds[Year], 2024, tblThresholds[FilingStatus], Filing_Status, tblThresholds[Item], "NIIT_Threshold")</f>
        <v>250000</v>
      </c>
      <c r="K111" s="12">
        <f>SUMIFS(tblThresholds[Value], tblThresholds[Year], 2024, tblThresholds[FilingStatus], Filing_Status, tblThresholds[Item], "NIIT_Threshold")</f>
        <v>250000</v>
      </c>
      <c r="L111" s="12"/>
    </row>
    <row r="112" spans="9:12" ht="14.5" customHeight="1" x14ac:dyDescent="0.35">
      <c r="I112" t="s">
        <v>186</v>
      </c>
      <c r="J112" s="12">
        <f>MAX(0,J39)</f>
        <v>0</v>
      </c>
      <c r="K112" s="12">
        <f>MAX(0,K39)</f>
        <v>0</v>
      </c>
      <c r="L112" s="12"/>
    </row>
    <row r="113" spans="9:12" ht="14.5" customHeight="1" x14ac:dyDescent="0.35">
      <c r="I113" t="s">
        <v>187</v>
      </c>
      <c r="J113" s="12">
        <f>MAX(0,J110-J111)</f>
        <v>0</v>
      </c>
      <c r="K113" s="12">
        <f>MAX(0,K110-K111)</f>
        <v>0</v>
      </c>
      <c r="L113" s="12"/>
    </row>
    <row r="114" spans="9:12" ht="14.5" customHeight="1" x14ac:dyDescent="0.35">
      <c r="I114" s="13" t="s">
        <v>188</v>
      </c>
      <c r="J114" s="19">
        <f>MIN(J112,J113)*SUMIFS(tblThresholds[Value], tblThresholds[Year], 2024, tblThresholds[FilingStatus], Filing_Status, tblThresholds[Item], "NIIT_Rate")</f>
        <v>0</v>
      </c>
      <c r="K114" s="19">
        <f>MIN(K112,K113)*SUMIFS(tblThresholds[Value], tblThresholds[Year], 2024, tblThresholds[FilingStatus], Filing_Status, tblThresholds[Item], "NIIT_Rate")</f>
        <v>0</v>
      </c>
      <c r="L114" s="19">
        <f>J114-K114</f>
        <v>0</v>
      </c>
    </row>
    <row r="115" spans="9:12" ht="14.5" customHeight="1" x14ac:dyDescent="0.35">
      <c r="J115" s="12"/>
      <c r="K115" s="12"/>
      <c r="L115" s="12"/>
    </row>
    <row r="116" spans="9:12" ht="14.5" customHeight="1" x14ac:dyDescent="0.35">
      <c r="I116" s="80" t="s">
        <v>189</v>
      </c>
      <c r="J116" s="19"/>
      <c r="K116" s="19"/>
      <c r="L116" s="19"/>
    </row>
    <row r="117" spans="9:12" ht="14.5" customHeight="1" x14ac:dyDescent="0.35">
      <c r="I117" t="s">
        <v>190</v>
      </c>
      <c r="J117" s="12">
        <f>J40</f>
        <v>0</v>
      </c>
      <c r="K117" s="12">
        <f>K40</f>
        <v>0</v>
      </c>
      <c r="L117" s="12"/>
    </row>
    <row r="118" spans="9:12" ht="14.5" customHeight="1" x14ac:dyDescent="0.35">
      <c r="I118" t="s">
        <v>191</v>
      </c>
      <c r="J118" s="12">
        <f>MAX(0,J117)*0.2</f>
        <v>0</v>
      </c>
      <c r="K118" s="12">
        <f>MAX(0,K117)*0.2</f>
        <v>0</v>
      </c>
      <c r="L118" s="12"/>
    </row>
    <row r="119" spans="9:12" ht="14.5" customHeight="1" x14ac:dyDescent="0.35">
      <c r="I119" t="s">
        <v>192</v>
      </c>
      <c r="J119" s="12">
        <f>MAX(0,J41)*0.2</f>
        <v>18658.2</v>
      </c>
      <c r="K119" s="12">
        <f>MAX(0,K41)*0.2</f>
        <v>18658.2</v>
      </c>
      <c r="L119" s="12"/>
    </row>
    <row r="120" spans="9:12" ht="14.5" customHeight="1" x14ac:dyDescent="0.35">
      <c r="I120" t="s">
        <v>193</v>
      </c>
      <c r="J120" s="12">
        <f>MAX(J23*0.5, J23*0.25+J44*0.025)</f>
        <v>76824</v>
      </c>
      <c r="K120" s="12">
        <f>MAX(K23*0.5, K23*0.25+K44*0.025)</f>
        <v>76824</v>
      </c>
      <c r="L120" s="12"/>
    </row>
    <row r="121" spans="9:12" ht="14.5" customHeight="1" x14ac:dyDescent="0.35">
      <c r="I121" t="s">
        <v>194</v>
      </c>
      <c r="J121" s="12" t="str">
        <f>IF(J41&gt;SUMIFS(tblThresholds[Value], tblThresholds[Year], 2024, tblThresholds[FilingStatus], Filing_Status, tblThresholds[Item], "QBI_Threshold_Start"),"YES","NO")</f>
        <v>NO</v>
      </c>
      <c r="K121" s="12" t="str">
        <f>IF(K41&gt;SUMIFS(tblThresholds[Value], tblThresholds[Year], 2024, tblThresholds[FilingStatus], Filing_Status, tblThresholds[Item], "QBI_Threshold_Start"),"YES","NO")</f>
        <v>NO</v>
      </c>
      <c r="L121" s="12"/>
    </row>
    <row r="122" spans="9:12" ht="14.5" customHeight="1" x14ac:dyDescent="0.35">
      <c r="I122" s="13" t="s">
        <v>195</v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>0</v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>0</v>
      </c>
      <c r="L122" s="19">
        <f>K122-J122</f>
        <v>0</v>
      </c>
    </row>
    <row r="123" spans="9:12" ht="14.5" customHeight="1" x14ac:dyDescent="0.35">
      <c r="J123" s="12"/>
      <c r="K123" s="12"/>
      <c r="L123" s="12"/>
    </row>
    <row r="124" spans="9:12" ht="14.5" customHeight="1" x14ac:dyDescent="0.35">
      <c r="I124" s="80" t="s">
        <v>196</v>
      </c>
      <c r="J124" s="19"/>
      <c r="K124" s="19"/>
      <c r="L124" s="19"/>
    </row>
    <row r="125" spans="9:12" ht="14.5" customHeight="1" x14ac:dyDescent="0.35">
      <c r="I125" t="s">
        <v>100</v>
      </c>
      <c r="J125" s="12">
        <f>K6+K8+K10+K11+K12</f>
        <v>93291</v>
      </c>
      <c r="K125" s="12">
        <f>P13</f>
        <v>93291</v>
      </c>
      <c r="L125" s="12" t="s">
        <v>152</v>
      </c>
    </row>
    <row r="126" spans="9:12" ht="14.5" customHeight="1" x14ac:dyDescent="0.35">
      <c r="I126" t="s">
        <v>197</v>
      </c>
      <c r="J126" s="12">
        <f>J97</f>
        <v>8992.48</v>
      </c>
      <c r="K126" s="12">
        <f>K97</f>
        <v>8992.48</v>
      </c>
      <c r="L126" s="12">
        <f t="shared" ref="L126:L131" si="1">J126-K126</f>
        <v>0</v>
      </c>
    </row>
    <row r="127" spans="9:12" ht="14.5" customHeight="1" x14ac:dyDescent="0.35">
      <c r="I127" t="s">
        <v>198</v>
      </c>
      <c r="J127" s="12">
        <f>J107</f>
        <v>0</v>
      </c>
      <c r="K127" s="12">
        <f>K107</f>
        <v>0</v>
      </c>
      <c r="L127" s="12">
        <f t="shared" si="1"/>
        <v>0</v>
      </c>
    </row>
    <row r="128" spans="9:12" ht="14.5" customHeight="1" x14ac:dyDescent="0.35">
      <c r="I128" t="s">
        <v>199</v>
      </c>
      <c r="J128" s="12">
        <f>J80</f>
        <v>0</v>
      </c>
      <c r="K128" s="12">
        <f>K80</f>
        <v>0</v>
      </c>
      <c r="L128" s="12">
        <f t="shared" si="1"/>
        <v>0</v>
      </c>
    </row>
    <row r="129" spans="9:12" ht="14.5" customHeight="1" x14ac:dyDescent="0.35">
      <c r="I129" t="s">
        <v>200</v>
      </c>
      <c r="J129" s="12">
        <f>J91</f>
        <v>23508.144</v>
      </c>
      <c r="K129" s="12">
        <f>K91</f>
        <v>23508.144</v>
      </c>
      <c r="L129" s="12">
        <f t="shared" si="1"/>
        <v>0</v>
      </c>
    </row>
    <row r="130" spans="9:12" ht="14.5" customHeight="1" x14ac:dyDescent="0.35">
      <c r="I130" t="s">
        <v>201</v>
      </c>
      <c r="J130" s="12">
        <f>J114</f>
        <v>0</v>
      </c>
      <c r="K130" s="12">
        <f>K114</f>
        <v>0</v>
      </c>
      <c r="L130" s="12">
        <f t="shared" si="1"/>
        <v>0</v>
      </c>
    </row>
    <row r="131" spans="9:12" ht="14.5" customHeight="1" x14ac:dyDescent="0.35">
      <c r="I131" t="s">
        <v>202</v>
      </c>
      <c r="J131" s="12">
        <f>-J122*0.24</f>
        <v>0</v>
      </c>
      <c r="K131" s="12">
        <f>-K122*0.24</f>
        <v>0</v>
      </c>
      <c r="L131" s="12">
        <f t="shared" si="1"/>
        <v>0</v>
      </c>
    </row>
    <row r="132" spans="9:12" ht="14.5" customHeight="1" x14ac:dyDescent="0.35">
      <c r="J132" s="12"/>
      <c r="K132" s="12"/>
      <c r="L132" s="12"/>
    </row>
    <row r="133" spans="9:12" ht="14.5" customHeight="1" x14ac:dyDescent="0.35">
      <c r="I133" s="13" t="s">
        <v>203</v>
      </c>
      <c r="J133" s="19">
        <f>SUM(J126:J131)</f>
        <v>32500.624</v>
      </c>
      <c r="K133" s="19">
        <f>SUM(K126:K131)</f>
        <v>32500.624</v>
      </c>
      <c r="L133" s="19">
        <f>J133-K133</f>
        <v>0</v>
      </c>
    </row>
    <row r="134" spans="9:12" ht="14.5" customHeight="1" x14ac:dyDescent="0.35">
      <c r="I134" t="s">
        <v>204</v>
      </c>
      <c r="J134" s="56">
        <f>IFERROR(J133/J125,0)</f>
        <v>0.34837898618301871</v>
      </c>
      <c r="K134" s="56">
        <f>IFERROR(K133/K125,0)</f>
        <v>0.34837898618301871</v>
      </c>
      <c r="L134" s="56">
        <f>J134-K134</f>
        <v>0</v>
      </c>
    </row>
    <row r="135" spans="9:12" ht="14.5" customHeight="1" x14ac:dyDescent="0.35">
      <c r="J135" s="12"/>
      <c r="K135" s="12"/>
      <c r="L135" s="12"/>
    </row>
    <row r="136" spans="9:12" ht="14.5" customHeight="1" x14ac:dyDescent="0.35">
      <c r="I136" s="13" t="s">
        <v>205</v>
      </c>
      <c r="J136" s="19">
        <f>L133</f>
        <v>0</v>
      </c>
      <c r="K136" s="19"/>
      <c r="L136" s="19"/>
    </row>
  </sheetData>
  <conditionalFormatting sqref="A6:H20">
    <cfRule type="expression" dxfId="4" priority="1">
      <formula>$H6=""</formula>
    </cfRule>
  </conditionalFormatting>
  <dataValidations count="1">
    <dataValidation type="list" allowBlank="1" showInputMessage="1" showErrorMessage="1" promptTitle="Prior Year?" prompt="Select Y for prior year baseline, or leave blank" sqref="L6:L18" xr:uid="{00000000-0002-0000-0700-000000000000}">
      <formula1>"Y"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Q136"/>
  <sheetViews>
    <sheetView tabSelected="1" workbookViewId="0">
      <pane ySplit="5" topLeftCell="A12" activePane="bottomLeft" state="frozen"/>
      <selection pane="bottomLeft" activeCell="I24" sqref="I24"/>
    </sheetView>
  </sheetViews>
  <sheetFormatPr defaultRowHeight="14.5" x14ac:dyDescent="0.35"/>
  <cols>
    <col min="1" max="1" width="73.1796875" customWidth="1"/>
    <col min="2" max="2" width="36" customWidth="1"/>
    <col min="3" max="3" width="12" customWidth="1"/>
    <col min="4" max="5" width="14" customWidth="1"/>
    <col min="6" max="6" width="32" customWidth="1"/>
    <col min="7" max="7" width="3" customWidth="1"/>
    <col min="8" max="8" width="11.6328125" customWidth="1"/>
    <col min="9" max="9" width="36" customWidth="1"/>
    <col min="10" max="10" width="16" customWidth="1"/>
    <col min="11" max="11" width="10.6328125" bestFit="1" customWidth="1"/>
    <col min="12" max="12" width="16" customWidth="1"/>
    <col min="13" max="13" width="14" customWidth="1"/>
    <col min="14" max="14" width="16" customWidth="1"/>
    <col min="15" max="16" width="9" customWidth="1"/>
  </cols>
  <sheetData>
    <row r="1" spans="1:17" x14ac:dyDescent="0.35">
      <c r="A1" s="17" t="s">
        <v>0</v>
      </c>
    </row>
    <row r="2" spans="1:17" x14ac:dyDescent="0.35">
      <c r="A2" s="89" t="s">
        <v>1</v>
      </c>
    </row>
    <row r="4" spans="1:17" x14ac:dyDescent="0.35">
      <c r="A4" s="80" t="s">
        <v>2</v>
      </c>
    </row>
    <row r="5" spans="1:17" ht="43.5" customHeight="1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1789</v>
      </c>
      <c r="I5" s="3" t="s">
        <v>10</v>
      </c>
      <c r="J5" s="3" t="s">
        <v>11</v>
      </c>
      <c r="K5" s="3" t="s">
        <v>12</v>
      </c>
      <c r="L5" s="53" t="s">
        <v>13</v>
      </c>
      <c r="M5" s="3" t="s">
        <v>14</v>
      </c>
      <c r="N5" s="3" t="s">
        <v>15</v>
      </c>
      <c r="O5" s="3" t="s">
        <v>16</v>
      </c>
      <c r="P5" s="98" t="s">
        <v>17</v>
      </c>
      <c r="Q5" s="3" t="s">
        <v>18</v>
      </c>
    </row>
    <row r="6" spans="1:17" x14ac:dyDescent="0.35">
      <c r="A6" s="65" t="s">
        <v>19</v>
      </c>
      <c r="B6" s="65" t="s">
        <v>20</v>
      </c>
      <c r="C6" s="65" t="s">
        <v>21</v>
      </c>
      <c r="D6" s="93">
        <v>-25000</v>
      </c>
      <c r="E6" s="65" t="s">
        <v>22</v>
      </c>
      <c r="F6" s="65" t="s">
        <v>23</v>
      </c>
      <c r="G6" s="65">
        <v>8</v>
      </c>
      <c r="H6" s="65" t="s">
        <v>929</v>
      </c>
      <c r="I6" t="s">
        <v>21</v>
      </c>
      <c r="J6" t="s">
        <v>24</v>
      </c>
      <c r="K6" s="12">
        <f>SUMIFS(tblMaster_Inputs[Baseline_Amount], tblMaster_Inputs[Year], 2025, tblMaster_Inputs[Primary_Line], $I6, tblMaster_Inputs[Activity_Type], "Baseline")</f>
        <v>100000</v>
      </c>
      <c r="L6" s="54"/>
      <c r="M6" s="55"/>
      <c r="N6" s="12">
        <f>SUMIFS(tblY2025_Strategies[Amount],tblY2025_Strategies[TargetLine],$I6)-SUMIFS(tblY2025_Strategies[Amount],tblY2025_Strategies[CounterLine],$I6)</f>
        <v>-25000</v>
      </c>
      <c r="O6" s="12">
        <f>IF(UPPER(L6)="Y",SUMIFS(tblMaster_Inputs[Baseline_Amount],tblMaster_Inputs[Year],2024,tblMaster_Inputs[Primary_Line],"1z"),IF(ISBLANK(M6),K6,M6))</f>
        <v>100000</v>
      </c>
      <c r="P6" s="12">
        <f>O6+N6</f>
        <v>75000</v>
      </c>
      <c r="Q6" s="8" t="str">
        <f t="shared" ref="Q6:Q18" si="0">HYPERLINK("#Y2025!I49", "↗ drill")</f>
        <v>↗ drill</v>
      </c>
    </row>
    <row r="7" spans="1:17" x14ac:dyDescent="0.35">
      <c r="A7" s="65" t="s">
        <v>25</v>
      </c>
      <c r="B7" s="65" t="s">
        <v>26</v>
      </c>
      <c r="C7" s="65">
        <v>10</v>
      </c>
      <c r="D7" s="93">
        <v>-8550</v>
      </c>
      <c r="E7" s="65" t="s">
        <v>22</v>
      </c>
      <c r="F7" s="65" t="s">
        <v>27</v>
      </c>
      <c r="G7" s="65"/>
      <c r="H7" s="65" t="s">
        <v>899</v>
      </c>
      <c r="I7" t="s">
        <v>28</v>
      </c>
      <c r="J7" t="s">
        <v>29</v>
      </c>
      <c r="K7" s="12">
        <f ca="1">TAX_EXEMPT</f>
        <v>0</v>
      </c>
      <c r="L7" s="54"/>
      <c r="M7" s="4"/>
      <c r="N7">
        <f>SUMIFS(tblY2025_Strategies[Amount],tblY2025_Strategies[TargetLine],"2a",tblY2025_Strategies[Status],"Committed")</f>
        <v>0</v>
      </c>
      <c r="O7" s="12">
        <f ca="1">IF(UPPER(L7)="Y",SUMIFS(tblMaster_Inputs[Helper_Amount],tblMaster_Inputs[Year],2024,tblMaster_Inputs[Helper_Treatment],"TAX_EXEMPT"),IF(ISBLANK(M7),K7,M7))</f>
        <v>0</v>
      </c>
      <c r="P7" s="12">
        <f ca="1">O7</f>
        <v>0</v>
      </c>
      <c r="Q7" s="8" t="str">
        <f t="shared" si="0"/>
        <v>↗ drill</v>
      </c>
    </row>
    <row r="8" spans="1:17" x14ac:dyDescent="0.35">
      <c r="A8" s="65" t="s">
        <v>30</v>
      </c>
      <c r="B8" s="65" t="s">
        <v>31</v>
      </c>
      <c r="C8" s="65">
        <v>12</v>
      </c>
      <c r="D8" s="93">
        <v>15000</v>
      </c>
      <c r="E8" s="65" t="s">
        <v>32</v>
      </c>
      <c r="F8" s="65" t="s">
        <v>33</v>
      </c>
      <c r="G8" s="65"/>
      <c r="H8" s="65" t="s">
        <v>960</v>
      </c>
      <c r="I8" t="s">
        <v>34</v>
      </c>
      <c r="J8" t="s">
        <v>35</v>
      </c>
      <c r="K8" s="12">
        <f>SUMIFS(tblMaster_Inputs[Baseline_Amount], tblMaster_Inputs[Year], 2025, tblMaster_Inputs[Primary_Line], $I8, tblMaster_Inputs[Activity_Type], "Baseline")</f>
        <v>500</v>
      </c>
      <c r="L8" s="54"/>
      <c r="M8" s="4"/>
      <c r="N8" s="12">
        <f>SUMIFS(tblY2025_Strategies[Amount],tblY2025_Strategies[TargetLine],$I8)-SUMIFS(tblY2025_Strategies[Amount],tblY2025_Strategies[CounterLine],$I8)</f>
        <v>0</v>
      </c>
      <c r="O8" s="12">
        <f>IF(UPPER(L8)="Y",SUMIFS(tblMaster_Inputs[Baseline_Amount],tblMaster_Inputs[Year],2024,tblMaster_Inputs[Primary_Line],"2b"),IF(ISBLANK(M8),K8,M8))</f>
        <v>500</v>
      </c>
      <c r="P8" s="12">
        <f>O8+N8</f>
        <v>500</v>
      </c>
      <c r="Q8" s="8" t="str">
        <f t="shared" si="0"/>
        <v>↗ drill</v>
      </c>
    </row>
    <row r="9" spans="1:17" x14ac:dyDescent="0.35">
      <c r="A9" s="65" t="s">
        <v>36</v>
      </c>
      <c r="B9" s="65" t="s">
        <v>37</v>
      </c>
      <c r="C9" s="65">
        <v>10</v>
      </c>
      <c r="D9" s="93">
        <v>-7000</v>
      </c>
      <c r="E9" s="65" t="s">
        <v>38</v>
      </c>
      <c r="F9" s="65" t="s">
        <v>39</v>
      </c>
      <c r="G9" s="65"/>
      <c r="H9" s="65" t="s">
        <v>899</v>
      </c>
      <c r="I9" t="s">
        <v>40</v>
      </c>
      <c r="J9" t="s">
        <v>41</v>
      </c>
      <c r="K9" s="12">
        <f ca="1">QUAL_DIV</f>
        <v>7000</v>
      </c>
      <c r="L9" s="54"/>
      <c r="M9" s="4"/>
      <c r="N9">
        <f>SUMIFS(tblY2025_Strategies[Amount],tblY2025_Strategies[TargetLine],"3a",tblY2025_Strategies[Status],"Committed")</f>
        <v>0</v>
      </c>
      <c r="O9" s="12">
        <f ca="1">IF(UPPER(L9)="Y",SUMIFS(tblMaster_Inputs[Helper_Amount],tblMaster_Inputs[Year],2024,tblMaster_Inputs[Helper_Treatment],"QUAL_DIV"),IF(ISBLANK(M9),K9,M9))</f>
        <v>7000</v>
      </c>
      <c r="P9" s="12">
        <f ca="1">O9</f>
        <v>7000</v>
      </c>
      <c r="Q9" s="8" t="str">
        <f t="shared" si="0"/>
        <v>↗ drill</v>
      </c>
    </row>
    <row r="10" spans="1:17" x14ac:dyDescent="0.35">
      <c r="A10" s="65" t="s">
        <v>42</v>
      </c>
      <c r="B10" s="65" t="s">
        <v>43</v>
      </c>
      <c r="C10" s="65">
        <v>8</v>
      </c>
      <c r="D10" s="93">
        <v>-80000</v>
      </c>
      <c r="E10" s="65" t="s">
        <v>22</v>
      </c>
      <c r="F10" s="65" t="s">
        <v>44</v>
      </c>
      <c r="G10" s="65"/>
      <c r="H10" s="65" t="s">
        <v>945</v>
      </c>
      <c r="I10" t="s">
        <v>45</v>
      </c>
      <c r="J10" t="s">
        <v>46</v>
      </c>
      <c r="K10" s="12">
        <f>SUMIFS(tblMaster_Inputs[Baseline_Amount], tblMaster_Inputs[Year], 2025, tblMaster_Inputs[Primary_Line], $I10, tblMaster_Inputs[Activity_Type], "Baseline")</f>
        <v>10000</v>
      </c>
      <c r="L10" s="54"/>
      <c r="M10" s="4"/>
      <c r="N10" s="12">
        <f>SUMIFS(tblY2025_Strategies[Amount],tblY2025_Strategies[TargetLine],$I10)-SUMIFS(tblY2025_Strategies[Amount],tblY2025_Strategies[CounterLine],$I10)</f>
        <v>0</v>
      </c>
      <c r="O10" s="12">
        <f>IF(UPPER(L10)="Y",SUMIFS(tblMaster_Inputs[Baseline_Amount],tblMaster_Inputs[Year],2024,tblMaster_Inputs[Primary_Line],"3b"),IF(ISBLANK(M10),K10,M10))</f>
        <v>10000</v>
      </c>
      <c r="P10" s="12">
        <f>O10+N10</f>
        <v>10000</v>
      </c>
      <c r="Q10" s="8" t="str">
        <f t="shared" si="0"/>
        <v>↗ drill</v>
      </c>
    </row>
    <row r="11" spans="1:17" x14ac:dyDescent="0.35">
      <c r="A11" s="65" t="s">
        <v>47</v>
      </c>
      <c r="B11" s="65" t="s">
        <v>48</v>
      </c>
      <c r="C11" s="65" t="s">
        <v>21</v>
      </c>
      <c r="D11" s="93"/>
      <c r="E11" s="65"/>
      <c r="F11" s="65" t="s">
        <v>49</v>
      </c>
      <c r="G11" s="65"/>
      <c r="H11" s="65" t="s">
        <v>1790</v>
      </c>
      <c r="I11" t="s">
        <v>50</v>
      </c>
      <c r="J11" t="s">
        <v>51</v>
      </c>
      <c r="K11" s="12">
        <f>SUMIFS(tblMaster_Inputs[Baseline_Amount], tblMaster_Inputs[Year], 2025, tblMaster_Inputs[Primary_Line], $I11, tblMaster_Inputs[Activity_Type], "Baseline")</f>
        <v>25000</v>
      </c>
      <c r="L11" s="54"/>
      <c r="M11" s="4"/>
      <c r="N11" s="12">
        <f>SUMIFS(tblY2025_Strategies[Amount],tblY2025_Strategies[TargetLine],$I11)-SUMIFS(tblY2025_Strategies[Amount],tblY2025_Strategies[CounterLine],$I11)</f>
        <v>0</v>
      </c>
      <c r="O11" s="12">
        <f>IF(UPPER(L11)="Y",SUMIFS(tblMaster_Inputs[Baseline_Amount],tblMaster_Inputs[Year],2024,tblMaster_Inputs[Primary_Line],"7"),IF(ISBLANK(M11),K11,M11))</f>
        <v>25000</v>
      </c>
      <c r="P11" s="12">
        <f>O11+N11</f>
        <v>25000</v>
      </c>
      <c r="Q11" s="8" t="str">
        <f t="shared" si="0"/>
        <v>↗ drill</v>
      </c>
    </row>
    <row r="12" spans="1:17" x14ac:dyDescent="0.35">
      <c r="A12" s="65" t="s">
        <v>52</v>
      </c>
      <c r="B12" s="65" t="s">
        <v>53</v>
      </c>
      <c r="C12" s="65">
        <v>8</v>
      </c>
      <c r="D12" s="93"/>
      <c r="E12" s="65"/>
      <c r="F12" s="65" t="s">
        <v>54</v>
      </c>
      <c r="G12" s="65"/>
      <c r="H12" s="65" t="s">
        <v>905</v>
      </c>
      <c r="I12" t="s">
        <v>55</v>
      </c>
      <c r="J12" t="s">
        <v>56</v>
      </c>
      <c r="K12" s="12">
        <f>SUMIFS(tblMaster_Inputs[Baseline_Amount], tblMaster_Inputs[Year], 2025, tblMaster_Inputs[Primary_Line], $I12, tblMaster_Inputs[Activity_Type], "Baseline")</f>
        <v>200000</v>
      </c>
      <c r="L12" s="54"/>
      <c r="M12" s="55"/>
      <c r="N12" s="12">
        <f>SUMIFS(tblY2025_Strategies[Amount],tblY2025_Strategies[TargetLine],$I12)-SUMIFS(tblY2025_Strategies[Amount],tblY2025_Strategies[CounterLine],$I12)</f>
        <v>-55000</v>
      </c>
      <c r="O12" s="12">
        <f>IF(UPPER(L12)="Y",SUMIFS(tblMaster_Inputs[Baseline_Amount],tblMaster_Inputs[Year],2024,tblMaster_Inputs[Primary_Line],"8"),IF(ISBLANK(M12),K12,M12))</f>
        <v>200000</v>
      </c>
      <c r="P12" s="12">
        <f>O12+N12</f>
        <v>145000</v>
      </c>
      <c r="Q12" s="8" t="str">
        <f t="shared" si="0"/>
        <v>↗ drill</v>
      </c>
    </row>
    <row r="13" spans="1:17" x14ac:dyDescent="0.35">
      <c r="A13" s="65" t="s">
        <v>57</v>
      </c>
      <c r="B13" s="65" t="s">
        <v>58</v>
      </c>
      <c r="C13" s="65">
        <v>8</v>
      </c>
      <c r="D13" s="93"/>
      <c r="E13" s="65"/>
      <c r="F13" s="65" t="s">
        <v>59</v>
      </c>
      <c r="G13" s="65"/>
      <c r="H13" s="65" t="s">
        <v>909</v>
      </c>
      <c r="I13" t="s">
        <v>60</v>
      </c>
      <c r="J13" t="s">
        <v>61</v>
      </c>
      <c r="K13" s="12">
        <f>K6+K8+K10+K11+K12</f>
        <v>335500</v>
      </c>
      <c r="L13" s="54"/>
      <c r="M13" s="4"/>
      <c r="N13" s="12">
        <f>N6+N8+N10+N11+N12</f>
        <v>-80000</v>
      </c>
      <c r="O13" s="12">
        <f>O6+O8+O10+O11+O12</f>
        <v>335500</v>
      </c>
      <c r="P13" s="12">
        <f>P6+P8+P10+P11+P12</f>
        <v>255500</v>
      </c>
      <c r="Q13" s="8" t="str">
        <f t="shared" si="0"/>
        <v>↗ drill</v>
      </c>
    </row>
    <row r="14" spans="1:17" x14ac:dyDescent="0.35">
      <c r="A14" s="65" t="s">
        <v>62</v>
      </c>
      <c r="B14" s="65" t="s">
        <v>63</v>
      </c>
      <c r="C14" s="65">
        <v>8</v>
      </c>
      <c r="D14" s="93"/>
      <c r="E14" s="65"/>
      <c r="F14" s="65" t="s">
        <v>64</v>
      </c>
      <c r="G14" s="65" t="s">
        <v>21</v>
      </c>
      <c r="H14" s="65" t="s">
        <v>914</v>
      </c>
      <c r="I14" t="s">
        <v>65</v>
      </c>
      <c r="J14" t="s">
        <v>66</v>
      </c>
      <c r="K14" s="12">
        <f>SUMIFS(tblMaster_Inputs[Baseline_Amount], tblMaster_Inputs[Year], 2025, tblMaster_Inputs[Primary_Line], $I14, tblMaster_Inputs[Activity_Type], "Baseline")</f>
        <v>0</v>
      </c>
      <c r="L14" s="54"/>
      <c r="M14" s="4"/>
      <c r="N14" s="12">
        <f>SUMIFS(tblY2025_Strategies[Amount],tblY2025_Strategies[TargetLine],$I14)-SUMIFS(tblY2025_Strategies[Amount],tblY2025_Strategies[CounterLine],$I14)</f>
        <v>-15550</v>
      </c>
      <c r="O14" s="12">
        <f>IF(UPPER(L14)="Y",SUMIFS(tblMaster_Inputs[Baseline_Amount],tblMaster_Inputs[Year],2024,tblMaster_Inputs[Primary_Line],"10"),IF(ISBLANK(M14),K14,M14))</f>
        <v>0</v>
      </c>
      <c r="P14" s="12">
        <f>O14+N14</f>
        <v>-15550</v>
      </c>
      <c r="Q14" s="8" t="str">
        <f t="shared" si="0"/>
        <v>↗ drill</v>
      </c>
    </row>
    <row r="15" spans="1:17" x14ac:dyDescent="0.35">
      <c r="A15" s="65" t="s">
        <v>67</v>
      </c>
      <c r="B15" s="65" t="s">
        <v>68</v>
      </c>
      <c r="C15" s="65">
        <v>8</v>
      </c>
      <c r="D15" s="93"/>
      <c r="E15" s="65"/>
      <c r="F15" s="65" t="s">
        <v>69</v>
      </c>
      <c r="G15" s="65" t="s">
        <v>21</v>
      </c>
      <c r="H15" s="65" t="s">
        <v>923</v>
      </c>
      <c r="I15" t="s">
        <v>70</v>
      </c>
      <c r="J15" t="s">
        <v>71</v>
      </c>
      <c r="K15" s="12">
        <f>K13+K14</f>
        <v>335500</v>
      </c>
      <c r="L15" s="54"/>
      <c r="M15" s="4"/>
      <c r="N15" s="12">
        <f>N13+N14</f>
        <v>-95550</v>
      </c>
      <c r="O15" s="12">
        <f>O13+O14</f>
        <v>335500</v>
      </c>
      <c r="P15" s="12">
        <f>P13+P14</f>
        <v>239950</v>
      </c>
      <c r="Q15" s="8" t="str">
        <f t="shared" si="0"/>
        <v>↗ drill</v>
      </c>
    </row>
    <row r="16" spans="1:17" x14ac:dyDescent="0.35">
      <c r="A16" s="65" t="s">
        <v>72</v>
      </c>
      <c r="B16" s="65" t="s">
        <v>73</v>
      </c>
      <c r="C16" s="65">
        <v>7</v>
      </c>
      <c r="D16" s="93"/>
      <c r="E16" s="65"/>
      <c r="F16" s="65" t="s">
        <v>74</v>
      </c>
      <c r="G16" s="65"/>
      <c r="H16" s="65" t="s">
        <v>1791</v>
      </c>
      <c r="I16" t="s">
        <v>75</v>
      </c>
      <c r="J16" t="s">
        <v>76</v>
      </c>
      <c r="K16" s="12">
        <f>SUMIFS(tblMaster_Inputs[Baseline_Amount], tblMaster_Inputs[Year], 2025, tblMaster_Inputs[Primary_Line], $I16, tblMaster_Inputs[Activity_Type], "Baseline")</f>
        <v>-10000</v>
      </c>
      <c r="L16" s="54"/>
      <c r="M16" s="4"/>
      <c r="N16" s="12">
        <f>SUMIFS(tblY2025_Strategies[Amount],tblY2025_Strategies[TargetLine],$I16)-SUMIFS(tblY2025_Strategies[Amount],tblY2025_Strategies[CounterLine],$I16)</f>
        <v>15000</v>
      </c>
      <c r="O16" s="12">
        <f>IF(UPPER(L16)="Y",SUMIFS(tblMaster_Inputs[Baseline_Amount],tblMaster_Inputs[Year],2024,tblMaster_Inputs[Primary_Line],"12"),IF(ISBLANK(M16),K16,M16))</f>
        <v>-10000</v>
      </c>
      <c r="P16" s="12">
        <f>O16+N16</f>
        <v>5000</v>
      </c>
      <c r="Q16" s="8" t="str">
        <f t="shared" si="0"/>
        <v>↗ drill</v>
      </c>
    </row>
    <row r="17" spans="1:17" x14ac:dyDescent="0.35">
      <c r="A17" s="65" t="s">
        <v>77</v>
      </c>
      <c r="B17" s="65" t="s">
        <v>78</v>
      </c>
      <c r="C17" s="65">
        <v>8</v>
      </c>
      <c r="D17" s="93"/>
      <c r="E17" s="65"/>
      <c r="F17" s="65" t="s">
        <v>79</v>
      </c>
      <c r="G17" s="65"/>
      <c r="H17" s="65" t="s">
        <v>945</v>
      </c>
      <c r="I17" t="s">
        <v>80</v>
      </c>
      <c r="J17" t="s">
        <v>81</v>
      </c>
      <c r="K17" s="12">
        <f>SUMIFS(tblMaster_Inputs[Baseline_Amount], tblMaster_Inputs[Year], 2025, tblMaster_Inputs[Primary_Line], $I17, tblMaster_Inputs[Activity_Type], "Baseline")</f>
        <v>0</v>
      </c>
      <c r="L17" s="54"/>
      <c r="M17" s="4"/>
      <c r="N17" s="12">
        <f>SUMIFS(tblY2025_Strategies[Amount],tblY2025_Strategies[TargetLine],$I17)-SUMIFS(tblY2025_Strategies[Amount],tblY2025_Strategies[CounterLine],$I17)</f>
        <v>0</v>
      </c>
      <c r="O17" s="12">
        <f>IF(UPPER(L17)="Y",SUMIFS(tblMaster_Inputs[Baseline_Amount],tblMaster_Inputs[Year],2024,tblMaster_Inputs[Primary_Line],"13"),IF(ISBLANK(M17),K17,M17))</f>
        <v>0</v>
      </c>
      <c r="P17" s="12">
        <f>O17+N17</f>
        <v>0</v>
      </c>
      <c r="Q17" s="8" t="str">
        <f t="shared" si="0"/>
        <v>↗ drill</v>
      </c>
    </row>
    <row r="18" spans="1:17" x14ac:dyDescent="0.35">
      <c r="A18" s="65" t="s">
        <v>82</v>
      </c>
      <c r="B18" s="65" t="s">
        <v>83</v>
      </c>
      <c r="C18" s="65">
        <v>20</v>
      </c>
      <c r="D18" s="93"/>
      <c r="E18" s="65"/>
      <c r="F18" s="65" t="s">
        <v>84</v>
      </c>
      <c r="G18" s="65"/>
      <c r="H18" s="65"/>
      <c r="I18" t="s">
        <v>85</v>
      </c>
      <c r="J18" t="s">
        <v>86</v>
      </c>
      <c r="K18" s="12">
        <f>K15+K16+K17</f>
        <v>325500</v>
      </c>
      <c r="L18" s="54"/>
      <c r="M18" s="4"/>
      <c r="N18" s="12">
        <f>N15+N16+N17</f>
        <v>-80550</v>
      </c>
      <c r="O18" s="12">
        <f>O15+O16+O17</f>
        <v>325500</v>
      </c>
      <c r="P18" s="12">
        <f>P15+P16+P17</f>
        <v>244950</v>
      </c>
      <c r="Q18" s="8" t="str">
        <f t="shared" si="0"/>
        <v>↗ drill</v>
      </c>
    </row>
    <row r="19" spans="1:17" x14ac:dyDescent="0.35">
      <c r="A19" s="65" t="s">
        <v>87</v>
      </c>
      <c r="B19" s="65" t="s">
        <v>88</v>
      </c>
      <c r="C19" s="65">
        <v>12</v>
      </c>
      <c r="D19" s="93"/>
      <c r="E19" s="65"/>
      <c r="F19" s="65" t="s">
        <v>89</v>
      </c>
      <c r="G19" s="65"/>
      <c r="H19" s="65"/>
    </row>
    <row r="20" spans="1:17" x14ac:dyDescent="0.35">
      <c r="A20" s="65" t="s">
        <v>90</v>
      </c>
      <c r="B20" s="65" t="s">
        <v>91</v>
      </c>
      <c r="C20" s="65">
        <v>8</v>
      </c>
      <c r="D20" s="93"/>
      <c r="E20" s="65"/>
      <c r="F20" s="65" t="s">
        <v>92</v>
      </c>
      <c r="G20" s="65"/>
      <c r="H20" s="65" t="s">
        <v>919</v>
      </c>
    </row>
    <row r="22" spans="1:17" ht="29" x14ac:dyDescent="0.35">
      <c r="A22" s="80" t="s">
        <v>93</v>
      </c>
      <c r="I22" s="3" t="s">
        <v>11</v>
      </c>
      <c r="J22" s="3" t="str">
        <f>O5</f>
        <v>Effective</v>
      </c>
      <c r="K22" s="3" t="str">
        <f>P5</f>
        <v>Eff w/ Strategies</v>
      </c>
      <c r="L22" s="3" t="s">
        <v>94</v>
      </c>
    </row>
    <row r="23" spans="1:17" x14ac:dyDescent="0.35">
      <c r="A23" s="92" t="s">
        <v>95</v>
      </c>
      <c r="B23" s="92" t="s">
        <v>96</v>
      </c>
      <c r="C23" s="92" t="s">
        <v>16</v>
      </c>
      <c r="D23" s="92" t="s">
        <v>97</v>
      </c>
      <c r="E23" s="92" t="s">
        <v>98</v>
      </c>
      <c r="I23" t="s">
        <v>1805</v>
      </c>
      <c r="J23" s="12">
        <f>SUMIFS(tblMaster_Inputs[Baseline_Amount], tblMaster_Inputs[Year], 2025, tblMaster_Inputs[Treatment_Profile], "W2_SCorpOwner", tblMaster_Inputs[Activity_Type], "Baseline")</f>
        <v>100000</v>
      </c>
      <c r="K23" s="12">
        <f>J23+SUMIFS(tblY2025_Strategies[Amount],tblY2025_Strategies[TargetLine],"1z")-SUMIFS(tblY2025_Strategies[Amount],tblY2025_Strategies[CounterLine],"1z")</f>
        <v>75000</v>
      </c>
      <c r="L23" s="2" t="s">
        <v>99</v>
      </c>
    </row>
    <row r="24" spans="1:17" x14ac:dyDescent="0.35">
      <c r="A24" t="s">
        <v>100</v>
      </c>
      <c r="B24" s="94">
        <f>K13</f>
        <v>335500</v>
      </c>
      <c r="C24" s="94">
        <f>O13</f>
        <v>335500</v>
      </c>
      <c r="D24" s="94">
        <f>P13</f>
        <v>255500</v>
      </c>
      <c r="E24" s="94">
        <f>B24-D24</f>
        <v>80000</v>
      </c>
      <c r="I24" t="s">
        <v>1806</v>
      </c>
      <c r="J24" s="12">
        <f>SUMIFS(tblMaster_Inputs[Baseline_Amount], tblMaster_Inputs[Year], 2025, tblMaster_Inputs[Treatment_Profile], "W2_Employee", tblMaster_Inputs[Activity_Type], "Baseline")</f>
        <v>0</v>
      </c>
      <c r="K24" s="12">
        <f>J24</f>
        <v>0</v>
      </c>
      <c r="L24" s="2" t="s">
        <v>102</v>
      </c>
    </row>
    <row r="25" spans="1:17" x14ac:dyDescent="0.35">
      <c r="A25" t="s">
        <v>103</v>
      </c>
      <c r="B25" s="94">
        <f>K18</f>
        <v>325500</v>
      </c>
      <c r="C25" s="94">
        <f>O18</f>
        <v>325500</v>
      </c>
      <c r="D25" s="94">
        <f>P18</f>
        <v>244950</v>
      </c>
      <c r="E25" s="94">
        <f>B25-D25</f>
        <v>80550</v>
      </c>
      <c r="I25" t="s">
        <v>104</v>
      </c>
      <c r="J25" s="12">
        <f>J23+J24</f>
        <v>100000</v>
      </c>
      <c r="K25" s="12">
        <f>K23+K24</f>
        <v>75000</v>
      </c>
      <c r="L25" s="2" t="s">
        <v>102</v>
      </c>
    </row>
    <row r="26" spans="1:17" x14ac:dyDescent="0.35">
      <c r="A26" s="13" t="s">
        <v>105</v>
      </c>
      <c r="B26" s="95">
        <f>J133</f>
        <v>67983</v>
      </c>
      <c r="C26" s="95">
        <f>J133</f>
        <v>67983</v>
      </c>
      <c r="D26" s="95">
        <f>K133</f>
        <v>46117</v>
      </c>
      <c r="E26" s="94">
        <f>B26-D26</f>
        <v>21866</v>
      </c>
      <c r="I26" t="s">
        <v>106</v>
      </c>
      <c r="J26" s="12">
        <f>SUMIFS(tblMaster_Inputs[Baseline_Amount], tblMaster_Inputs[Year], 2025, tblMaster_Inputs[Bucket], "Business Income", tblMaster_Inputs[SE_Subject], "Yes", tblMaster_Inputs[Activity_Type], "Baseline")</f>
        <v>0</v>
      </c>
      <c r="K26" s="12">
        <f>J26</f>
        <v>0</v>
      </c>
      <c r="L26" s="2" t="s">
        <v>107</v>
      </c>
    </row>
    <row r="27" spans="1:17" x14ac:dyDescent="0.35">
      <c r="A27" t="s">
        <v>108</v>
      </c>
      <c r="B27" s="96">
        <f>J134</f>
        <v>0.20263189269746648</v>
      </c>
      <c r="C27" s="96">
        <f>J134</f>
        <v>0.20263189269746648</v>
      </c>
      <c r="D27" s="96">
        <f>K134</f>
        <v>0.18049706457925635</v>
      </c>
      <c r="E27" s="96">
        <f>B27-D27</f>
        <v>2.2134828118210131E-2</v>
      </c>
      <c r="I27" t="s">
        <v>109</v>
      </c>
      <c r="J27" s="12">
        <f>SUMIFS(tblMaster_Inputs[Baseline_Amount], tblMaster_Inputs[Year], 2025, tblMaster_Inputs[Bucket], "Business Income", tblMaster_Inputs[SE_Subject], "No", tblMaster_Inputs[NIIT_Class], "Active", tblMaster_Inputs[Activity_Type], "Baseline")</f>
        <v>200000</v>
      </c>
      <c r="K27" s="12">
        <f>J27+SUMIFS(tblY2025_Strategies[Amount],tblY2025_Strategies[TargetLine],"8")-SUMIFS(tblY2025_Strategies[Amount],tblY2025_Strategies[CounterLine],"8")</f>
        <v>145000</v>
      </c>
      <c r="L27" s="2" t="s">
        <v>110</v>
      </c>
    </row>
    <row r="28" spans="1:17" x14ac:dyDescent="0.35">
      <c r="A28" t="s">
        <v>111</v>
      </c>
      <c r="B28" s="97">
        <f>COUNTIF(tblY2025_Strategies[Status],"Committed")</f>
        <v>3</v>
      </c>
      <c r="C28" s="97" t="s">
        <v>112</v>
      </c>
      <c r="D28" s="94">
        <f>SUMIF(tblY2025_Strategies[Status],"Committed",tblY2025_Strategies[Amount])</f>
        <v>-113550</v>
      </c>
      <c r="E28" s="97"/>
      <c r="I28" t="s">
        <v>113</v>
      </c>
      <c r="J28" s="12">
        <f>SUMIFS(tblMaster_Inputs[Baseline_Amount], tblMaster_Inputs[Year], 2025, tblMaster_Inputs[Bucket], "Business Income", tblMaster_Inputs[NIIT_Class], "Passive", tblMaster_Inputs[Activity_Type], "Baseline")</f>
        <v>0</v>
      </c>
      <c r="K28" s="12">
        <f>J28</f>
        <v>0</v>
      </c>
      <c r="L28" s="2" t="s">
        <v>114</v>
      </c>
    </row>
    <row r="29" spans="1:17" x14ac:dyDescent="0.35">
      <c r="I29" t="s">
        <v>115</v>
      </c>
      <c r="J29" s="12">
        <f>SUMIFS(tblMaster_Inputs[Helper_Amount], tblMaster_Inputs[Year], 2025, tblMaster_Inputs[Helper_Treatment], "TAX_EXEMPT")</f>
        <v>0</v>
      </c>
      <c r="K29" s="12">
        <f>J29+SUMIFS(tblY2025_Strategies[Amount],tblY2025_Strategies[TargetLine],"2a")-SUMIFS(tblY2025_Strategies[Amount],tblY2025_Strategies[CounterLine],"2a")</f>
        <v>0</v>
      </c>
      <c r="L29" s="2" t="s">
        <v>116</v>
      </c>
    </row>
    <row r="30" spans="1:17" x14ac:dyDescent="0.35">
      <c r="I30" t="s">
        <v>117</v>
      </c>
      <c r="J30" s="12">
        <f>SUMIFS(tblMaster_Inputs[Helper_Amount], tblMaster_Inputs[Year], 2025, tblMaster_Inputs[Helper_Treatment], "QUAL_DIV", tblMaster_Inputs[Activity_Type], "Baseline")</f>
        <v>7000</v>
      </c>
      <c r="K30" s="12">
        <f>J30</f>
        <v>7000</v>
      </c>
      <c r="L30" s="2" t="s">
        <v>118</v>
      </c>
    </row>
    <row r="31" spans="1:17" x14ac:dyDescent="0.35">
      <c r="I31" t="s">
        <v>119</v>
      </c>
      <c r="J31" s="12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>25000</v>
      </c>
      <c r="K31" s="12">
        <f>J31+SUMIFS(tblY2025_Strategies[Amount],tblY2025_Strategies[TargetLine],"7")-SUMIFS(tblY2025_Strategies[Amount],tblY2025_Strategies[CounterLine],"7")</f>
        <v>25000</v>
      </c>
      <c r="L31" s="2" t="s">
        <v>120</v>
      </c>
    </row>
    <row r="32" spans="1:17" x14ac:dyDescent="0.35">
      <c r="I32" t="s">
        <v>121</v>
      </c>
      <c r="J32" s="12">
        <f>SUMIFS(tblMaster_Inputs[Baseline_Amount], tblMaster_Inputs[Year], 2025, tblMaster_Inputs[Treatment_Profile], "STCG_Stock", tblMaster_Inputs[Activity_Type], "Baseline")</f>
        <v>0</v>
      </c>
      <c r="K32" s="12">
        <f>J32</f>
        <v>0</v>
      </c>
      <c r="L32" s="2" t="s">
        <v>122</v>
      </c>
    </row>
    <row r="33" spans="9:12" x14ac:dyDescent="0.35">
      <c r="I33" t="s">
        <v>123</v>
      </c>
      <c r="J33" s="12">
        <f>SUMIFS(tblMaster_Inputs[Helper_Amount], tblMaster_Inputs[Year], 2025, tblMaster_Inputs[Helper_Treatment], "SEC1250", tblMaster_Inputs[Activity_Type], "Baseline")</f>
        <v>0</v>
      </c>
      <c r="K33" s="12">
        <f>J33</f>
        <v>0</v>
      </c>
      <c r="L33" s="2" t="s">
        <v>124</v>
      </c>
    </row>
    <row r="36" spans="9:12" x14ac:dyDescent="0.35">
      <c r="I36" s="3" t="s">
        <v>11</v>
      </c>
      <c r="J36" s="3" t="s">
        <v>125</v>
      </c>
      <c r="K36" s="3" t="s">
        <v>16</v>
      </c>
      <c r="L36" s="3" t="s">
        <v>126</v>
      </c>
    </row>
    <row r="37" spans="9:12" x14ac:dyDescent="0.35">
      <c r="I37" t="s">
        <v>127</v>
      </c>
      <c r="J37" s="12">
        <f>K18-J31-J30-J33</f>
        <v>293500</v>
      </c>
      <c r="K37" s="12">
        <f>P18-K31-K30-K33</f>
        <v>212950</v>
      </c>
      <c r="L37" s="2" t="s">
        <v>128</v>
      </c>
    </row>
    <row r="38" spans="9:12" x14ac:dyDescent="0.35">
      <c r="I38" t="s">
        <v>129</v>
      </c>
      <c r="J38" s="12">
        <f>K15+J29</f>
        <v>335500</v>
      </c>
      <c r="K38" s="12">
        <f>P15+K29</f>
        <v>239950</v>
      </c>
      <c r="L38" s="2" t="s">
        <v>130</v>
      </c>
    </row>
    <row r="39" spans="9:12" x14ac:dyDescent="0.35">
      <c r="I39" t="s">
        <v>131</v>
      </c>
      <c r="J39" s="12">
        <f>K8+K10+K11+J28</f>
        <v>35500</v>
      </c>
      <c r="K39" s="12">
        <f>P8+P10+P11+K28</f>
        <v>35500</v>
      </c>
      <c r="L39" s="2" t="s">
        <v>132</v>
      </c>
    </row>
    <row r="40" spans="9:12" x14ac:dyDescent="0.35">
      <c r="I40" t="s">
        <v>133</v>
      </c>
      <c r="J40" s="12">
        <f>J26+J27</f>
        <v>200000</v>
      </c>
      <c r="K40" s="12">
        <f>K26+K27</f>
        <v>145000</v>
      </c>
      <c r="L40" s="2" t="s">
        <v>134</v>
      </c>
    </row>
    <row r="41" spans="9:12" x14ac:dyDescent="0.35">
      <c r="I41" t="s">
        <v>135</v>
      </c>
      <c r="J41" s="12">
        <f>K15+K16</f>
        <v>325500</v>
      </c>
      <c r="K41" s="12">
        <f>P15+P16</f>
        <v>244950</v>
      </c>
      <c r="L41" s="2" t="s">
        <v>136</v>
      </c>
    </row>
    <row r="42" spans="9:12" x14ac:dyDescent="0.35">
      <c r="I42" t="s">
        <v>137</v>
      </c>
      <c r="J42" s="12">
        <f>MIN(0,J26+J27+J28)</f>
        <v>0</v>
      </c>
      <c r="K42" s="12">
        <f>MIN(0,K26+K27+K28)</f>
        <v>0</v>
      </c>
      <c r="L42" s="2" t="s">
        <v>138</v>
      </c>
    </row>
    <row r="43" spans="9:12" x14ac:dyDescent="0.35">
      <c r="I43" t="s">
        <v>139</v>
      </c>
      <c r="J43" s="12">
        <f>J26</f>
        <v>0</v>
      </c>
      <c r="K43" s="12">
        <f>K26</f>
        <v>0</v>
      </c>
      <c r="L43" s="2" t="s">
        <v>140</v>
      </c>
    </row>
    <row r="44" spans="9:12" x14ac:dyDescent="0.35">
      <c r="I44" t="s">
        <v>141</v>
      </c>
      <c r="J44" s="55">
        <v>0</v>
      </c>
      <c r="K44" s="55">
        <f>J44</f>
        <v>0</v>
      </c>
      <c r="L44" s="2" t="s">
        <v>142</v>
      </c>
    </row>
    <row r="45" spans="9:12" x14ac:dyDescent="0.35">
      <c r="I45" t="s">
        <v>143</v>
      </c>
      <c r="J45" s="69" t="b">
        <f>IF(Control_Panel!C21="Yes",TRUE,FALSE)</f>
        <v>0</v>
      </c>
      <c r="K45" s="4" t="b">
        <f>J45</f>
        <v>0</v>
      </c>
      <c r="L45" s="2" t="s">
        <v>142</v>
      </c>
    </row>
    <row r="46" spans="9:12" x14ac:dyDescent="0.35">
      <c r="I46" t="s">
        <v>144</v>
      </c>
      <c r="J46" s="69">
        <f ca="1">Carryovers!F52</f>
        <v>0</v>
      </c>
      <c r="K46" s="55">
        <f ca="1">J46</f>
        <v>0</v>
      </c>
      <c r="L46" s="2" t="s">
        <v>145</v>
      </c>
    </row>
    <row r="49" spans="9:16" x14ac:dyDescent="0.35">
      <c r="I49" s="9" t="s">
        <v>21</v>
      </c>
      <c r="L49" s="8" t="str">
        <f>HYPERLINK("#Master_Inputs!A1", "✏ open Master_Inputs to edit")</f>
        <v>✏ open Master_Inputs to edit</v>
      </c>
    </row>
    <row r="51" spans="9:16" ht="29" customHeight="1" x14ac:dyDescent="0.35">
      <c r="I51" s="3" t="s">
        <v>146</v>
      </c>
      <c r="J51" s="3" t="s">
        <v>147</v>
      </c>
      <c r="K51" s="3"/>
      <c r="L51" s="3" t="s">
        <v>148</v>
      </c>
      <c r="M51" s="3" t="s">
        <v>149</v>
      </c>
      <c r="N51" s="3" t="s">
        <v>150</v>
      </c>
      <c r="O51" s="3" t="s">
        <v>8</v>
      </c>
      <c r="P51" s="3"/>
    </row>
    <row r="65" spans="9:16" ht="16" customHeight="1" thickBot="1" x14ac:dyDescent="0.4">
      <c r="I65" s="80" t="s">
        <v>151</v>
      </c>
      <c r="J65" s="48" t="s">
        <v>96</v>
      </c>
      <c r="K65" s="48" t="s">
        <v>16</v>
      </c>
      <c r="L65" s="48" t="s">
        <v>152</v>
      </c>
      <c r="M65" s="50"/>
      <c r="N65" s="50"/>
      <c r="O65" s="50"/>
      <c r="P65" s="49"/>
    </row>
    <row r="66" spans="9:16" x14ac:dyDescent="0.35">
      <c r="I66" t="s">
        <v>153</v>
      </c>
    </row>
    <row r="68" spans="9:16" x14ac:dyDescent="0.35">
      <c r="I68" s="80" t="s">
        <v>154</v>
      </c>
      <c r="J68" s="35"/>
      <c r="K68" s="35"/>
      <c r="L68" s="35"/>
    </row>
    <row r="69" spans="9:16" x14ac:dyDescent="0.35">
      <c r="I69" t="s">
        <v>155</v>
      </c>
      <c r="J69" s="12"/>
      <c r="K69" s="12"/>
      <c r="L69" s="12"/>
    </row>
    <row r="70" spans="9:16" x14ac:dyDescent="0.35">
      <c r="I70" t="s">
        <v>156</v>
      </c>
      <c r="J70" s="12">
        <f>J43</f>
        <v>0</v>
      </c>
      <c r="K70" s="12">
        <f>K43</f>
        <v>0</v>
      </c>
      <c r="L70" s="12"/>
    </row>
    <row r="71" spans="9:16" x14ac:dyDescent="0.35">
      <c r="I71" t="s">
        <v>157</v>
      </c>
      <c r="J71" s="19">
        <f>J70*SUMIFS(tblThresholds[Value], tblThresholds[Year], 2025, tblThresholds[FilingStatus], Filing_Status, tblThresholds[Item], "SE_Earnings_Factor")</f>
        <v>0</v>
      </c>
      <c r="K71" s="19">
        <f>K70*SUMIFS(tblThresholds[Value], tblThresholds[Year], 2025, tblThresholds[FilingStatus], Filing_Status, tblThresholds[Item], "SE_Earnings_Factor")</f>
        <v>0</v>
      </c>
      <c r="L71" s="19"/>
    </row>
    <row r="72" spans="9:16" x14ac:dyDescent="0.35">
      <c r="I72" t="s">
        <v>158</v>
      </c>
      <c r="J72" s="12">
        <f>J25</f>
        <v>100000</v>
      </c>
      <c r="K72" s="12">
        <f>K25</f>
        <v>75000</v>
      </c>
      <c r="L72" s="12"/>
    </row>
    <row r="73" spans="9:16" x14ac:dyDescent="0.35">
      <c r="I73" t="s">
        <v>159</v>
      </c>
      <c r="J73" s="12">
        <f>MAX(0,SUMIFS(tblThresholds[Value], tblThresholds[Year], 2025, tblThresholds[FilingStatus], Filing_Status, tblThresholds[Item], "SS_Wage_Base")-J72)</f>
        <v>76100</v>
      </c>
      <c r="K73" s="12">
        <f>MAX(0,SUMIFS(tblThresholds[Value], tblThresholds[Year], 2025, tblThresholds[FilingStatus], Filing_Status, tblThresholds[Item], "SS_Wage_Base")-K72)</f>
        <v>101100</v>
      </c>
      <c r="L73" s="12"/>
    </row>
    <row r="74" spans="9:16" x14ac:dyDescent="0.35">
      <c r="J74" s="38">
        <f>MIN(J71,J73)</f>
        <v>0</v>
      </c>
      <c r="K74" s="38">
        <f>MIN(K71,K73)</f>
        <v>0</v>
      </c>
      <c r="L74" s="38"/>
    </row>
    <row r="75" spans="9:16" x14ac:dyDescent="0.35">
      <c r="I75" t="s">
        <v>160</v>
      </c>
      <c r="J75" s="12">
        <f>J74*SUMIFS(tblThresholds[Value], tblThresholds[Year], 2025, tblThresholds[FilingStatus], Filing_Status, tblThresholds[Item], "SS_Rate_Combined")</f>
        <v>0</v>
      </c>
      <c r="K75" s="12">
        <f>K74*SUMIFS(tblThresholds[Value], tblThresholds[Year], 2025, tblThresholds[FilingStatus], Filing_Status, tblThresholds[Item], "SS_Rate_Combined")</f>
        <v>0</v>
      </c>
      <c r="L75" s="12"/>
    </row>
    <row r="76" spans="9:16" ht="15.5" customHeight="1" x14ac:dyDescent="0.35">
      <c r="I76" t="s">
        <v>161</v>
      </c>
      <c r="J76" s="51">
        <f>J71*SUMIFS(tblThresholds[Value], tblThresholds[Year], 2025, tblThresholds[FilingStatus], Filing_Status, tblThresholds[Item], "Medicare_Rate_Combined")</f>
        <v>0</v>
      </c>
      <c r="K76" s="51">
        <f>K71*SUMIFS(tblThresholds[Value], tblThresholds[Year], 2025, tblThresholds[FilingStatus], Filing_Status, tblThresholds[Item], "Medicare_Rate_Combined")</f>
        <v>0</v>
      </c>
      <c r="L76" s="51"/>
    </row>
    <row r="77" spans="9:16" x14ac:dyDescent="0.35">
      <c r="I77" t="s">
        <v>162</v>
      </c>
      <c r="J77" s="12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>0</v>
      </c>
      <c r="K77" s="12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>0</v>
      </c>
      <c r="L77" s="12"/>
    </row>
    <row r="78" spans="9:16" x14ac:dyDescent="0.35">
      <c r="J78" s="12">
        <f>-(J75+J76)/2</f>
        <v>0</v>
      </c>
      <c r="K78" s="12">
        <f>-(K75+K76)/2</f>
        <v>0</v>
      </c>
      <c r="L78" s="12"/>
    </row>
    <row r="79" spans="9:16" ht="18.5" customHeight="1" x14ac:dyDescent="0.45">
      <c r="J79" s="52"/>
      <c r="K79" s="12"/>
      <c r="L79" s="12"/>
    </row>
    <row r="80" spans="9:16" x14ac:dyDescent="0.35">
      <c r="I80" s="13" t="s">
        <v>163</v>
      </c>
      <c r="J80" s="19">
        <f>J75+J76+J77</f>
        <v>0</v>
      </c>
      <c r="K80" s="19">
        <f>K75+K76+K77</f>
        <v>0</v>
      </c>
      <c r="L80" s="19">
        <f>J80-K80</f>
        <v>0</v>
      </c>
    </row>
    <row r="81" spans="9:12" x14ac:dyDescent="0.35">
      <c r="J81" s="12"/>
      <c r="K81" s="12"/>
      <c r="L81" s="12"/>
    </row>
    <row r="82" spans="9:12" x14ac:dyDescent="0.35">
      <c r="I82" s="80" t="s">
        <v>164</v>
      </c>
      <c r="J82" s="12"/>
      <c r="K82" s="12"/>
      <c r="L82" s="12"/>
    </row>
    <row r="83" spans="9:12" x14ac:dyDescent="0.35">
      <c r="I83" t="s">
        <v>158</v>
      </c>
      <c r="J83" s="12">
        <f>J25</f>
        <v>100000</v>
      </c>
      <c r="K83" s="12">
        <f>K25</f>
        <v>75000</v>
      </c>
      <c r="L83" s="12"/>
    </row>
    <row r="84" spans="9:12" x14ac:dyDescent="0.35">
      <c r="I84" t="s">
        <v>165</v>
      </c>
      <c r="J84" s="12">
        <f>MIN(J83,SUMIFS(tblThresholds[Value], tblThresholds[Year], 2025, tblThresholds[FilingStatus], Filing_Status, tblThresholds[Item], "SS_Wage_Base"))*0.062</f>
        <v>6200</v>
      </c>
      <c r="K84" s="12">
        <f>MIN(K83,SUMIFS(tblThresholds[Value], tblThresholds[Year], 2025, tblThresholds[FilingStatus], Filing_Status, tblThresholds[Item], "SS_Wage_Base"))*0.062</f>
        <v>4650</v>
      </c>
      <c r="L84" s="12"/>
    </row>
    <row r="85" spans="9:12" x14ac:dyDescent="0.35">
      <c r="I85" t="s">
        <v>166</v>
      </c>
      <c r="J85" s="12">
        <f>J83*0.0145</f>
        <v>1450</v>
      </c>
      <c r="K85" s="12">
        <f>K83*0.0145</f>
        <v>1087.5</v>
      </c>
      <c r="L85" s="12"/>
    </row>
    <row r="86" spans="9:12" x14ac:dyDescent="0.35">
      <c r="I86" t="s">
        <v>162</v>
      </c>
      <c r="J86" s="12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>0</v>
      </c>
      <c r="K86" s="12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>0</v>
      </c>
      <c r="L86" s="12"/>
    </row>
    <row r="87" spans="9:12" x14ac:dyDescent="0.35">
      <c r="I87" s="13" t="s">
        <v>167</v>
      </c>
      <c r="J87" s="19">
        <f>J84+J85+J86</f>
        <v>7650</v>
      </c>
      <c r="K87" s="19">
        <f>K84+K85+K86</f>
        <v>5737.5</v>
      </c>
      <c r="L87" s="19">
        <f>J87-K87</f>
        <v>1912.5</v>
      </c>
    </row>
    <row r="88" spans="9:12" x14ac:dyDescent="0.35">
      <c r="I88" s="13" t="s">
        <v>168</v>
      </c>
      <c r="J88" s="19">
        <f>J84</f>
        <v>6200</v>
      </c>
      <c r="K88" s="19">
        <f>K84</f>
        <v>4650</v>
      </c>
      <c r="L88" s="19">
        <f>J88-K88</f>
        <v>1550</v>
      </c>
    </row>
    <row r="89" spans="9:12" x14ac:dyDescent="0.35">
      <c r="I89" s="13" t="s">
        <v>169</v>
      </c>
      <c r="J89" s="19">
        <f>J85</f>
        <v>1450</v>
      </c>
      <c r="K89" s="19">
        <f>K85</f>
        <v>1087.5</v>
      </c>
      <c r="L89" s="19">
        <f>J89-K89</f>
        <v>362.5</v>
      </c>
    </row>
    <row r="90" spans="9:12" x14ac:dyDescent="0.35">
      <c r="I90" s="13"/>
      <c r="J90" s="19"/>
      <c r="K90" s="19"/>
      <c r="L90" s="19"/>
    </row>
    <row r="91" spans="9:12" x14ac:dyDescent="0.35">
      <c r="I91" s="13" t="s">
        <v>170</v>
      </c>
      <c r="J91" s="19">
        <f>J87+J88+J89</f>
        <v>15300</v>
      </c>
      <c r="K91" s="19">
        <f>K87+K88+K89</f>
        <v>11475</v>
      </c>
      <c r="L91" s="19">
        <f>J91-K91</f>
        <v>3825</v>
      </c>
    </row>
    <row r="92" spans="9:12" x14ac:dyDescent="0.35">
      <c r="J92" s="12"/>
      <c r="K92" s="12"/>
      <c r="L92" s="12"/>
    </row>
    <row r="93" spans="9:12" x14ac:dyDescent="0.35">
      <c r="I93" s="80" t="s">
        <v>171</v>
      </c>
      <c r="J93" s="12"/>
      <c r="K93" s="12"/>
      <c r="L93" s="12"/>
    </row>
    <row r="94" spans="9:12" x14ac:dyDescent="0.35">
      <c r="I94" t="s">
        <v>103</v>
      </c>
      <c r="J94" s="12">
        <f>J37</f>
        <v>293500</v>
      </c>
      <c r="K94" s="12">
        <f>K37</f>
        <v>212950</v>
      </c>
      <c r="L94" s="12"/>
    </row>
    <row r="95" spans="9:12" x14ac:dyDescent="0.35">
      <c r="I95" t="s">
        <v>172</v>
      </c>
      <c r="J95" s="12">
        <f>MAX(0,J94)</f>
        <v>293500</v>
      </c>
      <c r="K95" s="12">
        <f>MAX(0,K94)</f>
        <v>212950</v>
      </c>
      <c r="L95" s="12"/>
    </row>
    <row r="96" spans="9:12" x14ac:dyDescent="0.35">
      <c r="I96" t="s">
        <v>173</v>
      </c>
      <c r="J96" s="12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>56134</v>
      </c>
      <c r="K96" s="12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>36802</v>
      </c>
      <c r="L96" s="12"/>
    </row>
    <row r="97" spans="9:12" x14ac:dyDescent="0.35">
      <c r="I97" s="13" t="s">
        <v>174</v>
      </c>
      <c r="J97" s="19">
        <f>J96</f>
        <v>56134</v>
      </c>
      <c r="K97" s="19">
        <f>K96</f>
        <v>36802</v>
      </c>
      <c r="L97" s="19">
        <f>J97-K97</f>
        <v>19332</v>
      </c>
    </row>
    <row r="98" spans="9:12" x14ac:dyDescent="0.35">
      <c r="J98" s="12"/>
      <c r="K98" s="12"/>
      <c r="L98" s="12"/>
    </row>
    <row r="99" spans="9:12" x14ac:dyDescent="0.35">
      <c r="I99" s="80" t="s">
        <v>175</v>
      </c>
      <c r="J99" s="12"/>
      <c r="K99" s="12"/>
      <c r="L99" s="12"/>
    </row>
    <row r="100" spans="9:12" x14ac:dyDescent="0.35">
      <c r="I100" t="s">
        <v>176</v>
      </c>
      <c r="J100" s="12">
        <f>J31+J30</f>
        <v>32000</v>
      </c>
      <c r="K100" s="12">
        <f>K31+K30</f>
        <v>32000</v>
      </c>
      <c r="L100" s="12"/>
    </row>
    <row r="101" spans="9:12" x14ac:dyDescent="0.35">
      <c r="I101" t="s">
        <v>177</v>
      </c>
      <c r="J101" s="12">
        <f>J33</f>
        <v>0</v>
      </c>
      <c r="K101" s="12">
        <f>K33</f>
        <v>0</v>
      </c>
      <c r="L101" s="12"/>
    </row>
    <row r="102" spans="9:12" x14ac:dyDescent="0.35">
      <c r="I102" t="s">
        <v>178</v>
      </c>
      <c r="J102" s="12">
        <f>J95</f>
        <v>293500</v>
      </c>
      <c r="K102" s="12">
        <f>K95</f>
        <v>212950</v>
      </c>
      <c r="L102" s="12"/>
    </row>
    <row r="103" spans="9:12" x14ac:dyDescent="0.35">
      <c r="I103" t="s">
        <v>179</v>
      </c>
      <c r="J103" s="12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>34320</v>
      </c>
      <c r="K103" s="12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>22237.5</v>
      </c>
      <c r="L103" s="12"/>
    </row>
    <row r="104" spans="9:12" x14ac:dyDescent="0.35">
      <c r="I104" t="s">
        <v>180</v>
      </c>
      <c r="J104" s="12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>29520</v>
      </c>
      <c r="K104" s="12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>17437.5</v>
      </c>
      <c r="L104" s="12"/>
    </row>
    <row r="105" spans="9:12" x14ac:dyDescent="0.35">
      <c r="I105" t="s">
        <v>181</v>
      </c>
      <c r="J105" s="12">
        <f>J103-J104</f>
        <v>4800</v>
      </c>
      <c r="K105" s="12">
        <f>K103-K104</f>
        <v>4800</v>
      </c>
      <c r="L105" s="12"/>
    </row>
    <row r="106" spans="9:12" x14ac:dyDescent="0.35">
      <c r="J106" s="12">
        <f>J33*0.25</f>
        <v>0</v>
      </c>
      <c r="K106" s="12">
        <f>K33*0.25</f>
        <v>0</v>
      </c>
      <c r="L106" s="12"/>
    </row>
    <row r="107" spans="9:12" x14ac:dyDescent="0.35">
      <c r="I107" s="13" t="s">
        <v>182</v>
      </c>
      <c r="J107" s="19">
        <f>J105+J106</f>
        <v>4800</v>
      </c>
      <c r="K107" s="19">
        <f>K105+K106</f>
        <v>4800</v>
      </c>
      <c r="L107" s="19">
        <f>J107-K107</f>
        <v>0</v>
      </c>
    </row>
    <row r="108" spans="9:12" x14ac:dyDescent="0.35">
      <c r="J108" s="12"/>
      <c r="K108" s="12"/>
      <c r="L108" s="12"/>
    </row>
    <row r="109" spans="9:12" x14ac:dyDescent="0.35">
      <c r="I109" s="80" t="s">
        <v>183</v>
      </c>
      <c r="J109" s="12"/>
      <c r="K109" s="12"/>
      <c r="L109" s="12"/>
    </row>
    <row r="110" spans="9:12" x14ac:dyDescent="0.35">
      <c r="I110" t="s">
        <v>184</v>
      </c>
      <c r="J110" s="12">
        <f>J38</f>
        <v>335500</v>
      </c>
      <c r="K110" s="12">
        <f>K38</f>
        <v>239950</v>
      </c>
      <c r="L110" s="12"/>
    </row>
    <row r="111" spans="9:12" x14ac:dyDescent="0.35">
      <c r="I111" t="s">
        <v>185</v>
      </c>
      <c r="J111" s="12">
        <f>SUMIFS(tblThresholds[Value], tblThresholds[Year], 2025, tblThresholds[FilingStatus], Filing_Status, tblThresholds[Item], "NIIT_Threshold")</f>
        <v>250000</v>
      </c>
      <c r="K111" s="12">
        <f>SUMIFS(tblThresholds[Value], tblThresholds[Year], 2025, tblThresholds[FilingStatus], Filing_Status, tblThresholds[Item], "NIIT_Threshold")</f>
        <v>250000</v>
      </c>
      <c r="L111" s="12"/>
    </row>
    <row r="112" spans="9:12" x14ac:dyDescent="0.35">
      <c r="I112" t="s">
        <v>186</v>
      </c>
      <c r="J112" s="12">
        <f>MAX(0,J39)</f>
        <v>35500</v>
      </c>
      <c r="K112" s="12">
        <f>MAX(0,K39)</f>
        <v>35500</v>
      </c>
      <c r="L112" s="12"/>
    </row>
    <row r="113" spans="9:12" x14ac:dyDescent="0.35">
      <c r="I113" t="s">
        <v>187</v>
      </c>
      <c r="J113" s="12">
        <f>MAX(0,J110-J111)</f>
        <v>85500</v>
      </c>
      <c r="K113" s="12">
        <f>MAX(0,K110-K111)</f>
        <v>0</v>
      </c>
      <c r="L113" s="12"/>
    </row>
    <row r="114" spans="9:12" x14ac:dyDescent="0.35">
      <c r="I114" s="13" t="s">
        <v>188</v>
      </c>
      <c r="J114" s="19">
        <f>MIN(J112,J113)*SUMIFS(tblThresholds[Value], tblThresholds[Year], 2025, tblThresholds[FilingStatus], Filing_Status, tblThresholds[Item], "NIIT_Rate")</f>
        <v>1349</v>
      </c>
      <c r="K114" s="19">
        <f>MIN(K112,K113)*SUMIFS(tblThresholds[Value], tblThresholds[Year], 2025, tblThresholds[FilingStatus], Filing_Status, tblThresholds[Item], "NIIT_Rate")</f>
        <v>0</v>
      </c>
      <c r="L114" s="19">
        <f>J114-K114</f>
        <v>1349</v>
      </c>
    </row>
    <row r="115" spans="9:12" x14ac:dyDescent="0.35">
      <c r="J115" s="12"/>
      <c r="K115" s="12"/>
      <c r="L115" s="12"/>
    </row>
    <row r="116" spans="9:12" x14ac:dyDescent="0.35">
      <c r="I116" s="80" t="s">
        <v>189</v>
      </c>
      <c r="J116" s="12"/>
      <c r="K116" s="12"/>
      <c r="L116" s="12"/>
    </row>
    <row r="117" spans="9:12" x14ac:dyDescent="0.35">
      <c r="I117" t="s">
        <v>190</v>
      </c>
      <c r="J117" s="12">
        <f>J40</f>
        <v>200000</v>
      </c>
      <c r="K117" s="12">
        <f>K40</f>
        <v>145000</v>
      </c>
      <c r="L117" s="12"/>
    </row>
    <row r="118" spans="9:12" x14ac:dyDescent="0.35">
      <c r="I118" t="s">
        <v>191</v>
      </c>
      <c r="J118" s="12">
        <f>MAX(0,J117)*0.2</f>
        <v>40000</v>
      </c>
      <c r="K118" s="12">
        <f>MAX(0,K117)*0.2</f>
        <v>29000</v>
      </c>
      <c r="L118" s="12"/>
    </row>
    <row r="119" spans="9:12" x14ac:dyDescent="0.35">
      <c r="I119" t="s">
        <v>192</v>
      </c>
      <c r="J119" s="12">
        <f>MAX(0,J41)*0.2</f>
        <v>65100</v>
      </c>
      <c r="K119" s="12">
        <f>MAX(0,K41)*0.2</f>
        <v>48990</v>
      </c>
      <c r="L119" s="12"/>
    </row>
    <row r="120" spans="9:12" x14ac:dyDescent="0.35">
      <c r="I120" t="s">
        <v>193</v>
      </c>
      <c r="J120" s="12">
        <f>MAX(J23*0.5, J23*0.25+J44*0.025)</f>
        <v>50000</v>
      </c>
      <c r="K120" s="12">
        <f>MAX(K23*0.5, K23*0.25+K44*0.025)</f>
        <v>37500</v>
      </c>
      <c r="L120" s="12"/>
    </row>
    <row r="121" spans="9:12" x14ac:dyDescent="0.35">
      <c r="I121" t="s">
        <v>194</v>
      </c>
      <c r="J121" s="12" t="str">
        <f>IF(J41&gt;SUMIFS(tblThresholds[Value], tblThresholds[Year], 2025, tblThresholds[FilingStatus], Filing_Status, tblThresholds[Item], "QBI_Threshold_Start"),"YES","NO")</f>
        <v>NO</v>
      </c>
      <c r="K121" s="12" t="str">
        <f>IF(K41&gt;SUMIFS(tblThresholds[Value], tblThresholds[Year], 2025, tblThresholds[FilingStatus], Filing_Status, tblThresholds[Item], "QBI_Threshold_Start"),"YES","NO")</f>
        <v>NO</v>
      </c>
      <c r="L121" s="12"/>
    </row>
    <row r="122" spans="9:12" x14ac:dyDescent="0.35">
      <c r="I122" s="13" t="s">
        <v>195</v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>40000</v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>29000</v>
      </c>
      <c r="L122" s="19">
        <f>K122-J122</f>
        <v>-11000</v>
      </c>
    </row>
    <row r="123" spans="9:12" x14ac:dyDescent="0.35">
      <c r="J123" s="12"/>
      <c r="K123" s="12"/>
      <c r="L123" s="12"/>
    </row>
    <row r="124" spans="9:12" x14ac:dyDescent="0.35">
      <c r="I124" s="80" t="s">
        <v>196</v>
      </c>
      <c r="J124" s="12"/>
      <c r="K124" s="12"/>
      <c r="L124" s="12"/>
    </row>
    <row r="125" spans="9:12" x14ac:dyDescent="0.35">
      <c r="I125" t="s">
        <v>100</v>
      </c>
      <c r="J125" s="12">
        <f>K6+K8+K10+K11+K12</f>
        <v>335500</v>
      </c>
      <c r="K125" s="12">
        <f>P13</f>
        <v>255500</v>
      </c>
      <c r="L125" s="12" t="s">
        <v>152</v>
      </c>
    </row>
    <row r="126" spans="9:12" x14ac:dyDescent="0.35">
      <c r="I126" t="s">
        <v>197</v>
      </c>
      <c r="J126" s="12">
        <f>J97</f>
        <v>56134</v>
      </c>
      <c r="K126" s="12">
        <f>K97</f>
        <v>36802</v>
      </c>
      <c r="L126" s="12">
        <f t="shared" ref="L126:L131" si="1">J126-K126</f>
        <v>19332</v>
      </c>
    </row>
    <row r="127" spans="9:12" x14ac:dyDescent="0.35">
      <c r="I127" t="s">
        <v>198</v>
      </c>
      <c r="J127" s="12">
        <f>J107</f>
        <v>4800</v>
      </c>
      <c r="K127" s="12">
        <f>K107</f>
        <v>4800</v>
      </c>
      <c r="L127" s="12">
        <f t="shared" si="1"/>
        <v>0</v>
      </c>
    </row>
    <row r="128" spans="9:12" x14ac:dyDescent="0.35">
      <c r="I128" t="s">
        <v>199</v>
      </c>
      <c r="J128" s="12">
        <f>J80</f>
        <v>0</v>
      </c>
      <c r="K128" s="12">
        <f>K80</f>
        <v>0</v>
      </c>
      <c r="L128" s="12">
        <f t="shared" si="1"/>
        <v>0</v>
      </c>
    </row>
    <row r="129" spans="9:12" x14ac:dyDescent="0.35">
      <c r="I129" t="s">
        <v>200</v>
      </c>
      <c r="J129" s="12">
        <f>J91</f>
        <v>15300</v>
      </c>
      <c r="K129" s="12">
        <f>K91</f>
        <v>11475</v>
      </c>
      <c r="L129" s="12">
        <f t="shared" si="1"/>
        <v>3825</v>
      </c>
    </row>
    <row r="130" spans="9:12" x14ac:dyDescent="0.35">
      <c r="I130" t="s">
        <v>201</v>
      </c>
      <c r="J130" s="12">
        <f>J114</f>
        <v>1349</v>
      </c>
      <c r="K130" s="12">
        <f>K114</f>
        <v>0</v>
      </c>
      <c r="L130" s="12">
        <f t="shared" si="1"/>
        <v>1349</v>
      </c>
    </row>
    <row r="131" spans="9:12" x14ac:dyDescent="0.35">
      <c r="I131" t="s">
        <v>202</v>
      </c>
      <c r="J131" s="12">
        <f>-J122*0.24</f>
        <v>-9600</v>
      </c>
      <c r="K131" s="12">
        <f>-K122*0.24</f>
        <v>-6960</v>
      </c>
      <c r="L131" s="12">
        <f t="shared" si="1"/>
        <v>-2640</v>
      </c>
    </row>
    <row r="132" spans="9:12" x14ac:dyDescent="0.35">
      <c r="J132" s="12"/>
      <c r="K132" s="12"/>
      <c r="L132" s="12"/>
    </row>
    <row r="133" spans="9:12" x14ac:dyDescent="0.35">
      <c r="I133" s="13" t="s">
        <v>203</v>
      </c>
      <c r="J133" s="19">
        <f>SUM(J126:J131)</f>
        <v>67983</v>
      </c>
      <c r="K133" s="19">
        <f>SUM(K126:K131)</f>
        <v>46117</v>
      </c>
      <c r="L133" s="19">
        <f>J133-K133</f>
        <v>21866</v>
      </c>
    </row>
    <row r="134" spans="9:12" x14ac:dyDescent="0.35">
      <c r="I134" t="s">
        <v>204</v>
      </c>
      <c r="J134" s="23">
        <f>IFERROR(J133/J125,0)</f>
        <v>0.20263189269746648</v>
      </c>
      <c r="K134" s="23">
        <f>IFERROR(K133/K125,0)</f>
        <v>0.18049706457925635</v>
      </c>
      <c r="L134" s="23">
        <f>J134-K134</f>
        <v>2.2134828118210131E-2</v>
      </c>
    </row>
    <row r="135" spans="9:12" x14ac:dyDescent="0.35">
      <c r="J135" s="12"/>
      <c r="K135" s="12"/>
      <c r="L135" s="12"/>
    </row>
    <row r="136" spans="9:12" x14ac:dyDescent="0.35">
      <c r="I136" s="13" t="s">
        <v>205</v>
      </c>
      <c r="J136" s="19">
        <f>L133</f>
        <v>21866</v>
      </c>
      <c r="K136" s="19"/>
      <c r="L136" s="19"/>
    </row>
  </sheetData>
  <conditionalFormatting sqref="A6:H20">
    <cfRule type="expression" dxfId="3" priority="1">
      <formula>$H6=""</formula>
    </cfRule>
  </conditionalFormatting>
  <dataValidations count="4">
    <dataValidation type="list" allowBlank="1" sqref="C11:C204" xr:uid="{00000000-0002-0000-0800-000000000000}">
      <formula1>TaxLines</formula1>
    </dataValidation>
    <dataValidation type="list" allowBlank="1" sqref="E11:E204" xr:uid="{00000000-0002-0000-0800-000001000000}">
      <formula1>Status</formula1>
    </dataValidation>
    <dataValidation type="list" sqref="I49" xr:uid="{00000000-0002-0000-0800-000002000000}">
      <formula1>"1z,2a,2b,3a,3b,7,8,9,10,11,12,13,15"</formula1>
    </dataValidation>
    <dataValidation type="list" allowBlank="1" showInputMessage="1" showErrorMessage="1" promptTitle="Prior Year?" prompt="Select Y to use prior year baseline, or leave blank" sqref="L6:L18" xr:uid="{00000000-0002-0000-0800-000003000000}">
      <formula1>"Y"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Q136"/>
  <sheetViews>
    <sheetView topLeftCell="B29" workbookViewId="0">
      <selection activeCell="L53" sqref="L53"/>
    </sheetView>
  </sheetViews>
  <sheetFormatPr defaultRowHeight="14.5" x14ac:dyDescent="0.35"/>
  <cols>
    <col min="1" max="1" width="12" customWidth="1"/>
    <col min="2" max="2" width="36" customWidth="1"/>
    <col min="3" max="3" width="12" customWidth="1"/>
    <col min="4" max="5" width="14" customWidth="1"/>
    <col min="6" max="6" width="32" customWidth="1"/>
    <col min="7" max="8" width="3" customWidth="1"/>
    <col min="9" max="9" width="36" customWidth="1"/>
    <col min="10" max="10" width="16" customWidth="1"/>
    <col min="11" max="11" width="6.36328125" customWidth="1"/>
    <col min="12" max="12" width="16" customWidth="1"/>
    <col min="13" max="13" width="14" customWidth="1"/>
    <col min="14" max="14" width="16" customWidth="1"/>
    <col min="15" max="16" width="9" customWidth="1"/>
  </cols>
  <sheetData>
    <row r="1" spans="1:17" ht="18.5" customHeight="1" x14ac:dyDescent="0.35">
      <c r="A1" s="17" t="s">
        <v>501</v>
      </c>
    </row>
    <row r="2" spans="1:17" ht="14.5" customHeight="1" x14ac:dyDescent="0.35">
      <c r="A2" s="89" t="s">
        <v>1</v>
      </c>
    </row>
    <row r="3" spans="1:17" ht="14.5" customHeight="1" x14ac:dyDescent="0.35"/>
    <row r="4" spans="1:17" ht="14.5" customHeight="1" x14ac:dyDescent="0.35">
      <c r="A4" s="80" t="s">
        <v>2</v>
      </c>
    </row>
    <row r="5" spans="1:17" ht="14.5" customHeight="1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1789</v>
      </c>
      <c r="I5" s="3" t="s">
        <v>10</v>
      </c>
      <c r="J5" s="3" t="s">
        <v>11</v>
      </c>
      <c r="K5" s="3" t="s">
        <v>12</v>
      </c>
      <c r="L5" s="53" t="s">
        <v>13</v>
      </c>
      <c r="M5" s="3" t="s">
        <v>14</v>
      </c>
      <c r="N5" s="3" t="s">
        <v>15</v>
      </c>
      <c r="O5" s="3" t="s">
        <v>16</v>
      </c>
      <c r="P5" s="98" t="s">
        <v>17</v>
      </c>
      <c r="Q5" s="3" t="s">
        <v>18</v>
      </c>
    </row>
    <row r="6" spans="1:17" ht="14.5" customHeight="1" x14ac:dyDescent="0.35">
      <c r="A6" s="65" t="s">
        <v>19</v>
      </c>
      <c r="B6" s="65" t="s">
        <v>20</v>
      </c>
      <c r="C6" s="65" t="s">
        <v>21</v>
      </c>
      <c r="D6" s="93"/>
      <c r="E6" s="65"/>
      <c r="F6" s="65"/>
      <c r="G6" s="65">
        <v>8</v>
      </c>
      <c r="H6" s="65" t="s">
        <v>929</v>
      </c>
      <c r="I6" t="s">
        <v>21</v>
      </c>
      <c r="J6" t="s">
        <v>24</v>
      </c>
      <c r="K6" s="12">
        <f>SUMIFS(tblMaster_Inputs[Baseline_Amount],tblMaster_Inputs[Year],2026,tblMaster_Inputs[Primary_Line],$I6, tblMaster_Inputs[Activity_Type], "Baseline")</f>
        <v>0</v>
      </c>
      <c r="L6" s="54"/>
      <c r="M6" s="4"/>
      <c r="N6" s="12">
        <f>SUMIFS(tblY2026_Strategies[Amount],tblY2026_Strategies[TargetLine],$I6)-SUMIFS(tblY2026_Strategies[Amount],tblY2026_Strategies[CounterLine],$I6)</f>
        <v>0</v>
      </c>
      <c r="O6" s="12">
        <f>IF(UPPER(L6)="Y",SUMIFS(tblMaster_Inputs[Baseline_Amount],tblMaster_Inputs[Year],2025,tblMaster_Inputs[Primary_Line],"1z"),IF(ISBLANK(M6),K6,M6))</f>
        <v>0</v>
      </c>
      <c r="P6" s="12">
        <f>O6+N6</f>
        <v>0</v>
      </c>
      <c r="Q6" s="8" t="str">
        <f t="shared" ref="Q6:Q18" si="0">HYPERLINK("#Y2026!I49","↗ drill")</f>
        <v>↗ drill</v>
      </c>
    </row>
    <row r="7" spans="1:17" ht="14.5" customHeight="1" x14ac:dyDescent="0.35">
      <c r="A7" s="65" t="s">
        <v>25</v>
      </c>
      <c r="B7" s="65" t="s">
        <v>26</v>
      </c>
      <c r="C7" s="65">
        <v>10</v>
      </c>
      <c r="D7" s="93"/>
      <c r="E7" s="65"/>
      <c r="F7" s="65"/>
      <c r="G7" s="65"/>
      <c r="H7" s="65" t="s">
        <v>899</v>
      </c>
      <c r="I7" t="s">
        <v>28</v>
      </c>
      <c r="J7" t="s">
        <v>461</v>
      </c>
      <c r="K7" s="12">
        <f>SUMIFS(tblMaster_Inputs[Helper_Amount],tblMaster_Inputs[Year],2026,tblMaster_Inputs[Helper_Treatment],"TAX_EXEMPT")</f>
        <v>0</v>
      </c>
      <c r="L7" s="54"/>
      <c r="M7" s="4"/>
      <c r="N7">
        <f>SUMIFS(tblY2026_Strategies[Amount],tblY2026_Strategies[TargetLine],"2a",tblY2026_Strategies[Status],"Committed")</f>
        <v>0</v>
      </c>
      <c r="O7" s="12">
        <f>IF(UPPER(L7)="Y",SUMIFS(tblMaster_Inputs[Helper_Amount],tblMaster_Inputs[Year],2025,tblMaster_Inputs[Helper_Treatment],"TAX_EXEMPT"),IF(ISBLANK(M7),K7,M7))</f>
        <v>0</v>
      </c>
      <c r="P7" s="12">
        <f>O7</f>
        <v>0</v>
      </c>
      <c r="Q7" s="8" t="str">
        <f t="shared" si="0"/>
        <v>↗ drill</v>
      </c>
    </row>
    <row r="8" spans="1:17" ht="14.5" customHeight="1" x14ac:dyDescent="0.35">
      <c r="A8" s="65" t="s">
        <v>30</v>
      </c>
      <c r="B8" s="65" t="s">
        <v>31</v>
      </c>
      <c r="C8" s="65">
        <v>12</v>
      </c>
      <c r="D8" s="93"/>
      <c r="E8" s="65"/>
      <c r="F8" s="65"/>
      <c r="G8" s="65"/>
      <c r="H8" s="65" t="s">
        <v>960</v>
      </c>
      <c r="I8" t="s">
        <v>34</v>
      </c>
      <c r="J8" t="s">
        <v>35</v>
      </c>
      <c r="K8" s="12">
        <f>SUMIFS(tblMaster_Inputs[Baseline_Amount],tblMaster_Inputs[Year],2026,tblMaster_Inputs[Primary_Line],$I8, tblMaster_Inputs[Activity_Type], "Baseline")</f>
        <v>0</v>
      </c>
      <c r="L8" s="54"/>
      <c r="M8" s="4"/>
      <c r="N8" s="12">
        <f>SUMIFS(tblY2026_Strategies[Amount],tblY2026_Strategies[TargetLine],$I8)-SUMIFS(tblY2026_Strategies[Amount],tblY2026_Strategies[CounterLine],$I8)</f>
        <v>0</v>
      </c>
      <c r="O8" s="12">
        <f>IF(UPPER(L8)="Y",SUMIFS(tblMaster_Inputs[Baseline_Amount],tblMaster_Inputs[Year],2025,tblMaster_Inputs[Primary_Line],"2b"),IF(ISBLANK(M8),K8,M8))</f>
        <v>0</v>
      </c>
      <c r="P8" s="12">
        <f>O8+N8</f>
        <v>0</v>
      </c>
      <c r="Q8" s="8" t="str">
        <f t="shared" si="0"/>
        <v>↗ drill</v>
      </c>
    </row>
    <row r="9" spans="1:17" ht="14.5" customHeight="1" x14ac:dyDescent="0.35">
      <c r="A9" s="65" t="s">
        <v>36</v>
      </c>
      <c r="B9" s="65" t="s">
        <v>37</v>
      </c>
      <c r="C9" s="65">
        <v>10</v>
      </c>
      <c r="D9" s="93"/>
      <c r="E9" s="65"/>
      <c r="F9" s="65"/>
      <c r="G9" s="65"/>
      <c r="H9" s="65" t="s">
        <v>899</v>
      </c>
      <c r="I9" t="s">
        <v>40</v>
      </c>
      <c r="J9" t="s">
        <v>491</v>
      </c>
      <c r="K9" s="12">
        <f>SUMIFS(tblMaster_Inputs[Helper_Amount],tblMaster_Inputs[Year],2026,tblMaster_Inputs[Helper_Treatment],"QUAL_DIV")</f>
        <v>0</v>
      </c>
      <c r="L9" s="54"/>
      <c r="M9" s="4"/>
      <c r="N9">
        <f>SUMIFS(tblY2026_Strategies[Amount],tblY2026_Strategies[TargetLine],"3a",tblY2026_Strategies[Status],"Committed")</f>
        <v>0</v>
      </c>
      <c r="O9" s="12">
        <f>IF(UPPER(L9)="Y",SUMIFS(tblMaster_Inputs[Helper_Amount],tblMaster_Inputs[Year],2025,tblMaster_Inputs[Helper_Treatment],"QUAL_DIV"),IF(ISBLANK(M9),K9,M9))</f>
        <v>0</v>
      </c>
      <c r="P9" s="12">
        <f>O9</f>
        <v>0</v>
      </c>
      <c r="Q9" s="8" t="str">
        <f t="shared" si="0"/>
        <v>↗ drill</v>
      </c>
    </row>
    <row r="10" spans="1:17" ht="14.5" customHeight="1" x14ac:dyDescent="0.35">
      <c r="A10" s="65" t="s">
        <v>42</v>
      </c>
      <c r="B10" s="65" t="s">
        <v>43</v>
      </c>
      <c r="C10" s="65">
        <v>8</v>
      </c>
      <c r="D10" s="93"/>
      <c r="E10" s="65"/>
      <c r="F10" s="65"/>
      <c r="G10" s="65"/>
      <c r="H10" s="65" t="s">
        <v>945</v>
      </c>
      <c r="I10" t="s">
        <v>45</v>
      </c>
      <c r="J10" t="s">
        <v>412</v>
      </c>
      <c r="K10" s="12">
        <f>SUMIFS(tblMaster_Inputs[Baseline_Amount],tblMaster_Inputs[Year],2026,tblMaster_Inputs[Primary_Line],$I10, tblMaster_Inputs[Activity_Type], "Baseline")</f>
        <v>0</v>
      </c>
      <c r="L10" s="54"/>
      <c r="M10" s="4"/>
      <c r="N10" s="12">
        <f>SUMIFS(tblY2026_Strategies[Amount],tblY2026_Strategies[TargetLine],$I10)-SUMIFS(tblY2026_Strategies[Amount],tblY2026_Strategies[CounterLine],$I10)</f>
        <v>0</v>
      </c>
      <c r="O10" s="12">
        <f>IF(UPPER(L10)="Y",SUMIFS(tblMaster_Inputs[Baseline_Amount],tblMaster_Inputs[Year],2025,tblMaster_Inputs[Primary_Line],"3b"),IF(ISBLANK(M10),K10,M10))</f>
        <v>0</v>
      </c>
      <c r="P10" s="12">
        <f>O10+N10</f>
        <v>0</v>
      </c>
      <c r="Q10" s="8" t="str">
        <f t="shared" si="0"/>
        <v>↗ drill</v>
      </c>
    </row>
    <row r="11" spans="1:17" ht="14.5" customHeight="1" x14ac:dyDescent="0.35">
      <c r="A11" s="65" t="s">
        <v>47</v>
      </c>
      <c r="B11" s="65" t="s">
        <v>48</v>
      </c>
      <c r="C11" s="65" t="s">
        <v>21</v>
      </c>
      <c r="D11" s="93"/>
      <c r="E11" s="65"/>
      <c r="F11" s="65"/>
      <c r="G11" s="65"/>
      <c r="H11" s="65" t="s">
        <v>1790</v>
      </c>
      <c r="I11">
        <v>7</v>
      </c>
      <c r="J11" t="s">
        <v>502</v>
      </c>
      <c r="K11" s="12">
        <f>SUMIFS(tblMaster_Inputs[Baseline_Amount],tblMaster_Inputs[Year],2026,tblMaster_Inputs[Primary_Line],$I11, tblMaster_Inputs[Activity_Type], "Baseline")</f>
        <v>0</v>
      </c>
      <c r="L11" s="54"/>
      <c r="M11" s="4"/>
      <c r="N11" s="12">
        <f>SUMIFS(tblY2026_Strategies[Amount],tblY2026_Strategies[TargetLine],$I11)-SUMIFS(tblY2026_Strategies[Amount],tblY2026_Strategies[CounterLine],$I11)</f>
        <v>0</v>
      </c>
      <c r="O11" s="12">
        <f>IF(UPPER(L11)="Y",SUMIFS(tblMaster_Inputs[Baseline_Amount],tblMaster_Inputs[Year],2025,tblMaster_Inputs[Primary_Line],"7"),IF(ISBLANK(M11),K11,M11))</f>
        <v>0</v>
      </c>
      <c r="P11" s="12">
        <f>O11+N11</f>
        <v>0</v>
      </c>
      <c r="Q11" s="8" t="str">
        <f t="shared" si="0"/>
        <v>↗ drill</v>
      </c>
    </row>
    <row r="12" spans="1:17" ht="14.5" customHeight="1" x14ac:dyDescent="0.35">
      <c r="A12" s="65" t="s">
        <v>52</v>
      </c>
      <c r="B12" s="65" t="s">
        <v>53</v>
      </c>
      <c r="C12" s="65">
        <v>8</v>
      </c>
      <c r="D12" s="93"/>
      <c r="E12" s="65"/>
      <c r="F12" s="65"/>
      <c r="G12" s="65"/>
      <c r="H12" s="65" t="s">
        <v>905</v>
      </c>
      <c r="I12">
        <v>8</v>
      </c>
      <c r="J12" t="s">
        <v>503</v>
      </c>
      <c r="K12" s="12">
        <f>SUMIFS(tblMaster_Inputs[Baseline_Amount],tblMaster_Inputs[Year],2026,tblMaster_Inputs[Primary_Line],$I12, tblMaster_Inputs[Activity_Type], "Baseline")</f>
        <v>0</v>
      </c>
      <c r="L12" s="54"/>
      <c r="M12" s="4"/>
      <c r="N12" s="12">
        <f>SUMIFS(tblY2026_Strategies[Amount],tblY2026_Strategies[TargetLine],$I12)-SUMIFS(tblY2026_Strategies[Amount],tblY2026_Strategies[CounterLine],$I12)</f>
        <v>0</v>
      </c>
      <c r="O12" s="12">
        <f>IF(UPPER(L12)="Y",SUMIFS(tblMaster_Inputs[Baseline_Amount],tblMaster_Inputs[Year],2025,tblMaster_Inputs[Primary_Line],"8"),IF(ISBLANK(M12),K12,M12))</f>
        <v>0</v>
      </c>
      <c r="P12" s="12">
        <f>O12+N12</f>
        <v>0</v>
      </c>
      <c r="Q12" s="8" t="str">
        <f t="shared" si="0"/>
        <v>↗ drill</v>
      </c>
    </row>
    <row r="13" spans="1:17" ht="14.5" customHeight="1" x14ac:dyDescent="0.35">
      <c r="A13" s="65" t="s">
        <v>57</v>
      </c>
      <c r="B13" s="65" t="s">
        <v>58</v>
      </c>
      <c r="C13" s="65">
        <v>8</v>
      </c>
      <c r="D13" s="93"/>
      <c r="E13" s="65"/>
      <c r="F13" s="65"/>
      <c r="G13" s="65"/>
      <c r="H13" s="65" t="s">
        <v>909</v>
      </c>
      <c r="I13">
        <v>9</v>
      </c>
      <c r="J13" t="s">
        <v>61</v>
      </c>
      <c r="K13" s="12">
        <f>K6+K8+K10+K11+K12</f>
        <v>0</v>
      </c>
      <c r="L13" s="54"/>
      <c r="M13" s="4"/>
      <c r="N13" s="12">
        <f>N6+N8+N10+N11+N12</f>
        <v>0</v>
      </c>
      <c r="O13" s="12">
        <f>O6+O8+O10+O11+O12</f>
        <v>0</v>
      </c>
      <c r="P13" s="12">
        <f>P6+P8+P10+P11+P12</f>
        <v>0</v>
      </c>
      <c r="Q13" s="8" t="str">
        <f t="shared" si="0"/>
        <v>↗ drill</v>
      </c>
    </row>
    <row r="14" spans="1:17" ht="14.5" customHeight="1" x14ac:dyDescent="0.35">
      <c r="A14" s="65" t="s">
        <v>62</v>
      </c>
      <c r="B14" s="65" t="s">
        <v>63</v>
      </c>
      <c r="C14" s="65">
        <v>8</v>
      </c>
      <c r="D14" s="93"/>
      <c r="E14" s="65"/>
      <c r="F14" s="65" t="s">
        <v>1792</v>
      </c>
      <c r="G14" s="65" t="s">
        <v>21</v>
      </c>
      <c r="H14" s="65" t="s">
        <v>914</v>
      </c>
      <c r="I14">
        <v>10</v>
      </c>
      <c r="J14" t="s">
        <v>504</v>
      </c>
      <c r="K14" s="12">
        <f>SUMIFS(tblMaster_Inputs[Baseline_Amount],tblMaster_Inputs[Year],2026,tblMaster_Inputs[Primary_Line],$I14, tblMaster_Inputs[Activity_Type], "Baseline")</f>
        <v>0</v>
      </c>
      <c r="L14" s="54"/>
      <c r="M14" s="4"/>
      <c r="N14" s="12">
        <f>SUMIFS(tblY2026_Strategies[Amount],tblY2026_Strategies[TargetLine],$I14)-SUMIFS(tblY2026_Strategies[Amount],tblY2026_Strategies[CounterLine],$I14)</f>
        <v>0</v>
      </c>
      <c r="O14" s="12">
        <f>IF(UPPER(L14)="Y",SUMIFS(tblMaster_Inputs[Baseline_Amount],tblMaster_Inputs[Year],2025,tblMaster_Inputs[Primary_Line],"10"),IF(ISBLANK(M14),K14,M14))</f>
        <v>0</v>
      </c>
      <c r="P14" s="12">
        <f>O14+N14</f>
        <v>0</v>
      </c>
      <c r="Q14" s="8" t="str">
        <f t="shared" si="0"/>
        <v>↗ drill</v>
      </c>
    </row>
    <row r="15" spans="1:17" ht="14.5" customHeight="1" x14ac:dyDescent="0.35">
      <c r="A15" s="65" t="s">
        <v>67</v>
      </c>
      <c r="B15" s="65" t="s">
        <v>68</v>
      </c>
      <c r="C15" s="65">
        <v>8</v>
      </c>
      <c r="D15" s="93"/>
      <c r="E15" s="65"/>
      <c r="F15" s="65"/>
      <c r="G15" s="65" t="s">
        <v>21</v>
      </c>
      <c r="H15" s="65" t="s">
        <v>923</v>
      </c>
      <c r="I15">
        <v>11</v>
      </c>
      <c r="J15" t="s">
        <v>71</v>
      </c>
      <c r="K15" s="12">
        <f>K13+K14</f>
        <v>0</v>
      </c>
      <c r="L15" s="54"/>
      <c r="M15" s="4"/>
      <c r="N15" s="12">
        <f>N13+N14</f>
        <v>0</v>
      </c>
      <c r="O15" s="12">
        <f>O13+O14</f>
        <v>0</v>
      </c>
      <c r="P15" s="12">
        <f>P13+P14</f>
        <v>0</v>
      </c>
      <c r="Q15" s="8" t="str">
        <f t="shared" si="0"/>
        <v>↗ drill</v>
      </c>
    </row>
    <row r="16" spans="1:17" ht="14.5" customHeight="1" x14ac:dyDescent="0.35">
      <c r="A16" s="65" t="s">
        <v>72</v>
      </c>
      <c r="B16" s="65" t="s">
        <v>73</v>
      </c>
      <c r="C16" s="65">
        <v>7</v>
      </c>
      <c r="D16" s="93"/>
      <c r="E16" s="65"/>
      <c r="F16" s="65"/>
      <c r="G16" s="65"/>
      <c r="H16" s="65" t="s">
        <v>1791</v>
      </c>
      <c r="I16">
        <v>12</v>
      </c>
      <c r="J16" t="s">
        <v>505</v>
      </c>
      <c r="K16" s="12">
        <f>SUMIFS(tblMaster_Inputs[Baseline_Amount],tblMaster_Inputs[Year],2026,tblMaster_Inputs[Primary_Line],$I16, tblMaster_Inputs[Activity_Type], "Baseline")</f>
        <v>0</v>
      </c>
      <c r="L16" s="54"/>
      <c r="M16" s="4"/>
      <c r="N16" s="12">
        <f>SUMIFS(tblY2026_Strategies[Amount],tblY2026_Strategies[TargetLine],$I16)-SUMIFS(tblY2026_Strategies[Amount],tblY2026_Strategies[CounterLine],$I16)</f>
        <v>0</v>
      </c>
      <c r="O16" s="12">
        <f>IF(UPPER(L16)="Y",SUMIFS(tblMaster_Inputs[Baseline_Amount],tblMaster_Inputs[Year],2025,tblMaster_Inputs[Primary_Line],"12"),IF(ISBLANK(M16),K16,M16))</f>
        <v>0</v>
      </c>
      <c r="P16" s="12">
        <f>O16+N16</f>
        <v>0</v>
      </c>
      <c r="Q16" s="8" t="str">
        <f t="shared" si="0"/>
        <v>↗ drill</v>
      </c>
    </row>
    <row r="17" spans="1:17" ht="14.5" customHeight="1" x14ac:dyDescent="0.35">
      <c r="A17" s="65" t="s">
        <v>77</v>
      </c>
      <c r="B17" s="65" t="s">
        <v>78</v>
      </c>
      <c r="C17" s="65">
        <v>8</v>
      </c>
      <c r="D17" s="93"/>
      <c r="E17" s="65"/>
      <c r="F17" s="65"/>
      <c r="G17" s="65"/>
      <c r="H17" s="65" t="s">
        <v>945</v>
      </c>
      <c r="I17">
        <v>13</v>
      </c>
      <c r="J17" t="s">
        <v>81</v>
      </c>
      <c r="K17" s="12">
        <f>SUMIFS(tblMaster_Inputs[Baseline_Amount],tblMaster_Inputs[Year],2026,tblMaster_Inputs[Primary_Line],$I17, tblMaster_Inputs[Activity_Type], "Baseline")</f>
        <v>0</v>
      </c>
      <c r="L17" s="54"/>
      <c r="M17" s="4"/>
      <c r="N17" s="12">
        <f>SUMIFS(tblY2026_Strategies[Amount],tblY2026_Strategies[TargetLine],$I17)-SUMIFS(tblY2026_Strategies[Amount],tblY2026_Strategies[CounterLine],$I17)</f>
        <v>0</v>
      </c>
      <c r="O17" s="12">
        <f>IF(UPPER(L17)="Y",SUMIFS(tblMaster_Inputs[Baseline_Amount],tblMaster_Inputs[Year],2025,tblMaster_Inputs[Primary_Line],"13"),IF(ISBLANK(M17),K17,M17))</f>
        <v>0</v>
      </c>
      <c r="P17" s="12">
        <f>O17+N17</f>
        <v>0</v>
      </c>
      <c r="Q17" s="8" t="str">
        <f t="shared" si="0"/>
        <v>↗ drill</v>
      </c>
    </row>
    <row r="18" spans="1:17" ht="14.5" customHeight="1" x14ac:dyDescent="0.35">
      <c r="A18" s="65" t="s">
        <v>82</v>
      </c>
      <c r="B18" s="65" t="s">
        <v>83</v>
      </c>
      <c r="C18" s="65">
        <v>13</v>
      </c>
      <c r="D18" s="93"/>
      <c r="E18" s="65"/>
      <c r="F18" s="65"/>
      <c r="G18" s="65"/>
      <c r="H18" s="65"/>
      <c r="I18">
        <v>15</v>
      </c>
      <c r="J18" t="s">
        <v>86</v>
      </c>
      <c r="K18" s="12">
        <f>K15+K16+K17</f>
        <v>0</v>
      </c>
      <c r="L18" s="54"/>
      <c r="M18" s="4"/>
      <c r="N18" s="12">
        <f>N15+N16+N17</f>
        <v>0</v>
      </c>
      <c r="O18" s="12">
        <f>O15+O16+O17</f>
        <v>0</v>
      </c>
      <c r="P18" s="12">
        <f>P15+P16+P17</f>
        <v>0</v>
      </c>
      <c r="Q18" s="8" t="str">
        <f t="shared" si="0"/>
        <v>↗ drill</v>
      </c>
    </row>
    <row r="19" spans="1:17" ht="14.5" customHeight="1" x14ac:dyDescent="0.35">
      <c r="A19" s="65" t="s">
        <v>87</v>
      </c>
      <c r="B19" s="65" t="s">
        <v>88</v>
      </c>
      <c r="C19" s="65">
        <v>12</v>
      </c>
      <c r="D19" s="93"/>
      <c r="E19" s="65"/>
      <c r="F19" s="65"/>
      <c r="G19" s="65"/>
      <c r="H19" s="65"/>
    </row>
    <row r="20" spans="1:17" ht="14.5" customHeight="1" x14ac:dyDescent="0.35">
      <c r="A20" s="65" t="s">
        <v>90</v>
      </c>
      <c r="B20" s="65" t="s">
        <v>91</v>
      </c>
      <c r="C20" s="65">
        <v>8</v>
      </c>
      <c r="D20" s="93"/>
      <c r="E20" s="65"/>
      <c r="F20" s="65"/>
      <c r="G20" s="65"/>
      <c r="H20" s="65" t="s">
        <v>919</v>
      </c>
    </row>
    <row r="21" spans="1:17" ht="14.5" customHeight="1" x14ac:dyDescent="0.35"/>
    <row r="22" spans="1:17" ht="29" customHeight="1" x14ac:dyDescent="0.35">
      <c r="A22" s="80" t="s">
        <v>93</v>
      </c>
      <c r="I22" s="3" t="s">
        <v>11</v>
      </c>
      <c r="J22" s="3" t="s">
        <v>6</v>
      </c>
      <c r="K22" s="3" t="s">
        <v>16</v>
      </c>
      <c r="L22" s="3" t="s">
        <v>94</v>
      </c>
    </row>
    <row r="23" spans="1:17" ht="14.5" customHeight="1" x14ac:dyDescent="0.35">
      <c r="A23" s="92" t="s">
        <v>95</v>
      </c>
      <c r="B23" s="92" t="s">
        <v>96</v>
      </c>
      <c r="C23" s="92" t="s">
        <v>16</v>
      </c>
      <c r="D23" s="92" t="s">
        <v>97</v>
      </c>
      <c r="E23" s="92" t="s">
        <v>98</v>
      </c>
      <c r="I23" t="s">
        <v>485</v>
      </c>
      <c r="J23" s="12">
        <f>SUMIFS(tblMaster_Inputs[Baseline_Amount],tblMaster_Inputs[Year],2026,tblMaster_Inputs[Treatment_Profile],"W2_SCorpOwner", tblMaster_Inputs[Activity_Type], "Baseline")</f>
        <v>0</v>
      </c>
      <c r="K23" s="12">
        <f>J23+SUMIFS(tblY2026_Strategies[Amount],tblY2026_Strategies[TargetLine],"1z")-SUMIFS(tblY2026_Strategies[Amount],tblY2026_Strategies[CounterLine],"1z")</f>
        <v>0</v>
      </c>
      <c r="L23" s="2"/>
    </row>
    <row r="24" spans="1:17" ht="14.5" customHeight="1" x14ac:dyDescent="0.35">
      <c r="A24" t="s">
        <v>100</v>
      </c>
      <c r="B24" s="94">
        <f>K13</f>
        <v>0</v>
      </c>
      <c r="C24" s="94">
        <f>O13</f>
        <v>0</v>
      </c>
      <c r="D24" s="94">
        <f>P13</f>
        <v>0</v>
      </c>
      <c r="E24" s="94">
        <f>B24-D24</f>
        <v>0</v>
      </c>
      <c r="I24" t="s">
        <v>486</v>
      </c>
      <c r="J24" s="12">
        <f>SUMIFS(tblMaster_Inputs[Baseline_Amount],tblMaster_Inputs[Year],2026,tblMaster_Inputs[Treatment_Profile],"W2_Employee", tblMaster_Inputs[Activity_Type], "Baseline")</f>
        <v>0</v>
      </c>
      <c r="K24" s="12">
        <f>J24</f>
        <v>0</v>
      </c>
      <c r="L24" s="2"/>
    </row>
    <row r="25" spans="1:17" ht="14.5" customHeight="1" x14ac:dyDescent="0.35">
      <c r="A25" t="s">
        <v>103</v>
      </c>
      <c r="B25" s="94">
        <f>K18</f>
        <v>0</v>
      </c>
      <c r="C25" s="94">
        <f>O18</f>
        <v>0</v>
      </c>
      <c r="D25" s="94">
        <f>P18</f>
        <v>0</v>
      </c>
      <c r="E25" s="94">
        <f>B25-D25</f>
        <v>0</v>
      </c>
      <c r="I25" t="s">
        <v>487</v>
      </c>
      <c r="J25" s="12">
        <f>J23+J24</f>
        <v>0</v>
      </c>
      <c r="K25" s="12">
        <f>K23+K24</f>
        <v>0</v>
      </c>
      <c r="L25" s="2"/>
    </row>
    <row r="26" spans="1:17" ht="14.5" customHeight="1" x14ac:dyDescent="0.35">
      <c r="A26" s="13" t="s">
        <v>105</v>
      </c>
      <c r="B26" s="95">
        <f>J133</f>
        <v>0</v>
      </c>
      <c r="C26" s="95">
        <f>J133</f>
        <v>0</v>
      </c>
      <c r="D26" s="95">
        <f>K133</f>
        <v>0</v>
      </c>
      <c r="E26" s="94">
        <f>B26-D26</f>
        <v>0</v>
      </c>
      <c r="I26" t="s">
        <v>506</v>
      </c>
      <c r="J26" s="12">
        <f>SUMIFS(tblMaster_Inputs[Baseline_Amount],tblMaster_Inputs[Year],2026,tblMaster_Inputs[Bucket],"Business Income",tblMaster_Inputs[SE_Subject],"Yes", tblMaster_Inputs[Activity_Type], "Baseline")</f>
        <v>0</v>
      </c>
      <c r="K26" s="12">
        <f>J26</f>
        <v>0</v>
      </c>
      <c r="L26" s="2"/>
    </row>
    <row r="27" spans="1:17" ht="14.5" customHeight="1" x14ac:dyDescent="0.35">
      <c r="A27" t="s">
        <v>108</v>
      </c>
      <c r="B27" s="96">
        <f>J134</f>
        <v>0</v>
      </c>
      <c r="C27" s="96">
        <f>J134</f>
        <v>0</v>
      </c>
      <c r="D27" s="96">
        <f>K134</f>
        <v>0</v>
      </c>
      <c r="E27" s="96">
        <f>B27-D27</f>
        <v>0</v>
      </c>
      <c r="I27" t="s">
        <v>507</v>
      </c>
      <c r="J27" s="12">
        <f>SUMIFS(tblMaster_Inputs[Baseline_Amount],tblMaster_Inputs[Year],2026,tblMaster_Inputs[Bucket],"Business Income",tblMaster_Inputs[SE_Subject],"No",tblMaster_Inputs[NIIT_Class],"Active", tblMaster_Inputs[Activity_Type], "Baseline")</f>
        <v>0</v>
      </c>
      <c r="K27" s="12">
        <f>J27+SUMIFS(tblY2026_Strategies[Amount],tblY2026_Strategies[TargetLine],"8")-SUMIFS(tblY2026_Strategies[Amount],tblY2026_Strategies[CounterLine],"8")</f>
        <v>0</v>
      </c>
      <c r="L27" s="2"/>
    </row>
    <row r="28" spans="1:17" ht="14.5" customHeight="1" x14ac:dyDescent="0.35">
      <c r="A28" t="s">
        <v>111</v>
      </c>
      <c r="B28" s="97">
        <f>COUNTIF(tblY2026_Strategies[Status],"Committed")</f>
        <v>0</v>
      </c>
      <c r="C28" s="97" t="s">
        <v>112</v>
      </c>
      <c r="D28" s="94">
        <f>SUMIF(tblY2026_Strategies[Status],"Committed",tblY2026_Strategies[Amount])</f>
        <v>0</v>
      </c>
      <c r="E28" s="97"/>
      <c r="I28" t="s">
        <v>490</v>
      </c>
      <c r="J28" s="12">
        <f>SUMIFS(tblMaster_Inputs[Baseline_Amount],tblMaster_Inputs[Year],2026,tblMaster_Inputs[Bucket],"Business Income",tblMaster_Inputs[NIIT_Class],"Passive", tblMaster_Inputs[Activity_Type], "Baseline")</f>
        <v>0</v>
      </c>
      <c r="K28" s="12">
        <f>J28</f>
        <v>0</v>
      </c>
      <c r="L28" s="2"/>
    </row>
    <row r="29" spans="1:17" ht="14.5" customHeight="1" x14ac:dyDescent="0.35">
      <c r="I29" t="s">
        <v>508</v>
      </c>
      <c r="J29" s="12">
        <f>SUMIFS(tblMaster_Inputs[Helper_Amount],tblMaster_Inputs[Year],2026,tblMaster_Inputs[Helper_Treatment],"TAX_EXEMPT")</f>
        <v>0</v>
      </c>
      <c r="K29" s="12">
        <f>J29+SUMIFS(tblY2026_Strategies[Amount],tblY2026_Strategies[TargetLine],"2a")-SUMIFS(tblY2026_Strategies[Amount],tblY2026_Strategies[CounterLine],"2a")</f>
        <v>0</v>
      </c>
      <c r="L29" s="2"/>
    </row>
    <row r="30" spans="1:17" ht="14.5" customHeight="1" x14ac:dyDescent="0.35">
      <c r="I30" t="s">
        <v>509</v>
      </c>
      <c r="J30" s="12">
        <f>SUMIFS(tblMaster_Inputs[Helper_Amount],tblMaster_Inputs[Year],2026,tblMaster_Inputs[Helper_Treatment],"QUAL_DIV", tblMaster_Inputs[Activity_Type], "Baseline")</f>
        <v>0</v>
      </c>
      <c r="K30" s="12">
        <f>J30</f>
        <v>0</v>
      </c>
      <c r="L30" s="2"/>
    </row>
    <row r="31" spans="1:17" ht="14.5" customHeight="1" x14ac:dyDescent="0.35">
      <c r="I31" t="s">
        <v>510</v>
      </c>
      <c r="J31" s="12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>0</v>
      </c>
      <c r="K31" s="12">
        <f>J31+SUMIFS(tblY2026_Strategies[Amount],tblY2026_Strategies[TargetLine],"7")-SUMIFS(tblY2026_Strategies[Amount],tblY2026_Strategies[CounterLine],"7")</f>
        <v>0</v>
      </c>
      <c r="L31" s="2"/>
    </row>
    <row r="32" spans="1:17" ht="14.5" customHeight="1" x14ac:dyDescent="0.35">
      <c r="I32" t="s">
        <v>511</v>
      </c>
      <c r="J32" s="12">
        <f>SUMIFS(tblMaster_Inputs[Baseline_Amount],tblMaster_Inputs[Year],2026,tblMaster_Inputs[Treatment_Profile],"STCG_Stock", tblMaster_Inputs[Activity_Type], "Baseline")</f>
        <v>0</v>
      </c>
      <c r="K32" s="12">
        <f>J32</f>
        <v>0</v>
      </c>
      <c r="L32" s="2"/>
    </row>
    <row r="33" spans="9:12" ht="14.5" customHeight="1" x14ac:dyDescent="0.35">
      <c r="I33" t="s">
        <v>494</v>
      </c>
      <c r="J33" s="12">
        <f>SUMIFS(tblMaster_Inputs[Helper_Amount],tblMaster_Inputs[Year],2026,tblMaster_Inputs[Helper_Treatment],"SEC1250", tblMaster_Inputs[Activity_Type], "Baseline")</f>
        <v>0</v>
      </c>
      <c r="K33" s="12">
        <f>J33</f>
        <v>0</v>
      </c>
      <c r="L33" s="2"/>
    </row>
    <row r="34" spans="9:12" ht="14.5" customHeight="1" x14ac:dyDescent="0.35"/>
    <row r="35" spans="9:12" ht="14.5" customHeight="1" x14ac:dyDescent="0.35"/>
    <row r="36" spans="9:12" ht="29" customHeight="1" x14ac:dyDescent="0.35">
      <c r="I36" s="3" t="s">
        <v>11</v>
      </c>
      <c r="J36" s="3" t="s">
        <v>469</v>
      </c>
      <c r="K36" s="3" t="s">
        <v>16</v>
      </c>
      <c r="L36" s="3" t="s">
        <v>94</v>
      </c>
    </row>
    <row r="37" spans="9:12" ht="14.5" customHeight="1" x14ac:dyDescent="0.35">
      <c r="I37" t="s">
        <v>512</v>
      </c>
      <c r="J37" s="12">
        <f>K18-J31-J30-J33</f>
        <v>0</v>
      </c>
      <c r="K37" s="12">
        <f>P18-K31-K30-K33</f>
        <v>0</v>
      </c>
      <c r="L37" s="2"/>
    </row>
    <row r="38" spans="9:12" ht="14.5" customHeight="1" x14ac:dyDescent="0.35">
      <c r="I38" t="s">
        <v>496</v>
      </c>
      <c r="J38" s="12">
        <f>K15+J29</f>
        <v>0</v>
      </c>
      <c r="K38" s="12">
        <f>P15+K29</f>
        <v>0</v>
      </c>
      <c r="L38" s="2"/>
    </row>
    <row r="39" spans="9:12" ht="14.5" customHeight="1" x14ac:dyDescent="0.35">
      <c r="I39" t="s">
        <v>497</v>
      </c>
      <c r="J39" s="12">
        <f>K8+K10+K11+J28</f>
        <v>0</v>
      </c>
      <c r="K39" s="12">
        <f>P8+P10+P11+K28</f>
        <v>0</v>
      </c>
      <c r="L39" s="2"/>
    </row>
    <row r="40" spans="9:12" ht="14.5" customHeight="1" x14ac:dyDescent="0.35">
      <c r="I40" t="s">
        <v>498</v>
      </c>
      <c r="J40" s="12">
        <f>J26+J27</f>
        <v>0</v>
      </c>
      <c r="K40" s="12">
        <f>K26+K27</f>
        <v>0</v>
      </c>
      <c r="L40" s="2"/>
    </row>
    <row r="41" spans="9:12" ht="14.5" customHeight="1" x14ac:dyDescent="0.35">
      <c r="I41" t="s">
        <v>499</v>
      </c>
      <c r="J41" s="12">
        <f>K15+K16</f>
        <v>0</v>
      </c>
      <c r="K41" s="12">
        <f>P15+P16</f>
        <v>0</v>
      </c>
      <c r="L41" s="2"/>
    </row>
    <row r="42" spans="9:12" ht="14.5" customHeight="1" x14ac:dyDescent="0.35">
      <c r="I42" t="s">
        <v>500</v>
      </c>
      <c r="J42" s="12">
        <f>MIN(0,J26+J27+J28)</f>
        <v>0</v>
      </c>
      <c r="K42" s="12">
        <f>MIN(0,K26+K27+K28)</f>
        <v>0</v>
      </c>
      <c r="L42" s="2"/>
    </row>
    <row r="43" spans="9:12" ht="14.5" customHeight="1" x14ac:dyDescent="0.35">
      <c r="I43" t="s">
        <v>513</v>
      </c>
      <c r="J43" s="12">
        <f>J26</f>
        <v>0</v>
      </c>
      <c r="K43" s="12">
        <f>K26</f>
        <v>0</v>
      </c>
      <c r="L43" s="2"/>
    </row>
    <row r="44" spans="9:12" ht="14.5" customHeight="1" x14ac:dyDescent="0.35">
      <c r="J44" s="55"/>
      <c r="K44" s="55">
        <f>J44</f>
        <v>0</v>
      </c>
      <c r="L44" s="2"/>
    </row>
    <row r="45" spans="9:12" ht="14.5" customHeight="1" x14ac:dyDescent="0.35">
      <c r="J45" s="69" t="b">
        <f>IF(Control_Panel!C21="Yes",TRUE,FALSE)</f>
        <v>0</v>
      </c>
      <c r="K45" s="4" t="b">
        <f>J45</f>
        <v>0</v>
      </c>
      <c r="L45" s="2"/>
    </row>
    <row r="46" spans="9:12" ht="14.5" customHeight="1" x14ac:dyDescent="0.35">
      <c r="J46" s="69">
        <f ca="1">Carryovers!F52</f>
        <v>0</v>
      </c>
      <c r="K46" s="55">
        <f ca="1">J46</f>
        <v>0</v>
      </c>
      <c r="L46" s="2"/>
    </row>
    <row r="47" spans="9:12" ht="14.5" customHeight="1" x14ac:dyDescent="0.35"/>
    <row r="48" spans="9:12" ht="14.5" customHeight="1" x14ac:dyDescent="0.35"/>
    <row r="49" spans="9:16" ht="14.5" customHeight="1" x14ac:dyDescent="0.35">
      <c r="I49" s="9" t="s">
        <v>21</v>
      </c>
      <c r="L49" s="8" t="str">
        <f>HYPERLINK("#Master_Inputs!A1","✏ open Master_Inputs")</f>
        <v>✏ open Master_Inputs</v>
      </c>
    </row>
    <row r="50" spans="9:16" ht="14.5" customHeight="1" x14ac:dyDescent="0.35"/>
    <row r="51" spans="9:16" ht="29" customHeight="1" x14ac:dyDescent="0.35">
      <c r="I51" s="3"/>
      <c r="J51" s="3"/>
      <c r="K51" s="3"/>
      <c r="L51" s="3"/>
      <c r="M51" s="3"/>
      <c r="N51" s="3"/>
      <c r="O51" s="3"/>
      <c r="P51" s="3"/>
    </row>
    <row r="52" spans="9:16" ht="14.5" customHeight="1" x14ac:dyDescent="0.35"/>
    <row r="53" spans="9:16" ht="14.5" customHeight="1" x14ac:dyDescent="0.35"/>
    <row r="54" spans="9:16" ht="14.5" customHeight="1" x14ac:dyDescent="0.35"/>
    <row r="55" spans="9:16" ht="14.5" customHeight="1" x14ac:dyDescent="0.35"/>
    <row r="56" spans="9:16" ht="14.5" customHeight="1" x14ac:dyDescent="0.35"/>
    <row r="57" spans="9:16" ht="14.5" customHeight="1" x14ac:dyDescent="0.35"/>
    <row r="58" spans="9:16" ht="14.5" customHeight="1" x14ac:dyDescent="0.35"/>
    <row r="59" spans="9:16" ht="14.5" customHeight="1" x14ac:dyDescent="0.35"/>
    <row r="60" spans="9:16" ht="14.5" customHeight="1" x14ac:dyDescent="0.35"/>
    <row r="61" spans="9:16" ht="14.5" customHeight="1" x14ac:dyDescent="0.35"/>
    <row r="62" spans="9:16" ht="14.5" customHeight="1" x14ac:dyDescent="0.35"/>
    <row r="63" spans="9:16" ht="14.5" customHeight="1" x14ac:dyDescent="0.35"/>
    <row r="64" spans="9:16" ht="14.5" customHeight="1" x14ac:dyDescent="0.35"/>
    <row r="65" spans="9:12" ht="16" customHeight="1" thickBot="1" x14ac:dyDescent="0.4">
      <c r="I65" s="80" t="s">
        <v>151</v>
      </c>
      <c r="J65" s="48" t="s">
        <v>96</v>
      </c>
      <c r="K65" s="48" t="s">
        <v>16</v>
      </c>
      <c r="L65" s="48" t="s">
        <v>152</v>
      </c>
    </row>
    <row r="66" spans="9:12" ht="14.5" customHeight="1" x14ac:dyDescent="0.35">
      <c r="I66" t="s">
        <v>153</v>
      </c>
    </row>
    <row r="67" spans="9:12" ht="14.5" customHeight="1" x14ac:dyDescent="0.35"/>
    <row r="68" spans="9:12" ht="14.5" customHeight="1" x14ac:dyDescent="0.35">
      <c r="I68" s="80" t="s">
        <v>154</v>
      </c>
      <c r="J68" s="35"/>
      <c r="K68" s="35"/>
      <c r="L68" s="35"/>
    </row>
    <row r="69" spans="9:12" ht="14.5" customHeight="1" x14ac:dyDescent="0.35">
      <c r="I69" t="s">
        <v>155</v>
      </c>
      <c r="J69" s="19"/>
      <c r="K69" s="19"/>
      <c r="L69" s="19"/>
    </row>
    <row r="70" spans="9:12" ht="14.5" customHeight="1" x14ac:dyDescent="0.35">
      <c r="I70" t="s">
        <v>156</v>
      </c>
      <c r="J70" s="12">
        <f>J43</f>
        <v>0</v>
      </c>
      <c r="K70" s="12">
        <f>K43</f>
        <v>0</v>
      </c>
      <c r="L70" s="12"/>
    </row>
    <row r="71" spans="9:12" ht="14.5" customHeight="1" x14ac:dyDescent="0.35">
      <c r="I71" t="s">
        <v>157</v>
      </c>
      <c r="J71" s="19">
        <f>J70*SUMIFS(tblThresholds[Value], tblThresholds[Year], 2026, tblThresholds[FilingStatus], Filing_Status, tblThresholds[Item], "SE_Earnings_Factor")</f>
        <v>0</v>
      </c>
      <c r="K71" s="19">
        <f>K70*SUMIFS(tblThresholds[Value], tblThresholds[Year], 2026, tblThresholds[FilingStatus], Filing_Status, tblThresholds[Item], "SE_Earnings_Factor")</f>
        <v>0</v>
      </c>
      <c r="L71" s="19"/>
    </row>
    <row r="72" spans="9:12" ht="14.5" customHeight="1" x14ac:dyDescent="0.35">
      <c r="I72" t="s">
        <v>158</v>
      </c>
      <c r="J72" s="12">
        <f>J25</f>
        <v>0</v>
      </c>
      <c r="K72" s="12">
        <f>K25</f>
        <v>0</v>
      </c>
      <c r="L72" s="12"/>
    </row>
    <row r="73" spans="9:12" ht="14.5" customHeight="1" x14ac:dyDescent="0.35">
      <c r="I73" t="s">
        <v>159</v>
      </c>
      <c r="J73" s="12">
        <f>MAX(0,SUMIFS(tblThresholds[Value], tblThresholds[Year], 2026, tblThresholds[FilingStatus], Filing_Status, tblThresholds[Item], "SS_Wage_Base")-J72)</f>
        <v>176100</v>
      </c>
      <c r="K73" s="12">
        <f>MAX(0,SUMIFS(tblThresholds[Value], tblThresholds[Year], 2026, tblThresholds[FilingStatus], Filing_Status, tblThresholds[Item], "SS_Wage_Base")-K72)</f>
        <v>176100</v>
      </c>
      <c r="L73" s="12"/>
    </row>
    <row r="74" spans="9:12" ht="14.5" customHeight="1" x14ac:dyDescent="0.35">
      <c r="J74" s="38">
        <f>MIN(J71,J73)</f>
        <v>0</v>
      </c>
      <c r="K74" s="38">
        <f>MIN(K71,K73)</f>
        <v>0</v>
      </c>
      <c r="L74" s="38"/>
    </row>
    <row r="75" spans="9:12" ht="14.5" customHeight="1" x14ac:dyDescent="0.35">
      <c r="I75" t="s">
        <v>160</v>
      </c>
      <c r="J75" s="12">
        <f>J74*SUMIFS(tblThresholds[Value], tblThresholds[Year], 2026, tblThresholds[FilingStatus], Filing_Status, tblThresholds[Item], "SS_Rate_Combined")</f>
        <v>0</v>
      </c>
      <c r="K75" s="12">
        <f>K74*SUMIFS(tblThresholds[Value], tblThresholds[Year], 2026, tblThresholds[FilingStatus], Filing_Status, tblThresholds[Item], "SS_Rate_Combined")</f>
        <v>0</v>
      </c>
      <c r="L75" s="12"/>
    </row>
    <row r="76" spans="9:12" ht="15.5" customHeight="1" x14ac:dyDescent="0.35">
      <c r="I76" t="s">
        <v>161</v>
      </c>
      <c r="J76" s="51">
        <f>J71*SUMIFS(tblThresholds[Value], tblThresholds[Year], 2026, tblThresholds[FilingStatus], Filing_Status, tblThresholds[Item], "Medicare_Rate_Combined")</f>
        <v>0</v>
      </c>
      <c r="K76" s="51">
        <f>K71*SUMIFS(tblThresholds[Value], tblThresholds[Year], 2026, tblThresholds[FilingStatus], Filing_Status, tblThresholds[Item], "Medicare_Rate_Combined")</f>
        <v>0</v>
      </c>
      <c r="L76" s="51"/>
    </row>
    <row r="77" spans="9:12" ht="14.5" customHeight="1" x14ac:dyDescent="0.35">
      <c r="I77" t="s">
        <v>162</v>
      </c>
      <c r="J77" s="12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>0</v>
      </c>
      <c r="K77" s="12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>0</v>
      </c>
      <c r="L77" s="12"/>
    </row>
    <row r="78" spans="9:12" ht="14.5" customHeight="1" x14ac:dyDescent="0.35">
      <c r="J78" s="12">
        <f>-(J75+J76)/2</f>
        <v>0</v>
      </c>
      <c r="K78" s="12">
        <f>-(K75+K76)/2</f>
        <v>0</v>
      </c>
      <c r="L78" s="12"/>
    </row>
    <row r="79" spans="9:12" ht="18.5" customHeight="1" x14ac:dyDescent="0.45">
      <c r="J79" s="52"/>
      <c r="K79" s="12"/>
      <c r="L79" s="12"/>
    </row>
    <row r="80" spans="9:12" ht="14.5" customHeight="1" x14ac:dyDescent="0.35">
      <c r="I80" s="13" t="s">
        <v>163</v>
      </c>
      <c r="J80" s="19">
        <f>J75+J76+J77</f>
        <v>0</v>
      </c>
      <c r="K80" s="19">
        <f>K75+K76+K77</f>
        <v>0</v>
      </c>
      <c r="L80" s="19">
        <f>J80-K80</f>
        <v>0</v>
      </c>
    </row>
    <row r="81" spans="9:12" ht="14.5" customHeight="1" x14ac:dyDescent="0.35">
      <c r="J81" s="12"/>
      <c r="K81" s="12"/>
      <c r="L81" s="12"/>
    </row>
    <row r="82" spans="9:12" ht="14.5" customHeight="1" x14ac:dyDescent="0.35">
      <c r="I82" s="80" t="s">
        <v>164</v>
      </c>
      <c r="J82" s="19"/>
      <c r="K82" s="19"/>
      <c r="L82" s="19"/>
    </row>
    <row r="83" spans="9:12" ht="14.5" customHeight="1" x14ac:dyDescent="0.35">
      <c r="I83" t="s">
        <v>158</v>
      </c>
      <c r="J83" s="12">
        <f>J25</f>
        <v>0</v>
      </c>
      <c r="K83" s="12">
        <f>K25</f>
        <v>0</v>
      </c>
      <c r="L83" s="12"/>
    </row>
    <row r="84" spans="9:12" ht="14.5" customHeight="1" x14ac:dyDescent="0.35">
      <c r="I84" t="s">
        <v>165</v>
      </c>
      <c r="J84" s="12">
        <f>MIN(J83,SUMIFS(tblThresholds[Value], tblThresholds[Year], 2026, tblThresholds[FilingStatus], Filing_Status, tblThresholds[Item], "SS_Wage_Base"))*0.062</f>
        <v>0</v>
      </c>
      <c r="K84" s="12">
        <f>MIN(K83,SUMIFS(tblThresholds[Value], tblThresholds[Year], 2026, tblThresholds[FilingStatus], Filing_Status, tblThresholds[Item], "SS_Wage_Base"))*0.062</f>
        <v>0</v>
      </c>
      <c r="L84" s="12"/>
    </row>
    <row r="85" spans="9:12" ht="14.5" customHeight="1" x14ac:dyDescent="0.35">
      <c r="I85" t="s">
        <v>166</v>
      </c>
      <c r="J85" s="12">
        <f>J83*0.0145</f>
        <v>0</v>
      </c>
      <c r="K85" s="12">
        <f>K83*0.0145</f>
        <v>0</v>
      </c>
      <c r="L85" s="12"/>
    </row>
    <row r="86" spans="9:12" ht="14.5" customHeight="1" x14ac:dyDescent="0.35">
      <c r="I86" t="s">
        <v>162</v>
      </c>
      <c r="J86" s="12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>0</v>
      </c>
      <c r="K86" s="12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>0</v>
      </c>
      <c r="L86" s="12"/>
    </row>
    <row r="87" spans="9:12" ht="14.5" customHeight="1" x14ac:dyDescent="0.35">
      <c r="I87" s="13" t="s">
        <v>167</v>
      </c>
      <c r="J87" s="19">
        <f>J84+J85+J86</f>
        <v>0</v>
      </c>
      <c r="K87" s="19">
        <f>K84+K85+K86</f>
        <v>0</v>
      </c>
      <c r="L87" s="19">
        <f>J87-K87</f>
        <v>0</v>
      </c>
    </row>
    <row r="88" spans="9:12" ht="14.5" customHeight="1" x14ac:dyDescent="0.35">
      <c r="I88" s="13" t="s">
        <v>168</v>
      </c>
      <c r="J88" s="19">
        <f>J84</f>
        <v>0</v>
      </c>
      <c r="K88" s="19">
        <f>K84</f>
        <v>0</v>
      </c>
      <c r="L88" s="19">
        <f>J88-K88</f>
        <v>0</v>
      </c>
    </row>
    <row r="89" spans="9:12" ht="14.5" customHeight="1" x14ac:dyDescent="0.35">
      <c r="I89" s="13" t="s">
        <v>169</v>
      </c>
      <c r="J89" s="19">
        <f>J85</f>
        <v>0</v>
      </c>
      <c r="K89" s="19">
        <f>K85</f>
        <v>0</v>
      </c>
      <c r="L89" s="19">
        <f>J89-K89</f>
        <v>0</v>
      </c>
    </row>
    <row r="90" spans="9:12" ht="14.5" customHeight="1" x14ac:dyDescent="0.35">
      <c r="I90" s="13"/>
      <c r="J90" s="19"/>
      <c r="K90" s="19"/>
      <c r="L90" s="19"/>
    </row>
    <row r="91" spans="9:12" ht="14.5" customHeight="1" x14ac:dyDescent="0.35">
      <c r="I91" s="13" t="s">
        <v>170</v>
      </c>
      <c r="J91" s="19">
        <f>J87+J88+J89</f>
        <v>0</v>
      </c>
      <c r="K91" s="19">
        <f>K87+K88+K89</f>
        <v>0</v>
      </c>
      <c r="L91" s="19">
        <f>J91-K91</f>
        <v>0</v>
      </c>
    </row>
    <row r="92" spans="9:12" ht="14.5" customHeight="1" x14ac:dyDescent="0.35">
      <c r="J92" s="12"/>
      <c r="K92" s="12"/>
      <c r="L92" s="12"/>
    </row>
    <row r="93" spans="9:12" ht="14.5" customHeight="1" x14ac:dyDescent="0.35">
      <c r="I93" s="80" t="s">
        <v>171</v>
      </c>
      <c r="J93" s="19"/>
      <c r="K93" s="19"/>
      <c r="L93" s="19"/>
    </row>
    <row r="94" spans="9:12" ht="14.5" customHeight="1" x14ac:dyDescent="0.35">
      <c r="I94" t="s">
        <v>103</v>
      </c>
      <c r="J94" s="12">
        <f>J37</f>
        <v>0</v>
      </c>
      <c r="K94" s="12">
        <f>K37</f>
        <v>0</v>
      </c>
      <c r="L94" s="12"/>
    </row>
    <row r="95" spans="9:12" ht="14.5" customHeight="1" x14ac:dyDescent="0.35">
      <c r="I95" t="s">
        <v>172</v>
      </c>
      <c r="J95" s="12">
        <f>MAX(0,J94)</f>
        <v>0</v>
      </c>
      <c r="K95" s="12">
        <f>MAX(0,K94)</f>
        <v>0</v>
      </c>
      <c r="L95" s="12"/>
    </row>
    <row r="96" spans="9:12" ht="14.5" customHeight="1" x14ac:dyDescent="0.35">
      <c r="I96" t="s">
        <v>173</v>
      </c>
      <c r="J96" s="12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>0</v>
      </c>
      <c r="K96" s="12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>0</v>
      </c>
      <c r="L96" s="12"/>
    </row>
    <row r="97" spans="9:12" ht="14.5" customHeight="1" x14ac:dyDescent="0.35">
      <c r="I97" s="13" t="s">
        <v>174</v>
      </c>
      <c r="J97" s="19">
        <f>J96</f>
        <v>0</v>
      </c>
      <c r="K97" s="19">
        <f>K96</f>
        <v>0</v>
      </c>
      <c r="L97" s="19">
        <f>J97-K97</f>
        <v>0</v>
      </c>
    </row>
    <row r="98" spans="9:12" ht="14.5" customHeight="1" x14ac:dyDescent="0.35">
      <c r="J98" s="12"/>
      <c r="K98" s="12"/>
      <c r="L98" s="12"/>
    </row>
    <row r="99" spans="9:12" ht="14.5" customHeight="1" x14ac:dyDescent="0.35">
      <c r="I99" s="80" t="s">
        <v>175</v>
      </c>
      <c r="J99" s="19"/>
      <c r="K99" s="19"/>
      <c r="L99" s="19"/>
    </row>
    <row r="100" spans="9:12" ht="14.5" customHeight="1" x14ac:dyDescent="0.35">
      <c r="I100" t="s">
        <v>176</v>
      </c>
      <c r="J100" s="12">
        <f>J31+J30</f>
        <v>0</v>
      </c>
      <c r="K100" s="12">
        <f>K31+K30</f>
        <v>0</v>
      </c>
      <c r="L100" s="12"/>
    </row>
    <row r="101" spans="9:12" ht="14.5" customHeight="1" x14ac:dyDescent="0.35">
      <c r="I101" t="s">
        <v>177</v>
      </c>
      <c r="J101" s="12">
        <f>J33</f>
        <v>0</v>
      </c>
      <c r="K101" s="12">
        <f>K33</f>
        <v>0</v>
      </c>
      <c r="L101" s="12"/>
    </row>
    <row r="102" spans="9:12" ht="14.5" customHeight="1" x14ac:dyDescent="0.35">
      <c r="I102" t="s">
        <v>178</v>
      </c>
      <c r="J102" s="12">
        <f>J95</f>
        <v>0</v>
      </c>
      <c r="K102" s="12">
        <f>K95</f>
        <v>0</v>
      </c>
      <c r="L102" s="12"/>
    </row>
    <row r="103" spans="9:12" ht="14.5" customHeight="1" x14ac:dyDescent="0.35">
      <c r="I103" t="s">
        <v>179</v>
      </c>
      <c r="J103" s="12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>0</v>
      </c>
      <c r="K103" s="12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>0</v>
      </c>
      <c r="L103" s="12"/>
    </row>
    <row r="104" spans="9:12" ht="14.5" customHeight="1" x14ac:dyDescent="0.35">
      <c r="I104" t="s">
        <v>180</v>
      </c>
      <c r="J104" s="12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>0</v>
      </c>
      <c r="K104" s="12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>0</v>
      </c>
      <c r="L104" s="12"/>
    </row>
    <row r="105" spans="9:12" ht="14.5" customHeight="1" x14ac:dyDescent="0.35">
      <c r="I105" t="s">
        <v>181</v>
      </c>
      <c r="J105" s="12">
        <f>J103-J104</f>
        <v>0</v>
      </c>
      <c r="K105" s="12">
        <f>K103-K104</f>
        <v>0</v>
      </c>
      <c r="L105" s="12"/>
    </row>
    <row r="106" spans="9:12" ht="14.5" customHeight="1" x14ac:dyDescent="0.35">
      <c r="J106" s="12">
        <f>J33*0.25</f>
        <v>0</v>
      </c>
      <c r="K106" s="12">
        <f>K33*0.25</f>
        <v>0</v>
      </c>
      <c r="L106" s="12"/>
    </row>
    <row r="107" spans="9:12" ht="14.5" customHeight="1" x14ac:dyDescent="0.35">
      <c r="I107" s="13" t="s">
        <v>182</v>
      </c>
      <c r="J107" s="19">
        <f>J105+J106</f>
        <v>0</v>
      </c>
      <c r="K107" s="19">
        <f>K105+K106</f>
        <v>0</v>
      </c>
      <c r="L107" s="19">
        <f>J107-K107</f>
        <v>0</v>
      </c>
    </row>
    <row r="108" spans="9:12" ht="14.5" customHeight="1" x14ac:dyDescent="0.35">
      <c r="J108" s="12"/>
      <c r="K108" s="12"/>
      <c r="L108" s="12"/>
    </row>
    <row r="109" spans="9:12" ht="14.5" customHeight="1" x14ac:dyDescent="0.35">
      <c r="I109" s="80" t="s">
        <v>183</v>
      </c>
      <c r="J109" s="19"/>
      <c r="K109" s="19"/>
      <c r="L109" s="19"/>
    </row>
    <row r="110" spans="9:12" ht="14.5" customHeight="1" x14ac:dyDescent="0.35">
      <c r="I110" t="s">
        <v>184</v>
      </c>
      <c r="J110" s="12">
        <f>J38</f>
        <v>0</v>
      </c>
      <c r="K110" s="12">
        <f>K38</f>
        <v>0</v>
      </c>
      <c r="L110" s="12"/>
    </row>
    <row r="111" spans="9:12" ht="14.5" customHeight="1" x14ac:dyDescent="0.35">
      <c r="I111" t="s">
        <v>185</v>
      </c>
      <c r="J111" s="12">
        <f>SUMIFS(tblThresholds[Value], tblThresholds[Year], 2026, tblThresholds[FilingStatus], Filing_Status, tblThresholds[Item], "NIIT_Threshold")</f>
        <v>250000</v>
      </c>
      <c r="K111" s="12">
        <f>SUMIFS(tblThresholds[Value], tblThresholds[Year], 2026, tblThresholds[FilingStatus], Filing_Status, tblThresholds[Item], "NIIT_Threshold")</f>
        <v>250000</v>
      </c>
      <c r="L111" s="12"/>
    </row>
    <row r="112" spans="9:12" ht="14.5" customHeight="1" x14ac:dyDescent="0.35">
      <c r="I112" t="s">
        <v>186</v>
      </c>
      <c r="J112" s="12">
        <f>MAX(0,J39)</f>
        <v>0</v>
      </c>
      <c r="K112" s="12">
        <f>MAX(0,K39)</f>
        <v>0</v>
      </c>
      <c r="L112" s="12"/>
    </row>
    <row r="113" spans="9:12" ht="14.5" customHeight="1" x14ac:dyDescent="0.35">
      <c r="I113" t="s">
        <v>187</v>
      </c>
      <c r="J113" s="12">
        <f>MAX(0,J110-J111)</f>
        <v>0</v>
      </c>
      <c r="K113" s="12">
        <f>MAX(0,K110-K111)</f>
        <v>0</v>
      </c>
      <c r="L113" s="12"/>
    </row>
    <row r="114" spans="9:12" ht="14.5" customHeight="1" x14ac:dyDescent="0.35">
      <c r="I114" s="13" t="s">
        <v>188</v>
      </c>
      <c r="J114" s="19">
        <f>MIN(J112,J113)*SUMIFS(tblThresholds[Value], tblThresholds[Year], 2026, tblThresholds[FilingStatus], Filing_Status, tblThresholds[Item], "NIIT_Rate")</f>
        <v>0</v>
      </c>
      <c r="K114" s="19">
        <f>MIN(K112,K113)*SUMIFS(tblThresholds[Value], tblThresholds[Year], 2026, tblThresholds[FilingStatus], Filing_Status, tblThresholds[Item], "NIIT_Rate")</f>
        <v>0</v>
      </c>
      <c r="L114" s="19">
        <f>J114-K114</f>
        <v>0</v>
      </c>
    </row>
    <row r="115" spans="9:12" ht="14.5" customHeight="1" x14ac:dyDescent="0.35">
      <c r="J115" s="12"/>
      <c r="K115" s="12"/>
      <c r="L115" s="12"/>
    </row>
    <row r="116" spans="9:12" ht="14.5" customHeight="1" x14ac:dyDescent="0.35">
      <c r="I116" s="80" t="s">
        <v>189</v>
      </c>
      <c r="J116" s="19"/>
      <c r="K116" s="19"/>
      <c r="L116" s="19"/>
    </row>
    <row r="117" spans="9:12" ht="14.5" customHeight="1" x14ac:dyDescent="0.35">
      <c r="I117" t="s">
        <v>190</v>
      </c>
      <c r="J117" s="12">
        <f>J40</f>
        <v>0</v>
      </c>
      <c r="K117" s="12">
        <f>K40</f>
        <v>0</v>
      </c>
      <c r="L117" s="12"/>
    </row>
    <row r="118" spans="9:12" ht="14.5" customHeight="1" x14ac:dyDescent="0.35">
      <c r="I118" t="s">
        <v>191</v>
      </c>
      <c r="J118" s="12">
        <f>MAX(0,J117)*0.2</f>
        <v>0</v>
      </c>
      <c r="K118" s="12">
        <f>MAX(0,K117)*0.2</f>
        <v>0</v>
      </c>
      <c r="L118" s="12"/>
    </row>
    <row r="119" spans="9:12" ht="14.5" customHeight="1" x14ac:dyDescent="0.35">
      <c r="I119" t="s">
        <v>192</v>
      </c>
      <c r="J119" s="12">
        <f>MAX(0,J41)*0.2</f>
        <v>0</v>
      </c>
      <c r="K119" s="12">
        <f>MAX(0,K41)*0.2</f>
        <v>0</v>
      </c>
      <c r="L119" s="12"/>
    </row>
    <row r="120" spans="9:12" ht="14.5" customHeight="1" x14ac:dyDescent="0.35">
      <c r="I120" t="s">
        <v>193</v>
      </c>
      <c r="J120" s="12">
        <f>MAX(J23*0.5, J23*0.25+J44*0.025)</f>
        <v>0</v>
      </c>
      <c r="K120" s="12">
        <f>MAX(K23*0.5, K23*0.25+K44*0.025)</f>
        <v>0</v>
      </c>
      <c r="L120" s="12"/>
    </row>
    <row r="121" spans="9:12" ht="14.5" customHeight="1" x14ac:dyDescent="0.35">
      <c r="I121" t="s">
        <v>194</v>
      </c>
      <c r="J121" s="12" t="str">
        <f>IF(J41&gt;SUMIFS(tblThresholds[Value], tblThresholds[Year], 2026, tblThresholds[FilingStatus], Filing_Status, tblThresholds[Item], "QBI_Threshold_Start"),"YES","NO")</f>
        <v>NO</v>
      </c>
      <c r="K121" s="12" t="str">
        <f>IF(K41&gt;SUMIFS(tblThresholds[Value], tblThresholds[Year], 2026, tblThresholds[FilingStatus], Filing_Status, tblThresholds[Item], "QBI_Threshold_Start"),"YES","NO")</f>
        <v>NO</v>
      </c>
      <c r="L121" s="12"/>
    </row>
    <row r="122" spans="9:12" ht="14.5" customHeight="1" x14ac:dyDescent="0.35">
      <c r="I122" s="13" t="s">
        <v>195</v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>0</v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>0</v>
      </c>
      <c r="L122" s="19">
        <f>K122-J122</f>
        <v>0</v>
      </c>
    </row>
    <row r="123" spans="9:12" ht="14.5" customHeight="1" x14ac:dyDescent="0.35">
      <c r="J123" s="12"/>
      <c r="K123" s="12"/>
      <c r="L123" s="12"/>
    </row>
    <row r="124" spans="9:12" ht="14.5" customHeight="1" x14ac:dyDescent="0.35">
      <c r="I124" s="80" t="s">
        <v>196</v>
      </c>
      <c r="J124" s="19"/>
      <c r="K124" s="19"/>
      <c r="L124" s="19"/>
    </row>
    <row r="125" spans="9:12" ht="14.5" customHeight="1" x14ac:dyDescent="0.35">
      <c r="I125" t="s">
        <v>100</v>
      </c>
      <c r="J125" s="12">
        <f>K6+K8+K10+K11+K12</f>
        <v>0</v>
      </c>
      <c r="K125" s="12">
        <f>P13</f>
        <v>0</v>
      </c>
      <c r="L125" s="12" t="s">
        <v>152</v>
      </c>
    </row>
    <row r="126" spans="9:12" ht="14.5" customHeight="1" x14ac:dyDescent="0.35">
      <c r="I126" t="s">
        <v>197</v>
      </c>
      <c r="J126" s="12">
        <f>J97</f>
        <v>0</v>
      </c>
      <c r="K126" s="12">
        <f>K97</f>
        <v>0</v>
      </c>
      <c r="L126" s="12">
        <f t="shared" ref="L126:L131" si="1">J126-K126</f>
        <v>0</v>
      </c>
    </row>
    <row r="127" spans="9:12" ht="14.5" customHeight="1" x14ac:dyDescent="0.35">
      <c r="I127" t="s">
        <v>198</v>
      </c>
      <c r="J127" s="12">
        <f>J107</f>
        <v>0</v>
      </c>
      <c r="K127" s="12">
        <f>K107</f>
        <v>0</v>
      </c>
      <c r="L127" s="12">
        <f t="shared" si="1"/>
        <v>0</v>
      </c>
    </row>
    <row r="128" spans="9:12" ht="14.5" customHeight="1" x14ac:dyDescent="0.35">
      <c r="I128" t="s">
        <v>199</v>
      </c>
      <c r="J128" s="12">
        <f>J80</f>
        <v>0</v>
      </c>
      <c r="K128" s="12">
        <f>K80</f>
        <v>0</v>
      </c>
      <c r="L128" s="12">
        <f t="shared" si="1"/>
        <v>0</v>
      </c>
    </row>
    <row r="129" spans="9:12" ht="14.5" customHeight="1" x14ac:dyDescent="0.35">
      <c r="I129" t="s">
        <v>200</v>
      </c>
      <c r="J129" s="12">
        <f>J91</f>
        <v>0</v>
      </c>
      <c r="K129" s="12">
        <f>K91</f>
        <v>0</v>
      </c>
      <c r="L129" s="12">
        <f t="shared" si="1"/>
        <v>0</v>
      </c>
    </row>
    <row r="130" spans="9:12" ht="14.5" customHeight="1" x14ac:dyDescent="0.35">
      <c r="I130" t="s">
        <v>201</v>
      </c>
      <c r="J130" s="12">
        <f>J114</f>
        <v>0</v>
      </c>
      <c r="K130" s="12">
        <f>K114</f>
        <v>0</v>
      </c>
      <c r="L130" s="12">
        <f t="shared" si="1"/>
        <v>0</v>
      </c>
    </row>
    <row r="131" spans="9:12" ht="14.5" customHeight="1" x14ac:dyDescent="0.35">
      <c r="I131" t="s">
        <v>202</v>
      </c>
      <c r="J131" s="12">
        <f>-J122*0.24</f>
        <v>0</v>
      </c>
      <c r="K131" s="12">
        <f>-K122*0.24</f>
        <v>0</v>
      </c>
      <c r="L131" s="12">
        <f t="shared" si="1"/>
        <v>0</v>
      </c>
    </row>
    <row r="132" spans="9:12" ht="14.5" customHeight="1" x14ac:dyDescent="0.35">
      <c r="J132" s="12"/>
      <c r="K132" s="12"/>
      <c r="L132" s="12"/>
    </row>
    <row r="133" spans="9:12" ht="14.5" customHeight="1" x14ac:dyDescent="0.35">
      <c r="I133" s="13" t="s">
        <v>203</v>
      </c>
      <c r="J133" s="19">
        <f>SUM(J126:J131)</f>
        <v>0</v>
      </c>
      <c r="K133" s="19">
        <f>SUM(K126:K131)</f>
        <v>0</v>
      </c>
      <c r="L133" s="19">
        <f>J133-K133</f>
        <v>0</v>
      </c>
    </row>
    <row r="134" spans="9:12" ht="14.5" customHeight="1" x14ac:dyDescent="0.35">
      <c r="I134" t="s">
        <v>204</v>
      </c>
      <c r="J134" s="56">
        <f>IFERROR(J133/J125,0)</f>
        <v>0</v>
      </c>
      <c r="K134" s="56">
        <f>IFERROR(K133/K125,0)</f>
        <v>0</v>
      </c>
      <c r="L134" s="56">
        <f>J134-K134</f>
        <v>0</v>
      </c>
    </row>
    <row r="135" spans="9:12" ht="14.5" customHeight="1" x14ac:dyDescent="0.35">
      <c r="J135" s="12"/>
      <c r="K135" s="12"/>
      <c r="L135" s="12"/>
    </row>
    <row r="136" spans="9:12" ht="14.5" customHeight="1" x14ac:dyDescent="0.35">
      <c r="I136" s="13" t="s">
        <v>205</v>
      </c>
      <c r="J136" s="19">
        <f>L133</f>
        <v>0</v>
      </c>
      <c r="K136" s="19"/>
      <c r="L136" s="19"/>
    </row>
  </sheetData>
  <conditionalFormatting sqref="A6:H20">
    <cfRule type="expression" dxfId="2" priority="1">
      <formula>$H6=""</formula>
    </cfRule>
  </conditionalFormatting>
  <dataValidations count="1">
    <dataValidation type="list" allowBlank="1" showInputMessage="1" showErrorMessage="1" promptTitle="Prior Year?" prompt="Select Y for prior year baseline, or leave blank" sqref="L6:L18" xr:uid="{00000000-0002-0000-0900-000000000000}">
      <formula1>"Y"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Q136"/>
  <sheetViews>
    <sheetView workbookViewId="0">
      <selection activeCell="L53" sqref="L53"/>
    </sheetView>
  </sheetViews>
  <sheetFormatPr defaultRowHeight="14.5" x14ac:dyDescent="0.35"/>
  <cols>
    <col min="1" max="1" width="12" customWidth="1"/>
    <col min="2" max="2" width="36" customWidth="1"/>
    <col min="3" max="3" width="12" customWidth="1"/>
    <col min="4" max="5" width="14" customWidth="1"/>
    <col min="6" max="6" width="32" customWidth="1"/>
    <col min="7" max="8" width="3" customWidth="1"/>
    <col min="9" max="9" width="36" customWidth="1"/>
    <col min="10" max="10" width="16" customWidth="1"/>
    <col min="11" max="11" width="6.36328125" customWidth="1"/>
    <col min="12" max="12" width="16" customWidth="1"/>
    <col min="13" max="13" width="14" customWidth="1"/>
    <col min="14" max="14" width="16" customWidth="1"/>
    <col min="15" max="16" width="9" customWidth="1"/>
  </cols>
  <sheetData>
    <row r="1" spans="1:17" ht="18.5" customHeight="1" x14ac:dyDescent="0.35">
      <c r="A1" s="17" t="s">
        <v>514</v>
      </c>
    </row>
    <row r="2" spans="1:17" ht="14.5" customHeight="1" x14ac:dyDescent="0.35">
      <c r="A2" s="89" t="s">
        <v>1</v>
      </c>
    </row>
    <row r="3" spans="1:17" ht="14.5" customHeight="1" x14ac:dyDescent="0.35"/>
    <row r="4" spans="1:17" ht="14.5" customHeight="1" x14ac:dyDescent="0.35">
      <c r="A4" s="80" t="s">
        <v>2</v>
      </c>
    </row>
    <row r="5" spans="1:17" ht="14.5" customHeight="1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1789</v>
      </c>
      <c r="I5" s="3" t="s">
        <v>10</v>
      </c>
      <c r="J5" s="3" t="s">
        <v>11</v>
      </c>
      <c r="K5" s="3" t="s">
        <v>12</v>
      </c>
      <c r="L5" s="53" t="s">
        <v>13</v>
      </c>
      <c r="M5" s="3" t="s">
        <v>14</v>
      </c>
      <c r="N5" s="3" t="s">
        <v>15</v>
      </c>
      <c r="O5" s="3" t="s">
        <v>16</v>
      </c>
      <c r="P5" s="98" t="s">
        <v>17</v>
      </c>
      <c r="Q5" s="3" t="s">
        <v>18</v>
      </c>
    </row>
    <row r="6" spans="1:17" ht="14.5" customHeight="1" x14ac:dyDescent="0.35">
      <c r="A6" s="65" t="s">
        <v>19</v>
      </c>
      <c r="B6" s="65" t="s">
        <v>20</v>
      </c>
      <c r="C6" s="65" t="s">
        <v>21</v>
      </c>
      <c r="D6" s="93"/>
      <c r="E6" s="65"/>
      <c r="F6" s="65"/>
      <c r="G6" s="65">
        <v>8</v>
      </c>
      <c r="H6" s="65" t="s">
        <v>929</v>
      </c>
      <c r="I6" t="s">
        <v>21</v>
      </c>
      <c r="J6" t="s">
        <v>24</v>
      </c>
      <c r="K6" s="12">
        <f>SUMIFS(tblMaster_Inputs[Baseline_Amount],tblMaster_Inputs[Year],2027,tblMaster_Inputs[Primary_Line],$I6, tblMaster_Inputs[Activity_Type], "Baseline")</f>
        <v>0</v>
      </c>
      <c r="L6" s="54"/>
      <c r="M6" s="4"/>
      <c r="N6" s="12">
        <f>SUMIFS(tblY2027_Strategies[Amount],tblY2027_Strategies[TargetLine],$I6)-SUMIFS(tblY2027_Strategies[Amount],tblY2027_Strategies[CounterLine],$I6)</f>
        <v>0</v>
      </c>
      <c r="O6" s="12">
        <f>IF(UPPER(L6)="Y",SUMIFS(tblMaster_Inputs[Baseline_Amount],tblMaster_Inputs[Year],2026,tblMaster_Inputs[Primary_Line],"1z"),IF(ISBLANK(M6),K6,M6))</f>
        <v>0</v>
      </c>
      <c r="P6" s="12">
        <f>O6+N6</f>
        <v>0</v>
      </c>
      <c r="Q6" s="8" t="str">
        <f t="shared" ref="Q6:Q18" si="0">HYPERLINK("#Y2027!I49","↗ drill")</f>
        <v>↗ drill</v>
      </c>
    </row>
    <row r="7" spans="1:17" ht="14.5" customHeight="1" x14ac:dyDescent="0.35">
      <c r="A7" s="65" t="s">
        <v>25</v>
      </c>
      <c r="B7" s="65" t="s">
        <v>26</v>
      </c>
      <c r="C7" s="65">
        <v>10</v>
      </c>
      <c r="D7" s="93"/>
      <c r="E7" s="65"/>
      <c r="F7" s="65"/>
      <c r="G7" s="65"/>
      <c r="H7" s="65" t="s">
        <v>899</v>
      </c>
      <c r="I7" t="s">
        <v>28</v>
      </c>
      <c r="J7" t="s">
        <v>461</v>
      </c>
      <c r="K7" s="12">
        <f>SUMIFS(tblMaster_Inputs[Helper_Amount],tblMaster_Inputs[Year],2027,tblMaster_Inputs[Helper_Treatment],"TAX_EXEMPT")</f>
        <v>0</v>
      </c>
      <c r="L7" s="54"/>
      <c r="M7" s="4"/>
      <c r="N7">
        <f>SUMIFS(tblY2027_Strategies[Amount],tblY2027_Strategies[TargetLine],"2a",tblY2027_Strategies[Status],"Committed")</f>
        <v>0</v>
      </c>
      <c r="O7" s="12">
        <f>IF(UPPER(L7)="Y",SUMIFS(tblMaster_Inputs[Helper_Amount],tblMaster_Inputs[Year],2026,tblMaster_Inputs[Helper_Treatment],"TAX_EXEMPT"),IF(ISBLANK(M7),K7,M7))</f>
        <v>0</v>
      </c>
      <c r="P7" s="12">
        <f>O7</f>
        <v>0</v>
      </c>
      <c r="Q7" s="8" t="str">
        <f t="shared" si="0"/>
        <v>↗ drill</v>
      </c>
    </row>
    <row r="8" spans="1:17" ht="14.5" customHeight="1" x14ac:dyDescent="0.35">
      <c r="A8" s="65" t="s">
        <v>30</v>
      </c>
      <c r="B8" s="65" t="s">
        <v>31</v>
      </c>
      <c r="C8" s="65">
        <v>12</v>
      </c>
      <c r="D8" s="93"/>
      <c r="E8" s="65"/>
      <c r="F8" s="65"/>
      <c r="G8" s="65"/>
      <c r="H8" s="65" t="s">
        <v>960</v>
      </c>
      <c r="I8" t="s">
        <v>34</v>
      </c>
      <c r="J8" t="s">
        <v>35</v>
      </c>
      <c r="K8" s="12">
        <f>SUMIFS(tblMaster_Inputs[Baseline_Amount],tblMaster_Inputs[Year],2027,tblMaster_Inputs[Primary_Line],$I8, tblMaster_Inputs[Activity_Type], "Baseline")</f>
        <v>0</v>
      </c>
      <c r="L8" s="54"/>
      <c r="M8" s="4"/>
      <c r="N8" s="12">
        <f>SUMIFS(tblY2027_Strategies[Amount],tblY2027_Strategies[TargetLine],$I8)-SUMIFS(tblY2027_Strategies[Amount],tblY2027_Strategies[CounterLine],$I8)</f>
        <v>0</v>
      </c>
      <c r="O8" s="12">
        <f>IF(UPPER(L8)="Y",SUMIFS(tblMaster_Inputs[Baseline_Amount],tblMaster_Inputs[Year],2026,tblMaster_Inputs[Primary_Line],"2b"),IF(ISBLANK(M8),K8,M8))</f>
        <v>0</v>
      </c>
      <c r="P8" s="12">
        <f>O8+N8</f>
        <v>0</v>
      </c>
      <c r="Q8" s="8" t="str">
        <f t="shared" si="0"/>
        <v>↗ drill</v>
      </c>
    </row>
    <row r="9" spans="1:17" ht="14.5" customHeight="1" x14ac:dyDescent="0.35">
      <c r="A9" s="65" t="s">
        <v>36</v>
      </c>
      <c r="B9" s="65" t="s">
        <v>37</v>
      </c>
      <c r="C9" s="65">
        <v>10</v>
      </c>
      <c r="D9" s="93"/>
      <c r="E9" s="65"/>
      <c r="F9" s="65"/>
      <c r="G9" s="65"/>
      <c r="H9" s="65" t="s">
        <v>899</v>
      </c>
      <c r="I9" t="s">
        <v>40</v>
      </c>
      <c r="J9" t="s">
        <v>491</v>
      </c>
      <c r="K9" s="12">
        <f>SUMIFS(tblMaster_Inputs[Helper_Amount],tblMaster_Inputs[Year],2027,tblMaster_Inputs[Helper_Treatment],"QUAL_DIV")</f>
        <v>0</v>
      </c>
      <c r="L9" s="54"/>
      <c r="M9" s="4"/>
      <c r="N9">
        <f>SUMIFS(tblY2027_Strategies[Amount],tblY2027_Strategies[TargetLine],"3a",tblY2027_Strategies[Status],"Committed")</f>
        <v>0</v>
      </c>
      <c r="O9" s="12">
        <f>IF(UPPER(L9)="Y",SUMIFS(tblMaster_Inputs[Helper_Amount],tblMaster_Inputs[Year],2026,tblMaster_Inputs[Helper_Treatment],"QUAL_DIV"),IF(ISBLANK(M9),K9,M9))</f>
        <v>0</v>
      </c>
      <c r="P9" s="12">
        <f>O9</f>
        <v>0</v>
      </c>
      <c r="Q9" s="8" t="str">
        <f t="shared" si="0"/>
        <v>↗ drill</v>
      </c>
    </row>
    <row r="10" spans="1:17" ht="14.5" customHeight="1" x14ac:dyDescent="0.35">
      <c r="A10" s="65" t="s">
        <v>42</v>
      </c>
      <c r="B10" s="65" t="s">
        <v>43</v>
      </c>
      <c r="C10" s="65">
        <v>8</v>
      </c>
      <c r="D10" s="93"/>
      <c r="E10" s="65"/>
      <c r="F10" s="65"/>
      <c r="G10" s="65"/>
      <c r="H10" s="65" t="s">
        <v>945</v>
      </c>
      <c r="I10" t="s">
        <v>45</v>
      </c>
      <c r="J10" t="s">
        <v>412</v>
      </c>
      <c r="K10" s="12">
        <f>SUMIFS(tblMaster_Inputs[Baseline_Amount],tblMaster_Inputs[Year],2027,tblMaster_Inputs[Primary_Line],$I10, tblMaster_Inputs[Activity_Type], "Baseline")</f>
        <v>0</v>
      </c>
      <c r="L10" s="54"/>
      <c r="M10" s="4"/>
      <c r="N10" s="12">
        <f>SUMIFS(tblY2027_Strategies[Amount],tblY2027_Strategies[TargetLine],$I10)-SUMIFS(tblY2027_Strategies[Amount],tblY2027_Strategies[CounterLine],$I10)</f>
        <v>0</v>
      </c>
      <c r="O10" s="12">
        <f>IF(UPPER(L10)="Y",SUMIFS(tblMaster_Inputs[Baseline_Amount],tblMaster_Inputs[Year],2026,tblMaster_Inputs[Primary_Line],"3b"),IF(ISBLANK(M10),K10,M10))</f>
        <v>0</v>
      </c>
      <c r="P10" s="12">
        <f>O10+N10</f>
        <v>0</v>
      </c>
      <c r="Q10" s="8" t="str">
        <f t="shared" si="0"/>
        <v>↗ drill</v>
      </c>
    </row>
    <row r="11" spans="1:17" ht="14.5" customHeight="1" x14ac:dyDescent="0.35">
      <c r="A11" s="65" t="s">
        <v>47</v>
      </c>
      <c r="B11" s="65" t="s">
        <v>48</v>
      </c>
      <c r="C11" s="65" t="s">
        <v>21</v>
      </c>
      <c r="D11" s="93"/>
      <c r="E11" s="65"/>
      <c r="F11" s="65"/>
      <c r="G11" s="65"/>
      <c r="H11" s="65" t="s">
        <v>1790</v>
      </c>
      <c r="I11">
        <v>7</v>
      </c>
      <c r="J11" t="s">
        <v>502</v>
      </c>
      <c r="K11" s="12">
        <f>SUMIFS(tblMaster_Inputs[Baseline_Amount],tblMaster_Inputs[Year],2027,tblMaster_Inputs[Primary_Line],$I11, tblMaster_Inputs[Activity_Type], "Baseline")</f>
        <v>0</v>
      </c>
      <c r="L11" s="54"/>
      <c r="M11" s="4"/>
      <c r="N11" s="12">
        <f>SUMIFS(tblY2027_Strategies[Amount],tblY2027_Strategies[TargetLine],$I11)-SUMIFS(tblY2027_Strategies[Amount],tblY2027_Strategies[CounterLine],$I11)</f>
        <v>0</v>
      </c>
      <c r="O11" s="12">
        <f>IF(UPPER(L11)="Y",SUMIFS(tblMaster_Inputs[Baseline_Amount],tblMaster_Inputs[Year],2026,tblMaster_Inputs[Primary_Line],"7"),IF(ISBLANK(M11),K11,M11))</f>
        <v>0</v>
      </c>
      <c r="P11" s="12">
        <f>O11+N11</f>
        <v>0</v>
      </c>
      <c r="Q11" s="8" t="str">
        <f t="shared" si="0"/>
        <v>↗ drill</v>
      </c>
    </row>
    <row r="12" spans="1:17" ht="14.5" customHeight="1" x14ac:dyDescent="0.35">
      <c r="A12" s="65" t="s">
        <v>52</v>
      </c>
      <c r="B12" s="65" t="s">
        <v>53</v>
      </c>
      <c r="C12" s="65">
        <v>8</v>
      </c>
      <c r="D12" s="93"/>
      <c r="E12" s="65"/>
      <c r="F12" s="65"/>
      <c r="G12" s="65"/>
      <c r="H12" s="65" t="s">
        <v>905</v>
      </c>
      <c r="I12">
        <v>8</v>
      </c>
      <c r="J12" t="s">
        <v>503</v>
      </c>
      <c r="K12" s="12">
        <f>SUMIFS(tblMaster_Inputs[Baseline_Amount],tblMaster_Inputs[Year],2027,tblMaster_Inputs[Primary_Line],$I12, tblMaster_Inputs[Activity_Type], "Baseline")</f>
        <v>0</v>
      </c>
      <c r="L12" s="54"/>
      <c r="M12" s="4"/>
      <c r="N12" s="12">
        <f>SUMIFS(tblY2027_Strategies[Amount],tblY2027_Strategies[TargetLine],$I12)-SUMIFS(tblY2027_Strategies[Amount],tblY2027_Strategies[CounterLine],$I12)</f>
        <v>0</v>
      </c>
      <c r="O12" s="12">
        <f>IF(UPPER(L12)="Y",SUMIFS(tblMaster_Inputs[Baseline_Amount],tblMaster_Inputs[Year],2026,tblMaster_Inputs[Primary_Line],"8"),IF(ISBLANK(M12),K12,M12))</f>
        <v>0</v>
      </c>
      <c r="P12" s="12">
        <f>O12+N12</f>
        <v>0</v>
      </c>
      <c r="Q12" s="8" t="str">
        <f t="shared" si="0"/>
        <v>↗ drill</v>
      </c>
    </row>
    <row r="13" spans="1:17" ht="14.5" customHeight="1" x14ac:dyDescent="0.35">
      <c r="A13" s="65" t="s">
        <v>57</v>
      </c>
      <c r="B13" s="65" t="s">
        <v>58</v>
      </c>
      <c r="C13" s="65">
        <v>8</v>
      </c>
      <c r="D13" s="93"/>
      <c r="E13" s="65"/>
      <c r="F13" s="65"/>
      <c r="G13" s="65"/>
      <c r="H13" s="65" t="s">
        <v>909</v>
      </c>
      <c r="I13">
        <v>9</v>
      </c>
      <c r="J13" t="s">
        <v>61</v>
      </c>
      <c r="K13" s="12">
        <f>K6+K8+K10+K11+K12</f>
        <v>0</v>
      </c>
      <c r="L13" s="54"/>
      <c r="M13" s="4"/>
      <c r="N13" s="12">
        <f>N6+N8+N10+N11+N12</f>
        <v>0</v>
      </c>
      <c r="O13" s="12">
        <f>O6+O8+O10+O11+O12</f>
        <v>0</v>
      </c>
      <c r="P13" s="12">
        <f>P6+P8+P10+P11+P12</f>
        <v>0</v>
      </c>
      <c r="Q13" s="8" t="str">
        <f t="shared" si="0"/>
        <v>↗ drill</v>
      </c>
    </row>
    <row r="14" spans="1:17" ht="14.5" customHeight="1" x14ac:dyDescent="0.35">
      <c r="A14" s="65" t="s">
        <v>62</v>
      </c>
      <c r="B14" s="65" t="s">
        <v>63</v>
      </c>
      <c r="C14" s="65">
        <v>8</v>
      </c>
      <c r="D14" s="93"/>
      <c r="E14" s="65"/>
      <c r="F14" s="65" t="s">
        <v>1792</v>
      </c>
      <c r="G14" s="65" t="s">
        <v>21</v>
      </c>
      <c r="H14" s="65" t="s">
        <v>914</v>
      </c>
      <c r="I14">
        <v>10</v>
      </c>
      <c r="J14" t="s">
        <v>504</v>
      </c>
      <c r="K14" s="12">
        <f>SUMIFS(tblMaster_Inputs[Baseline_Amount],tblMaster_Inputs[Year],2027,tblMaster_Inputs[Primary_Line],$I14, tblMaster_Inputs[Activity_Type], "Baseline")</f>
        <v>0</v>
      </c>
      <c r="L14" s="54"/>
      <c r="M14" s="4"/>
      <c r="N14" s="12">
        <f>SUMIFS(tblY2027_Strategies[Amount],tblY2027_Strategies[TargetLine],$I14)-SUMIFS(tblY2027_Strategies[Amount],tblY2027_Strategies[CounterLine],$I14)</f>
        <v>0</v>
      </c>
      <c r="O14" s="12">
        <f>IF(UPPER(L14)="Y",SUMIFS(tblMaster_Inputs[Baseline_Amount],tblMaster_Inputs[Year],2026,tblMaster_Inputs[Primary_Line],"10"),IF(ISBLANK(M14),K14,M14))</f>
        <v>0</v>
      </c>
      <c r="P14" s="12">
        <f>O14+N14</f>
        <v>0</v>
      </c>
      <c r="Q14" s="8" t="str">
        <f t="shared" si="0"/>
        <v>↗ drill</v>
      </c>
    </row>
    <row r="15" spans="1:17" ht="14.5" customHeight="1" x14ac:dyDescent="0.35">
      <c r="A15" s="65" t="s">
        <v>67</v>
      </c>
      <c r="B15" s="65" t="s">
        <v>68</v>
      </c>
      <c r="C15" s="65">
        <v>8</v>
      </c>
      <c r="D15" s="93"/>
      <c r="E15" s="65"/>
      <c r="F15" s="65"/>
      <c r="G15" s="65" t="s">
        <v>21</v>
      </c>
      <c r="H15" s="65" t="s">
        <v>923</v>
      </c>
      <c r="I15">
        <v>11</v>
      </c>
      <c r="J15" t="s">
        <v>71</v>
      </c>
      <c r="K15" s="12">
        <f>K13+K14</f>
        <v>0</v>
      </c>
      <c r="L15" s="54"/>
      <c r="M15" s="4"/>
      <c r="N15" s="12">
        <f>N13+N14</f>
        <v>0</v>
      </c>
      <c r="O15" s="12">
        <f>O13+O14</f>
        <v>0</v>
      </c>
      <c r="P15" s="12">
        <f>P13+P14</f>
        <v>0</v>
      </c>
      <c r="Q15" s="8" t="str">
        <f t="shared" si="0"/>
        <v>↗ drill</v>
      </c>
    </row>
    <row r="16" spans="1:17" ht="14.5" customHeight="1" x14ac:dyDescent="0.35">
      <c r="A16" s="65" t="s">
        <v>72</v>
      </c>
      <c r="B16" s="65" t="s">
        <v>73</v>
      </c>
      <c r="C16" s="65">
        <v>7</v>
      </c>
      <c r="D16" s="93"/>
      <c r="E16" s="65"/>
      <c r="F16" s="65"/>
      <c r="G16" s="65"/>
      <c r="H16" s="65" t="s">
        <v>1791</v>
      </c>
      <c r="I16">
        <v>12</v>
      </c>
      <c r="J16" t="s">
        <v>505</v>
      </c>
      <c r="K16" s="12">
        <f>SUMIFS(tblMaster_Inputs[Baseline_Amount],tblMaster_Inputs[Year],2027,tblMaster_Inputs[Primary_Line],$I16, tblMaster_Inputs[Activity_Type], "Baseline")</f>
        <v>0</v>
      </c>
      <c r="L16" s="54"/>
      <c r="M16" s="4"/>
      <c r="N16" s="12">
        <f>SUMIFS(tblY2027_Strategies[Amount],tblY2027_Strategies[TargetLine],$I16)-SUMIFS(tblY2027_Strategies[Amount],tblY2027_Strategies[CounterLine],$I16)</f>
        <v>0</v>
      </c>
      <c r="O16" s="12">
        <f>IF(UPPER(L16)="Y",SUMIFS(tblMaster_Inputs[Baseline_Amount],tblMaster_Inputs[Year],2026,tblMaster_Inputs[Primary_Line],"12"),IF(ISBLANK(M16),K16,M16))</f>
        <v>0</v>
      </c>
      <c r="P16" s="12">
        <f>O16+N16</f>
        <v>0</v>
      </c>
      <c r="Q16" s="8" t="str">
        <f t="shared" si="0"/>
        <v>↗ drill</v>
      </c>
    </row>
    <row r="17" spans="1:17" ht="14.5" customHeight="1" x14ac:dyDescent="0.35">
      <c r="A17" s="65" t="s">
        <v>77</v>
      </c>
      <c r="B17" s="65" t="s">
        <v>78</v>
      </c>
      <c r="C17" s="65">
        <v>8</v>
      </c>
      <c r="D17" s="93"/>
      <c r="E17" s="65"/>
      <c r="F17" s="65"/>
      <c r="G17" s="65"/>
      <c r="H17" s="65" t="s">
        <v>945</v>
      </c>
      <c r="I17">
        <v>13</v>
      </c>
      <c r="J17" t="s">
        <v>81</v>
      </c>
      <c r="K17" s="12">
        <f>SUMIFS(tblMaster_Inputs[Baseline_Amount],tblMaster_Inputs[Year],2027,tblMaster_Inputs[Primary_Line],$I17, tblMaster_Inputs[Activity_Type], "Baseline")</f>
        <v>0</v>
      </c>
      <c r="L17" s="54"/>
      <c r="M17" s="4"/>
      <c r="N17" s="12">
        <f>SUMIFS(tblY2027_Strategies[Amount],tblY2027_Strategies[TargetLine],$I17)-SUMIFS(tblY2027_Strategies[Amount],tblY2027_Strategies[CounterLine],$I17)</f>
        <v>0</v>
      </c>
      <c r="O17" s="12">
        <f>IF(UPPER(L17)="Y",SUMIFS(tblMaster_Inputs[Baseline_Amount],tblMaster_Inputs[Year],2026,tblMaster_Inputs[Primary_Line],"13"),IF(ISBLANK(M17),K17,M17))</f>
        <v>0</v>
      </c>
      <c r="P17" s="12">
        <f>O17+N17</f>
        <v>0</v>
      </c>
      <c r="Q17" s="8" t="str">
        <f t="shared" si="0"/>
        <v>↗ drill</v>
      </c>
    </row>
    <row r="18" spans="1:17" ht="14.5" customHeight="1" x14ac:dyDescent="0.35">
      <c r="A18" s="65" t="s">
        <v>82</v>
      </c>
      <c r="B18" s="65" t="s">
        <v>83</v>
      </c>
      <c r="C18" s="65">
        <v>13</v>
      </c>
      <c r="D18" s="93"/>
      <c r="E18" s="65"/>
      <c r="F18" s="65"/>
      <c r="G18" s="65"/>
      <c r="H18" s="65"/>
      <c r="I18">
        <v>15</v>
      </c>
      <c r="J18" t="s">
        <v>86</v>
      </c>
      <c r="K18" s="12">
        <f>K15+K16+K17</f>
        <v>0</v>
      </c>
      <c r="L18" s="54"/>
      <c r="M18" s="4"/>
      <c r="N18" s="12">
        <f>N15+N16+N17</f>
        <v>0</v>
      </c>
      <c r="O18" s="12">
        <f>O15+O16+O17</f>
        <v>0</v>
      </c>
      <c r="P18" s="12">
        <f>P15+P16+P17</f>
        <v>0</v>
      </c>
      <c r="Q18" s="8" t="str">
        <f t="shared" si="0"/>
        <v>↗ drill</v>
      </c>
    </row>
    <row r="19" spans="1:17" ht="14.5" customHeight="1" x14ac:dyDescent="0.35">
      <c r="A19" s="65" t="s">
        <v>87</v>
      </c>
      <c r="B19" s="65" t="s">
        <v>88</v>
      </c>
      <c r="C19" s="65">
        <v>12</v>
      </c>
      <c r="D19" s="93"/>
      <c r="E19" s="65"/>
      <c r="F19" s="65"/>
      <c r="G19" s="65"/>
      <c r="H19" s="65"/>
    </row>
    <row r="20" spans="1:17" ht="14.5" customHeight="1" x14ac:dyDescent="0.35">
      <c r="A20" s="65" t="s">
        <v>90</v>
      </c>
      <c r="B20" s="65" t="s">
        <v>91</v>
      </c>
      <c r="C20" s="65">
        <v>8</v>
      </c>
      <c r="D20" s="93"/>
      <c r="E20" s="65"/>
      <c r="F20" s="65"/>
      <c r="G20" s="65"/>
      <c r="H20" s="65" t="s">
        <v>919</v>
      </c>
    </row>
    <row r="21" spans="1:17" ht="14.5" customHeight="1" x14ac:dyDescent="0.35"/>
    <row r="22" spans="1:17" ht="29" customHeight="1" x14ac:dyDescent="0.35">
      <c r="A22" s="80" t="s">
        <v>93</v>
      </c>
      <c r="I22" s="3" t="s">
        <v>11</v>
      </c>
      <c r="J22" s="3" t="s">
        <v>6</v>
      </c>
      <c r="K22" s="3" t="s">
        <v>16</v>
      </c>
      <c r="L22" s="3" t="s">
        <v>94</v>
      </c>
    </row>
    <row r="23" spans="1:17" ht="14.5" customHeight="1" x14ac:dyDescent="0.35">
      <c r="A23" s="92" t="s">
        <v>95</v>
      </c>
      <c r="B23" s="92" t="s">
        <v>96</v>
      </c>
      <c r="C23" s="92" t="s">
        <v>16</v>
      </c>
      <c r="D23" s="92" t="s">
        <v>97</v>
      </c>
      <c r="E23" s="92" t="s">
        <v>98</v>
      </c>
      <c r="I23" t="s">
        <v>485</v>
      </c>
      <c r="J23" s="12">
        <f>SUMIFS(tblMaster_Inputs[Baseline_Amount],tblMaster_Inputs[Year],2027,tblMaster_Inputs[Treatment_Profile],"W2_SCorpOwner", tblMaster_Inputs[Activity_Type], "Baseline")</f>
        <v>0</v>
      </c>
      <c r="K23" s="12">
        <f>J23+SUMIFS(tblY2027_Strategies[Amount],tblY2027_Strategies[TargetLine],"1z")-SUMIFS(tblY2027_Strategies[Amount],tblY2027_Strategies[CounterLine],"1z")</f>
        <v>0</v>
      </c>
      <c r="L23" s="2"/>
    </row>
    <row r="24" spans="1:17" ht="14.5" customHeight="1" x14ac:dyDescent="0.35">
      <c r="A24" t="s">
        <v>100</v>
      </c>
      <c r="B24" s="94">
        <f>K13</f>
        <v>0</v>
      </c>
      <c r="C24" s="94">
        <f>O13</f>
        <v>0</v>
      </c>
      <c r="D24" s="94">
        <f>P13</f>
        <v>0</v>
      </c>
      <c r="E24" s="94">
        <f>B24-D24</f>
        <v>0</v>
      </c>
      <c r="I24" t="s">
        <v>486</v>
      </c>
      <c r="J24" s="12">
        <f>SUMIFS(tblMaster_Inputs[Baseline_Amount],tblMaster_Inputs[Year],2027,tblMaster_Inputs[Treatment_Profile],"W2_Employee", tblMaster_Inputs[Activity_Type], "Baseline")</f>
        <v>0</v>
      </c>
      <c r="K24" s="12">
        <f>J24</f>
        <v>0</v>
      </c>
      <c r="L24" s="2"/>
    </row>
    <row r="25" spans="1:17" ht="14.5" customHeight="1" x14ac:dyDescent="0.35">
      <c r="A25" t="s">
        <v>103</v>
      </c>
      <c r="B25" s="94">
        <f>K18</f>
        <v>0</v>
      </c>
      <c r="C25" s="94">
        <f>O18</f>
        <v>0</v>
      </c>
      <c r="D25" s="94">
        <f>P18</f>
        <v>0</v>
      </c>
      <c r="E25" s="94">
        <f>B25-D25</f>
        <v>0</v>
      </c>
      <c r="I25" t="s">
        <v>487</v>
      </c>
      <c r="J25" s="12">
        <f>J23+J24</f>
        <v>0</v>
      </c>
      <c r="K25" s="12">
        <f>K23+K24</f>
        <v>0</v>
      </c>
      <c r="L25" s="2"/>
    </row>
    <row r="26" spans="1:17" ht="14.5" customHeight="1" x14ac:dyDescent="0.35">
      <c r="A26" s="13" t="s">
        <v>105</v>
      </c>
      <c r="B26" s="95">
        <f>J133</f>
        <v>0</v>
      </c>
      <c r="C26" s="95">
        <f>J133</f>
        <v>0</v>
      </c>
      <c r="D26" s="95">
        <f>K133</f>
        <v>0</v>
      </c>
      <c r="E26" s="94">
        <f>B26-D26</f>
        <v>0</v>
      </c>
      <c r="I26" t="s">
        <v>506</v>
      </c>
      <c r="J26" s="12">
        <f>SUMIFS(tblMaster_Inputs[Baseline_Amount],tblMaster_Inputs[Year],2027,tblMaster_Inputs[Bucket],"Business Income",tblMaster_Inputs[SE_Subject],"Yes", tblMaster_Inputs[Activity_Type], "Baseline")</f>
        <v>0</v>
      </c>
      <c r="K26" s="12">
        <f>J26</f>
        <v>0</v>
      </c>
      <c r="L26" s="2"/>
    </row>
    <row r="27" spans="1:17" ht="14.5" customHeight="1" x14ac:dyDescent="0.35">
      <c r="A27" t="s">
        <v>108</v>
      </c>
      <c r="B27" s="96">
        <f>J134</f>
        <v>0</v>
      </c>
      <c r="C27" s="96">
        <f>J134</f>
        <v>0</v>
      </c>
      <c r="D27" s="96">
        <f>K134</f>
        <v>0</v>
      </c>
      <c r="E27" s="96">
        <f>B27-D27</f>
        <v>0</v>
      </c>
      <c r="I27" t="s">
        <v>507</v>
      </c>
      <c r="J27" s="12">
        <f>SUMIFS(tblMaster_Inputs[Baseline_Amount],tblMaster_Inputs[Year],2027,tblMaster_Inputs[Bucket],"Business Income",tblMaster_Inputs[SE_Subject],"No",tblMaster_Inputs[NIIT_Class],"Active", tblMaster_Inputs[Activity_Type], "Baseline")</f>
        <v>0</v>
      </c>
      <c r="K27" s="12">
        <f>J27+SUMIFS(tblY2027_Strategies[Amount],tblY2027_Strategies[TargetLine],"8")-SUMIFS(tblY2027_Strategies[Amount],tblY2027_Strategies[CounterLine],"8")</f>
        <v>0</v>
      </c>
      <c r="L27" s="2"/>
    </row>
    <row r="28" spans="1:17" ht="14.5" customHeight="1" x14ac:dyDescent="0.35">
      <c r="A28" t="s">
        <v>111</v>
      </c>
      <c r="B28" s="97">
        <f>COUNTIF(tblY2027_Strategies[Status],"Committed")</f>
        <v>0</v>
      </c>
      <c r="C28" s="97" t="s">
        <v>112</v>
      </c>
      <c r="D28" s="94">
        <f>SUMIF(tblY2027_Strategies[Status],"Committed",tblY2027_Strategies[Amount])</f>
        <v>0</v>
      </c>
      <c r="E28" s="97"/>
      <c r="I28" t="s">
        <v>490</v>
      </c>
      <c r="J28" s="12">
        <f>SUMIFS(tblMaster_Inputs[Baseline_Amount],tblMaster_Inputs[Year],2027,tblMaster_Inputs[Bucket],"Business Income",tblMaster_Inputs[NIIT_Class],"Passive", tblMaster_Inputs[Activity_Type], "Baseline")</f>
        <v>0</v>
      </c>
      <c r="K28" s="12">
        <f>J28</f>
        <v>0</v>
      </c>
      <c r="L28" s="2"/>
    </row>
    <row r="29" spans="1:17" ht="14.5" customHeight="1" x14ac:dyDescent="0.35">
      <c r="I29" t="s">
        <v>508</v>
      </c>
      <c r="J29" s="12">
        <f>SUMIFS(tblMaster_Inputs[Helper_Amount],tblMaster_Inputs[Year],2027,tblMaster_Inputs[Helper_Treatment],"TAX_EXEMPT")</f>
        <v>0</v>
      </c>
      <c r="K29" s="12">
        <f>J29+SUMIFS(tblY2027_Strategies[Amount],tblY2027_Strategies[TargetLine],"2a")-SUMIFS(tblY2027_Strategies[Amount],tblY2027_Strategies[CounterLine],"2a")</f>
        <v>0</v>
      </c>
      <c r="L29" s="2"/>
    </row>
    <row r="30" spans="1:17" ht="14.5" customHeight="1" x14ac:dyDescent="0.35">
      <c r="I30" t="s">
        <v>509</v>
      </c>
      <c r="J30" s="12">
        <f>SUMIFS(tblMaster_Inputs[Helper_Amount],tblMaster_Inputs[Year],2027,tblMaster_Inputs[Helper_Treatment],"QUAL_DIV", tblMaster_Inputs[Activity_Type], "Baseline")</f>
        <v>0</v>
      </c>
      <c r="K30" s="12">
        <f>J30</f>
        <v>0</v>
      </c>
      <c r="L30" s="2"/>
    </row>
    <row r="31" spans="1:17" ht="14.5" customHeight="1" x14ac:dyDescent="0.35">
      <c r="I31" t="s">
        <v>510</v>
      </c>
      <c r="J31" s="12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>0</v>
      </c>
      <c r="K31" s="12">
        <f>J31+SUMIFS(tblY2027_Strategies[Amount],tblY2027_Strategies[TargetLine],"7")-SUMIFS(tblY2027_Strategies[Amount],tblY2027_Strategies[CounterLine],"7")</f>
        <v>0</v>
      </c>
      <c r="L31" s="2"/>
    </row>
    <row r="32" spans="1:17" ht="14.5" customHeight="1" x14ac:dyDescent="0.35">
      <c r="I32" t="s">
        <v>511</v>
      </c>
      <c r="J32" s="12">
        <f>SUMIFS(tblMaster_Inputs[Baseline_Amount],tblMaster_Inputs[Year],2027,tblMaster_Inputs[Treatment_Profile],"STCG_Stock", tblMaster_Inputs[Activity_Type], "Baseline")</f>
        <v>0</v>
      </c>
      <c r="K32" s="12">
        <f>J32</f>
        <v>0</v>
      </c>
      <c r="L32" s="2"/>
    </row>
    <row r="33" spans="9:12" ht="14.5" customHeight="1" x14ac:dyDescent="0.35">
      <c r="I33" t="s">
        <v>494</v>
      </c>
      <c r="J33" s="12">
        <f>SUMIFS(tblMaster_Inputs[Helper_Amount],tblMaster_Inputs[Year],2027,tblMaster_Inputs[Helper_Treatment],"SEC1250", tblMaster_Inputs[Activity_Type], "Baseline")</f>
        <v>0</v>
      </c>
      <c r="K33" s="12">
        <f>J33</f>
        <v>0</v>
      </c>
      <c r="L33" s="2"/>
    </row>
    <row r="34" spans="9:12" ht="14.5" customHeight="1" x14ac:dyDescent="0.35"/>
    <row r="35" spans="9:12" ht="14.5" customHeight="1" x14ac:dyDescent="0.35"/>
    <row r="36" spans="9:12" ht="29" customHeight="1" x14ac:dyDescent="0.35">
      <c r="I36" s="3" t="s">
        <v>11</v>
      </c>
      <c r="J36" s="3" t="s">
        <v>469</v>
      </c>
      <c r="K36" s="3" t="s">
        <v>16</v>
      </c>
      <c r="L36" s="3" t="s">
        <v>94</v>
      </c>
    </row>
    <row r="37" spans="9:12" ht="14.5" customHeight="1" x14ac:dyDescent="0.35">
      <c r="I37" t="s">
        <v>512</v>
      </c>
      <c r="J37" s="12">
        <f>K18-J31-J30-J33</f>
        <v>0</v>
      </c>
      <c r="K37" s="12">
        <f>P18-K31-K30-K33</f>
        <v>0</v>
      </c>
      <c r="L37" s="2"/>
    </row>
    <row r="38" spans="9:12" ht="14.5" customHeight="1" x14ac:dyDescent="0.35">
      <c r="I38" t="s">
        <v>496</v>
      </c>
      <c r="J38" s="12">
        <f>K15+J29</f>
        <v>0</v>
      </c>
      <c r="K38" s="12">
        <f>P15+K29</f>
        <v>0</v>
      </c>
      <c r="L38" s="2"/>
    </row>
    <row r="39" spans="9:12" ht="14.5" customHeight="1" x14ac:dyDescent="0.35">
      <c r="I39" t="s">
        <v>497</v>
      </c>
      <c r="J39" s="12">
        <f>K8+K10+K11+J28</f>
        <v>0</v>
      </c>
      <c r="K39" s="12">
        <f>P8+P10+P11+K28</f>
        <v>0</v>
      </c>
      <c r="L39" s="2"/>
    </row>
    <row r="40" spans="9:12" ht="14.5" customHeight="1" x14ac:dyDescent="0.35">
      <c r="I40" t="s">
        <v>498</v>
      </c>
      <c r="J40" s="12">
        <f>J26+J27</f>
        <v>0</v>
      </c>
      <c r="K40" s="12">
        <f>K26+K27</f>
        <v>0</v>
      </c>
      <c r="L40" s="2"/>
    </row>
    <row r="41" spans="9:12" ht="14.5" customHeight="1" x14ac:dyDescent="0.35">
      <c r="I41" t="s">
        <v>499</v>
      </c>
      <c r="J41" s="12">
        <f>K15+K16</f>
        <v>0</v>
      </c>
      <c r="K41" s="12">
        <f>P15+P16</f>
        <v>0</v>
      </c>
      <c r="L41" s="2"/>
    </row>
    <row r="42" spans="9:12" ht="14.5" customHeight="1" x14ac:dyDescent="0.35">
      <c r="I42" t="s">
        <v>500</v>
      </c>
      <c r="J42" s="12">
        <f>MIN(0,J26+J27+J28)</f>
        <v>0</v>
      </c>
      <c r="K42" s="12">
        <f>MIN(0,K26+K27+K28)</f>
        <v>0</v>
      </c>
      <c r="L42" s="2"/>
    </row>
    <row r="43" spans="9:12" ht="14.5" customHeight="1" x14ac:dyDescent="0.35">
      <c r="I43" t="s">
        <v>513</v>
      </c>
      <c r="J43" s="12">
        <f>J26</f>
        <v>0</v>
      </c>
      <c r="K43" s="12">
        <f>K26</f>
        <v>0</v>
      </c>
      <c r="L43" s="2"/>
    </row>
    <row r="44" spans="9:12" ht="14.5" customHeight="1" x14ac:dyDescent="0.35">
      <c r="J44" s="55"/>
      <c r="K44" s="55">
        <f>J44</f>
        <v>0</v>
      </c>
      <c r="L44" s="2"/>
    </row>
    <row r="45" spans="9:12" ht="14.5" customHeight="1" x14ac:dyDescent="0.35">
      <c r="J45" s="69" t="b">
        <f>IF(Control_Panel!C21="Yes",TRUE,FALSE)</f>
        <v>0</v>
      </c>
      <c r="K45" s="4" t="b">
        <f>J45</f>
        <v>0</v>
      </c>
      <c r="L45" s="2"/>
    </row>
    <row r="46" spans="9:12" ht="14.5" customHeight="1" x14ac:dyDescent="0.35">
      <c r="J46" s="69">
        <f ca="1">Carryovers!F52</f>
        <v>0</v>
      </c>
      <c r="K46" s="55">
        <f ca="1">J46</f>
        <v>0</v>
      </c>
      <c r="L46" s="2"/>
    </row>
    <row r="47" spans="9:12" ht="14.5" customHeight="1" x14ac:dyDescent="0.35"/>
    <row r="48" spans="9:12" ht="14.5" customHeight="1" x14ac:dyDescent="0.35"/>
    <row r="49" spans="9:16" ht="14.5" customHeight="1" x14ac:dyDescent="0.35">
      <c r="I49" s="9" t="s">
        <v>21</v>
      </c>
      <c r="L49" s="8" t="str">
        <f>HYPERLINK("#Master_Inputs!A1","✏ open Master_Inputs")</f>
        <v>✏ open Master_Inputs</v>
      </c>
    </row>
    <row r="50" spans="9:16" ht="14.5" customHeight="1" x14ac:dyDescent="0.35"/>
    <row r="51" spans="9:16" ht="29" customHeight="1" x14ac:dyDescent="0.35">
      <c r="I51" s="3"/>
      <c r="J51" s="3"/>
      <c r="K51" s="3"/>
      <c r="L51" s="3"/>
      <c r="M51" s="3"/>
      <c r="N51" s="3"/>
      <c r="O51" s="3"/>
      <c r="P51" s="3"/>
    </row>
    <row r="52" spans="9:16" ht="14.5" customHeight="1" x14ac:dyDescent="0.35"/>
    <row r="53" spans="9:16" ht="14.5" customHeight="1" x14ac:dyDescent="0.35"/>
    <row r="54" spans="9:16" ht="14.5" customHeight="1" x14ac:dyDescent="0.35"/>
    <row r="55" spans="9:16" ht="14.5" customHeight="1" x14ac:dyDescent="0.35"/>
    <row r="56" spans="9:16" ht="14.5" customHeight="1" x14ac:dyDescent="0.35"/>
    <row r="57" spans="9:16" ht="14.5" customHeight="1" x14ac:dyDescent="0.35"/>
    <row r="58" spans="9:16" ht="14.5" customHeight="1" x14ac:dyDescent="0.35"/>
    <row r="59" spans="9:16" ht="14.5" customHeight="1" x14ac:dyDescent="0.35"/>
    <row r="60" spans="9:16" ht="14.5" customHeight="1" x14ac:dyDescent="0.35"/>
    <row r="61" spans="9:16" ht="14.5" customHeight="1" x14ac:dyDescent="0.35"/>
    <row r="62" spans="9:16" ht="14.5" customHeight="1" x14ac:dyDescent="0.35"/>
    <row r="63" spans="9:16" ht="14.5" customHeight="1" x14ac:dyDescent="0.35"/>
    <row r="64" spans="9:16" ht="14.5" customHeight="1" x14ac:dyDescent="0.35"/>
    <row r="65" spans="9:12" ht="16" customHeight="1" thickBot="1" x14ac:dyDescent="0.4">
      <c r="I65" s="80" t="s">
        <v>151</v>
      </c>
      <c r="J65" s="48" t="s">
        <v>96</v>
      </c>
      <c r="K65" s="48" t="s">
        <v>16</v>
      </c>
      <c r="L65" s="48" t="s">
        <v>152</v>
      </c>
    </row>
    <row r="66" spans="9:12" ht="14.5" customHeight="1" x14ac:dyDescent="0.35">
      <c r="I66" t="s">
        <v>153</v>
      </c>
    </row>
    <row r="67" spans="9:12" ht="14.5" customHeight="1" x14ac:dyDescent="0.35"/>
    <row r="68" spans="9:12" ht="14.5" customHeight="1" x14ac:dyDescent="0.35">
      <c r="I68" s="80" t="s">
        <v>154</v>
      </c>
      <c r="J68" s="35"/>
      <c r="K68" s="35"/>
      <c r="L68" s="35"/>
    </row>
    <row r="69" spans="9:12" ht="14.5" customHeight="1" x14ac:dyDescent="0.35">
      <c r="I69" t="s">
        <v>155</v>
      </c>
      <c r="J69" s="19"/>
      <c r="K69" s="19"/>
      <c r="L69" s="19"/>
    </row>
    <row r="70" spans="9:12" ht="14.5" customHeight="1" x14ac:dyDescent="0.35">
      <c r="I70" t="s">
        <v>156</v>
      </c>
      <c r="J70" s="12">
        <f>J43</f>
        <v>0</v>
      </c>
      <c r="K70" s="12">
        <f>K43</f>
        <v>0</v>
      </c>
      <c r="L70" s="12"/>
    </row>
    <row r="71" spans="9:12" ht="14.5" customHeight="1" x14ac:dyDescent="0.35">
      <c r="I71" t="s">
        <v>157</v>
      </c>
      <c r="J71" s="19">
        <f>J70*SUMIFS(tblThresholds[Value], tblThresholds[Year], 2027, tblThresholds[FilingStatus], Filing_Status, tblThresholds[Item], "SE_Earnings_Factor")</f>
        <v>0</v>
      </c>
      <c r="K71" s="19">
        <f>K70*SUMIFS(tblThresholds[Value], tblThresholds[Year], 2027, tblThresholds[FilingStatus], Filing_Status, tblThresholds[Item], "SE_Earnings_Factor")</f>
        <v>0</v>
      </c>
      <c r="L71" s="19"/>
    </row>
    <row r="72" spans="9:12" ht="14.5" customHeight="1" x14ac:dyDescent="0.35">
      <c r="I72" t="s">
        <v>158</v>
      </c>
      <c r="J72" s="12">
        <f>J25</f>
        <v>0</v>
      </c>
      <c r="K72" s="12">
        <f>K25</f>
        <v>0</v>
      </c>
      <c r="L72" s="12"/>
    </row>
    <row r="73" spans="9:12" ht="14.5" customHeight="1" x14ac:dyDescent="0.35">
      <c r="I73" t="s">
        <v>159</v>
      </c>
      <c r="J73" s="12">
        <f>MAX(0,SUMIFS(tblThresholds[Value], tblThresholds[Year], 2027, tblThresholds[FilingStatus], Filing_Status, tblThresholds[Item], "SS_Wage_Base")-J72)</f>
        <v>176100</v>
      </c>
      <c r="K73" s="12">
        <f>MAX(0,SUMIFS(tblThresholds[Value], tblThresholds[Year], 2027, tblThresholds[FilingStatus], Filing_Status, tblThresholds[Item], "SS_Wage_Base")-K72)</f>
        <v>176100</v>
      </c>
      <c r="L73" s="12"/>
    </row>
    <row r="74" spans="9:12" ht="14.5" customHeight="1" x14ac:dyDescent="0.35">
      <c r="J74" s="38">
        <f>MIN(J71,J73)</f>
        <v>0</v>
      </c>
      <c r="K74" s="38">
        <f>MIN(K71,K73)</f>
        <v>0</v>
      </c>
      <c r="L74" s="38"/>
    </row>
    <row r="75" spans="9:12" ht="14.5" customHeight="1" x14ac:dyDescent="0.35">
      <c r="I75" t="s">
        <v>160</v>
      </c>
      <c r="J75" s="12">
        <f>J74*SUMIFS(tblThresholds[Value], tblThresholds[Year], 2027, tblThresholds[FilingStatus], Filing_Status, tblThresholds[Item], "SS_Rate_Combined")</f>
        <v>0</v>
      </c>
      <c r="K75" s="12">
        <f>K74*SUMIFS(tblThresholds[Value], tblThresholds[Year], 2027, tblThresholds[FilingStatus], Filing_Status, tblThresholds[Item], "SS_Rate_Combined")</f>
        <v>0</v>
      </c>
      <c r="L75" s="12"/>
    </row>
    <row r="76" spans="9:12" ht="15.5" customHeight="1" x14ac:dyDescent="0.35">
      <c r="I76" t="s">
        <v>161</v>
      </c>
      <c r="J76" s="51">
        <f>J71*SUMIFS(tblThresholds[Value], tblThresholds[Year], 2027, tblThresholds[FilingStatus], Filing_Status, tblThresholds[Item], "Medicare_Rate_Combined")</f>
        <v>0</v>
      </c>
      <c r="K76" s="51">
        <f>K71*SUMIFS(tblThresholds[Value], tblThresholds[Year], 2027, tblThresholds[FilingStatus], Filing_Status, tblThresholds[Item], "Medicare_Rate_Combined")</f>
        <v>0</v>
      </c>
      <c r="L76" s="51"/>
    </row>
    <row r="77" spans="9:12" ht="14.5" customHeight="1" x14ac:dyDescent="0.35">
      <c r="I77" t="s">
        <v>162</v>
      </c>
      <c r="J77" s="12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>0</v>
      </c>
      <c r="K77" s="12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>0</v>
      </c>
      <c r="L77" s="12"/>
    </row>
    <row r="78" spans="9:12" ht="14.5" customHeight="1" x14ac:dyDescent="0.35">
      <c r="J78" s="12">
        <f>-(J75+J76)/2</f>
        <v>0</v>
      </c>
      <c r="K78" s="12">
        <f>-(K75+K76)/2</f>
        <v>0</v>
      </c>
      <c r="L78" s="12"/>
    </row>
    <row r="79" spans="9:12" ht="18.5" customHeight="1" x14ac:dyDescent="0.45">
      <c r="J79" s="52"/>
      <c r="K79" s="12"/>
      <c r="L79" s="12"/>
    </row>
    <row r="80" spans="9:12" ht="14.5" customHeight="1" x14ac:dyDescent="0.35">
      <c r="I80" s="13" t="s">
        <v>163</v>
      </c>
      <c r="J80" s="19">
        <f>J75+J76+J77</f>
        <v>0</v>
      </c>
      <c r="K80" s="19">
        <f>K75+K76+K77</f>
        <v>0</v>
      </c>
      <c r="L80" s="19">
        <f>J80-K80</f>
        <v>0</v>
      </c>
    </row>
    <row r="81" spans="9:12" ht="14.5" customHeight="1" x14ac:dyDescent="0.35">
      <c r="J81" s="12"/>
      <c r="K81" s="12"/>
      <c r="L81" s="12"/>
    </row>
    <row r="82" spans="9:12" ht="14.5" customHeight="1" x14ac:dyDescent="0.35">
      <c r="I82" s="80" t="s">
        <v>164</v>
      </c>
      <c r="J82" s="19"/>
      <c r="K82" s="19"/>
      <c r="L82" s="19"/>
    </row>
    <row r="83" spans="9:12" ht="14.5" customHeight="1" x14ac:dyDescent="0.35">
      <c r="I83" t="s">
        <v>158</v>
      </c>
      <c r="J83" s="12">
        <f>J25</f>
        <v>0</v>
      </c>
      <c r="K83" s="12">
        <f>K25</f>
        <v>0</v>
      </c>
      <c r="L83" s="12"/>
    </row>
    <row r="84" spans="9:12" ht="14.5" customHeight="1" x14ac:dyDescent="0.35">
      <c r="I84" t="s">
        <v>165</v>
      </c>
      <c r="J84" s="12">
        <f>MIN(J83,SUMIFS(tblThresholds[Value], tblThresholds[Year], 2027, tblThresholds[FilingStatus], Filing_Status, tblThresholds[Item], "SS_Wage_Base"))*0.062</f>
        <v>0</v>
      </c>
      <c r="K84" s="12">
        <f>MIN(K83,SUMIFS(tblThresholds[Value], tblThresholds[Year], 2027, tblThresholds[FilingStatus], Filing_Status, tblThresholds[Item], "SS_Wage_Base"))*0.062</f>
        <v>0</v>
      </c>
      <c r="L84" s="12"/>
    </row>
    <row r="85" spans="9:12" ht="14.5" customHeight="1" x14ac:dyDescent="0.35">
      <c r="I85" t="s">
        <v>166</v>
      </c>
      <c r="J85" s="12">
        <f>J83*0.0145</f>
        <v>0</v>
      </c>
      <c r="K85" s="12">
        <f>K83*0.0145</f>
        <v>0</v>
      </c>
      <c r="L85" s="12"/>
    </row>
    <row r="86" spans="9:12" ht="14.5" customHeight="1" x14ac:dyDescent="0.35">
      <c r="I86" t="s">
        <v>162</v>
      </c>
      <c r="J86" s="12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>0</v>
      </c>
      <c r="K86" s="12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>0</v>
      </c>
      <c r="L86" s="12"/>
    </row>
    <row r="87" spans="9:12" ht="14.5" customHeight="1" x14ac:dyDescent="0.35">
      <c r="I87" s="13" t="s">
        <v>167</v>
      </c>
      <c r="J87" s="19">
        <f>J84+J85+J86</f>
        <v>0</v>
      </c>
      <c r="K87" s="19">
        <f>K84+K85+K86</f>
        <v>0</v>
      </c>
      <c r="L87" s="19">
        <f>J87-K87</f>
        <v>0</v>
      </c>
    </row>
    <row r="88" spans="9:12" ht="14.5" customHeight="1" x14ac:dyDescent="0.35">
      <c r="I88" s="13" t="s">
        <v>168</v>
      </c>
      <c r="J88" s="19">
        <f>J84</f>
        <v>0</v>
      </c>
      <c r="K88" s="19">
        <f>K84</f>
        <v>0</v>
      </c>
      <c r="L88" s="19">
        <f>J88-K88</f>
        <v>0</v>
      </c>
    </row>
    <row r="89" spans="9:12" ht="14.5" customHeight="1" x14ac:dyDescent="0.35">
      <c r="I89" s="13" t="s">
        <v>169</v>
      </c>
      <c r="J89" s="19">
        <f>J85</f>
        <v>0</v>
      </c>
      <c r="K89" s="19">
        <f>K85</f>
        <v>0</v>
      </c>
      <c r="L89" s="19">
        <f>J89-K89</f>
        <v>0</v>
      </c>
    </row>
    <row r="90" spans="9:12" ht="14.5" customHeight="1" x14ac:dyDescent="0.35">
      <c r="I90" s="13"/>
      <c r="J90" s="19"/>
      <c r="K90" s="19"/>
      <c r="L90" s="19"/>
    </row>
    <row r="91" spans="9:12" ht="14.5" customHeight="1" x14ac:dyDescent="0.35">
      <c r="I91" s="13" t="s">
        <v>170</v>
      </c>
      <c r="J91" s="19">
        <f>J87+J88+J89</f>
        <v>0</v>
      </c>
      <c r="K91" s="19">
        <f>K87+K88+K89</f>
        <v>0</v>
      </c>
      <c r="L91" s="19">
        <f>J91-K91</f>
        <v>0</v>
      </c>
    </row>
    <row r="92" spans="9:12" ht="14.5" customHeight="1" x14ac:dyDescent="0.35">
      <c r="J92" s="12"/>
      <c r="K92" s="12"/>
      <c r="L92" s="12"/>
    </row>
    <row r="93" spans="9:12" ht="14.5" customHeight="1" x14ac:dyDescent="0.35">
      <c r="I93" s="80" t="s">
        <v>171</v>
      </c>
      <c r="J93" s="19"/>
      <c r="K93" s="19"/>
      <c r="L93" s="19"/>
    </row>
    <row r="94" spans="9:12" ht="14.5" customHeight="1" x14ac:dyDescent="0.35">
      <c r="I94" t="s">
        <v>103</v>
      </c>
      <c r="J94" s="12">
        <f>J37</f>
        <v>0</v>
      </c>
      <c r="K94" s="12">
        <f>K37</f>
        <v>0</v>
      </c>
      <c r="L94" s="12"/>
    </row>
    <row r="95" spans="9:12" ht="14.5" customHeight="1" x14ac:dyDescent="0.35">
      <c r="I95" t="s">
        <v>172</v>
      </c>
      <c r="J95" s="12">
        <f>MAX(0,J94)</f>
        <v>0</v>
      </c>
      <c r="K95" s="12">
        <f>MAX(0,K94)</f>
        <v>0</v>
      </c>
      <c r="L95" s="12"/>
    </row>
    <row r="96" spans="9:12" ht="14.5" customHeight="1" x14ac:dyDescent="0.35">
      <c r="I96" t="s">
        <v>173</v>
      </c>
      <c r="J96" s="12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>0</v>
      </c>
      <c r="K96" s="12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>0</v>
      </c>
      <c r="L96" s="12"/>
    </row>
    <row r="97" spans="9:12" ht="14.5" customHeight="1" x14ac:dyDescent="0.35">
      <c r="I97" s="13" t="s">
        <v>174</v>
      </c>
      <c r="J97" s="19">
        <f>J96</f>
        <v>0</v>
      </c>
      <c r="K97" s="19">
        <f>K96</f>
        <v>0</v>
      </c>
      <c r="L97" s="19">
        <f>J97-K97</f>
        <v>0</v>
      </c>
    </row>
    <row r="98" spans="9:12" ht="14.5" customHeight="1" x14ac:dyDescent="0.35">
      <c r="J98" s="12"/>
      <c r="K98" s="12"/>
      <c r="L98" s="12"/>
    </row>
    <row r="99" spans="9:12" ht="14.5" customHeight="1" x14ac:dyDescent="0.35">
      <c r="I99" s="80" t="s">
        <v>175</v>
      </c>
      <c r="J99" s="19"/>
      <c r="K99" s="19"/>
      <c r="L99" s="19"/>
    </row>
    <row r="100" spans="9:12" ht="14.5" customHeight="1" x14ac:dyDescent="0.35">
      <c r="I100" t="s">
        <v>176</v>
      </c>
      <c r="J100" s="12">
        <f>J31+J30</f>
        <v>0</v>
      </c>
      <c r="K100" s="12">
        <f>K31+K30</f>
        <v>0</v>
      </c>
      <c r="L100" s="12"/>
    </row>
    <row r="101" spans="9:12" ht="14.5" customHeight="1" x14ac:dyDescent="0.35">
      <c r="I101" t="s">
        <v>177</v>
      </c>
      <c r="J101" s="12">
        <f>J33</f>
        <v>0</v>
      </c>
      <c r="K101" s="12">
        <f>K33</f>
        <v>0</v>
      </c>
      <c r="L101" s="12"/>
    </row>
    <row r="102" spans="9:12" ht="14.5" customHeight="1" x14ac:dyDescent="0.35">
      <c r="I102" t="s">
        <v>178</v>
      </c>
      <c r="J102" s="12">
        <f>J95</f>
        <v>0</v>
      </c>
      <c r="K102" s="12">
        <f>K95</f>
        <v>0</v>
      </c>
      <c r="L102" s="12"/>
    </row>
    <row r="103" spans="9:12" ht="14.5" customHeight="1" x14ac:dyDescent="0.35">
      <c r="I103" t="s">
        <v>179</v>
      </c>
      <c r="J103" s="12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>0</v>
      </c>
      <c r="K103" s="12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>0</v>
      </c>
      <c r="L103" s="12"/>
    </row>
    <row r="104" spans="9:12" ht="14.5" customHeight="1" x14ac:dyDescent="0.35">
      <c r="I104" t="s">
        <v>180</v>
      </c>
      <c r="J104" s="12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>0</v>
      </c>
      <c r="K104" s="12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>0</v>
      </c>
      <c r="L104" s="12"/>
    </row>
    <row r="105" spans="9:12" ht="14.5" customHeight="1" x14ac:dyDescent="0.35">
      <c r="I105" t="s">
        <v>181</v>
      </c>
      <c r="J105" s="12">
        <f>J103-J104</f>
        <v>0</v>
      </c>
      <c r="K105" s="12">
        <f>K103-K104</f>
        <v>0</v>
      </c>
      <c r="L105" s="12"/>
    </row>
    <row r="106" spans="9:12" ht="14.5" customHeight="1" x14ac:dyDescent="0.35">
      <c r="J106" s="12">
        <f>J33*0.25</f>
        <v>0</v>
      </c>
      <c r="K106" s="12">
        <f>K33*0.25</f>
        <v>0</v>
      </c>
      <c r="L106" s="12"/>
    </row>
    <row r="107" spans="9:12" ht="14.5" customHeight="1" x14ac:dyDescent="0.35">
      <c r="I107" s="13" t="s">
        <v>182</v>
      </c>
      <c r="J107" s="19">
        <f>J105+J106</f>
        <v>0</v>
      </c>
      <c r="K107" s="19">
        <f>K105+K106</f>
        <v>0</v>
      </c>
      <c r="L107" s="19">
        <f>J107-K107</f>
        <v>0</v>
      </c>
    </row>
    <row r="108" spans="9:12" ht="14.5" customHeight="1" x14ac:dyDescent="0.35">
      <c r="J108" s="12"/>
      <c r="K108" s="12"/>
      <c r="L108" s="12"/>
    </row>
    <row r="109" spans="9:12" ht="14.5" customHeight="1" x14ac:dyDescent="0.35">
      <c r="I109" s="80" t="s">
        <v>183</v>
      </c>
      <c r="J109" s="19"/>
      <c r="K109" s="19"/>
      <c r="L109" s="19"/>
    </row>
    <row r="110" spans="9:12" ht="14.5" customHeight="1" x14ac:dyDescent="0.35">
      <c r="I110" t="s">
        <v>184</v>
      </c>
      <c r="J110" s="12">
        <f>J38</f>
        <v>0</v>
      </c>
      <c r="K110" s="12">
        <f>K38</f>
        <v>0</v>
      </c>
      <c r="L110" s="12"/>
    </row>
    <row r="111" spans="9:12" ht="14.5" customHeight="1" x14ac:dyDescent="0.35">
      <c r="I111" t="s">
        <v>185</v>
      </c>
      <c r="J111" s="12">
        <f>SUMIFS(tblThresholds[Value], tblThresholds[Year], 2027, tblThresholds[FilingStatus], Filing_Status, tblThresholds[Item], "NIIT_Threshold")</f>
        <v>250000</v>
      </c>
      <c r="K111" s="12">
        <f>SUMIFS(tblThresholds[Value], tblThresholds[Year], 2027, tblThresholds[FilingStatus], Filing_Status, tblThresholds[Item], "NIIT_Threshold")</f>
        <v>250000</v>
      </c>
      <c r="L111" s="12"/>
    </row>
    <row r="112" spans="9:12" ht="14.5" customHeight="1" x14ac:dyDescent="0.35">
      <c r="I112" t="s">
        <v>186</v>
      </c>
      <c r="J112" s="12">
        <f>MAX(0,J39)</f>
        <v>0</v>
      </c>
      <c r="K112" s="12">
        <f>MAX(0,K39)</f>
        <v>0</v>
      </c>
      <c r="L112" s="12"/>
    </row>
    <row r="113" spans="9:12" ht="14.5" customHeight="1" x14ac:dyDescent="0.35">
      <c r="I113" t="s">
        <v>187</v>
      </c>
      <c r="J113" s="12">
        <f>MAX(0,J110-J111)</f>
        <v>0</v>
      </c>
      <c r="K113" s="12">
        <f>MAX(0,K110-K111)</f>
        <v>0</v>
      </c>
      <c r="L113" s="12"/>
    </row>
    <row r="114" spans="9:12" ht="14.5" customHeight="1" x14ac:dyDescent="0.35">
      <c r="I114" s="13" t="s">
        <v>188</v>
      </c>
      <c r="J114" s="19">
        <f>MIN(J112,J113)*SUMIFS(tblThresholds[Value], tblThresholds[Year], 2027, tblThresholds[FilingStatus], Filing_Status, tblThresholds[Item], "NIIT_Rate")</f>
        <v>0</v>
      </c>
      <c r="K114" s="19">
        <f>MIN(K112,K113)*SUMIFS(tblThresholds[Value], tblThresholds[Year], 2027, tblThresholds[FilingStatus], Filing_Status, tblThresholds[Item], "NIIT_Rate")</f>
        <v>0</v>
      </c>
      <c r="L114" s="19">
        <f>J114-K114</f>
        <v>0</v>
      </c>
    </row>
    <row r="115" spans="9:12" ht="14.5" customHeight="1" x14ac:dyDescent="0.35">
      <c r="J115" s="12"/>
      <c r="K115" s="12"/>
      <c r="L115" s="12"/>
    </row>
    <row r="116" spans="9:12" ht="14.5" customHeight="1" x14ac:dyDescent="0.35">
      <c r="I116" s="80" t="s">
        <v>189</v>
      </c>
      <c r="J116" s="19"/>
      <c r="K116" s="19"/>
      <c r="L116" s="19"/>
    </row>
    <row r="117" spans="9:12" ht="14.5" customHeight="1" x14ac:dyDescent="0.35">
      <c r="I117" t="s">
        <v>190</v>
      </c>
      <c r="J117" s="12">
        <f>J40</f>
        <v>0</v>
      </c>
      <c r="K117" s="12">
        <f>K40</f>
        <v>0</v>
      </c>
      <c r="L117" s="12"/>
    </row>
    <row r="118" spans="9:12" ht="14.5" customHeight="1" x14ac:dyDescent="0.35">
      <c r="I118" t="s">
        <v>191</v>
      </c>
      <c r="J118" s="12">
        <f>MAX(0,J117)*0.2</f>
        <v>0</v>
      </c>
      <c r="K118" s="12">
        <f>MAX(0,K117)*0.2</f>
        <v>0</v>
      </c>
      <c r="L118" s="12"/>
    </row>
    <row r="119" spans="9:12" ht="14.5" customHeight="1" x14ac:dyDescent="0.35">
      <c r="I119" t="s">
        <v>192</v>
      </c>
      <c r="J119" s="12">
        <f>MAX(0,J41)*0.2</f>
        <v>0</v>
      </c>
      <c r="K119" s="12">
        <f>MAX(0,K41)*0.2</f>
        <v>0</v>
      </c>
      <c r="L119" s="12"/>
    </row>
    <row r="120" spans="9:12" ht="14.5" customHeight="1" x14ac:dyDescent="0.35">
      <c r="I120" t="s">
        <v>193</v>
      </c>
      <c r="J120" s="12">
        <f>MAX(J23*0.5, J23*0.25+J44*0.025)</f>
        <v>0</v>
      </c>
      <c r="K120" s="12">
        <f>MAX(K23*0.5, K23*0.25+K44*0.025)</f>
        <v>0</v>
      </c>
      <c r="L120" s="12"/>
    </row>
    <row r="121" spans="9:12" ht="14.5" customHeight="1" x14ac:dyDescent="0.35">
      <c r="I121" t="s">
        <v>194</v>
      </c>
      <c r="J121" s="12" t="str">
        <f>IF(J41&gt;SUMIFS(tblThresholds[Value], tblThresholds[Year], 2027, tblThresholds[FilingStatus], Filing_Status, tblThresholds[Item], "QBI_Threshold_Start"),"YES","NO")</f>
        <v>NO</v>
      </c>
      <c r="K121" s="12" t="str">
        <f>IF(K41&gt;SUMIFS(tblThresholds[Value], tblThresholds[Year], 2027, tblThresholds[FilingStatus], Filing_Status, tblThresholds[Item], "QBI_Threshold_Start"),"YES","NO")</f>
        <v>NO</v>
      </c>
      <c r="L121" s="12"/>
    </row>
    <row r="122" spans="9:12" ht="14.5" customHeight="1" x14ac:dyDescent="0.35">
      <c r="I122" s="13" t="s">
        <v>195</v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>0</v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>0</v>
      </c>
      <c r="L122" s="19">
        <f>K122-J122</f>
        <v>0</v>
      </c>
    </row>
    <row r="123" spans="9:12" ht="14.5" customHeight="1" x14ac:dyDescent="0.35">
      <c r="J123" s="12"/>
      <c r="K123" s="12"/>
      <c r="L123" s="12"/>
    </row>
    <row r="124" spans="9:12" ht="14.5" customHeight="1" x14ac:dyDescent="0.35">
      <c r="I124" s="80" t="s">
        <v>196</v>
      </c>
      <c r="J124" s="19"/>
      <c r="K124" s="19"/>
      <c r="L124" s="19"/>
    </row>
    <row r="125" spans="9:12" ht="14.5" customHeight="1" x14ac:dyDescent="0.35">
      <c r="I125" t="s">
        <v>100</v>
      </c>
      <c r="J125" s="12">
        <f>K6+K8+K10+K11+K12</f>
        <v>0</v>
      </c>
      <c r="K125" s="12">
        <f>P13</f>
        <v>0</v>
      </c>
      <c r="L125" s="12" t="s">
        <v>152</v>
      </c>
    </row>
    <row r="126" spans="9:12" ht="14.5" customHeight="1" x14ac:dyDescent="0.35">
      <c r="I126" t="s">
        <v>197</v>
      </c>
      <c r="J126" s="12">
        <f>J97</f>
        <v>0</v>
      </c>
      <c r="K126" s="12">
        <f>K97</f>
        <v>0</v>
      </c>
      <c r="L126" s="12">
        <f t="shared" ref="L126:L131" si="1">J126-K126</f>
        <v>0</v>
      </c>
    </row>
    <row r="127" spans="9:12" ht="14.5" customHeight="1" x14ac:dyDescent="0.35">
      <c r="I127" t="s">
        <v>198</v>
      </c>
      <c r="J127" s="12">
        <f>J107</f>
        <v>0</v>
      </c>
      <c r="K127" s="12">
        <f>K107</f>
        <v>0</v>
      </c>
      <c r="L127" s="12">
        <f t="shared" si="1"/>
        <v>0</v>
      </c>
    </row>
    <row r="128" spans="9:12" ht="14.5" customHeight="1" x14ac:dyDescent="0.35">
      <c r="I128" t="s">
        <v>199</v>
      </c>
      <c r="J128" s="12">
        <f>J80</f>
        <v>0</v>
      </c>
      <c r="K128" s="12">
        <f>K80</f>
        <v>0</v>
      </c>
      <c r="L128" s="12">
        <f t="shared" si="1"/>
        <v>0</v>
      </c>
    </row>
    <row r="129" spans="9:12" ht="14.5" customHeight="1" x14ac:dyDescent="0.35">
      <c r="I129" t="s">
        <v>200</v>
      </c>
      <c r="J129" s="12">
        <f>J91</f>
        <v>0</v>
      </c>
      <c r="K129" s="12">
        <f>K91</f>
        <v>0</v>
      </c>
      <c r="L129" s="12">
        <f t="shared" si="1"/>
        <v>0</v>
      </c>
    </row>
    <row r="130" spans="9:12" ht="14.5" customHeight="1" x14ac:dyDescent="0.35">
      <c r="I130" t="s">
        <v>201</v>
      </c>
      <c r="J130" s="12">
        <f>J114</f>
        <v>0</v>
      </c>
      <c r="K130" s="12">
        <f>K114</f>
        <v>0</v>
      </c>
      <c r="L130" s="12">
        <f t="shared" si="1"/>
        <v>0</v>
      </c>
    </row>
    <row r="131" spans="9:12" ht="14.5" customHeight="1" x14ac:dyDescent="0.35">
      <c r="I131" t="s">
        <v>202</v>
      </c>
      <c r="J131" s="12">
        <f>-J122*0.24</f>
        <v>0</v>
      </c>
      <c r="K131" s="12">
        <f>-K122*0.24</f>
        <v>0</v>
      </c>
      <c r="L131" s="12">
        <f t="shared" si="1"/>
        <v>0</v>
      </c>
    </row>
    <row r="132" spans="9:12" ht="14.5" customHeight="1" x14ac:dyDescent="0.35">
      <c r="J132" s="12"/>
      <c r="K132" s="12"/>
      <c r="L132" s="12"/>
    </row>
    <row r="133" spans="9:12" ht="14.5" customHeight="1" x14ac:dyDescent="0.35">
      <c r="I133" s="13" t="s">
        <v>203</v>
      </c>
      <c r="J133" s="19">
        <f>SUM(J126:J131)</f>
        <v>0</v>
      </c>
      <c r="K133" s="19">
        <f>SUM(K126:K131)</f>
        <v>0</v>
      </c>
      <c r="L133" s="19">
        <f>J133-K133</f>
        <v>0</v>
      </c>
    </row>
    <row r="134" spans="9:12" ht="14.5" customHeight="1" x14ac:dyDescent="0.35">
      <c r="I134" t="s">
        <v>204</v>
      </c>
      <c r="J134" s="56">
        <f>IFERROR(J133/J125,0)</f>
        <v>0</v>
      </c>
      <c r="K134" s="56">
        <f>IFERROR(K133/K125,0)</f>
        <v>0</v>
      </c>
      <c r="L134" s="56">
        <f>J134-K134</f>
        <v>0</v>
      </c>
    </row>
    <row r="135" spans="9:12" ht="14.5" customHeight="1" x14ac:dyDescent="0.35">
      <c r="J135" s="12"/>
      <c r="K135" s="12"/>
      <c r="L135" s="12"/>
    </row>
    <row r="136" spans="9:12" ht="14.5" customHeight="1" x14ac:dyDescent="0.35">
      <c r="I136" s="13" t="s">
        <v>205</v>
      </c>
      <c r="J136" s="19">
        <f>L133</f>
        <v>0</v>
      </c>
      <c r="K136" s="19"/>
      <c r="L136" s="19"/>
    </row>
  </sheetData>
  <conditionalFormatting sqref="A6:H20">
    <cfRule type="expression" dxfId="1" priority="1">
      <formula>$H6=""</formula>
    </cfRule>
  </conditionalFormatting>
  <dataValidations count="1">
    <dataValidation type="list" allowBlank="1" showInputMessage="1" showErrorMessage="1" promptTitle="Prior Year?" prompt="Select Y for prior year baseline, or leave blank" sqref="L6:L18" xr:uid="{00000000-0002-0000-0A00-000000000000}">
      <formula1>"Y"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Q136"/>
  <sheetViews>
    <sheetView workbookViewId="0">
      <selection activeCell="L53" sqref="L53"/>
    </sheetView>
  </sheetViews>
  <sheetFormatPr defaultRowHeight="14.5" x14ac:dyDescent="0.35"/>
  <cols>
    <col min="1" max="1" width="12" customWidth="1"/>
    <col min="2" max="2" width="36" customWidth="1"/>
    <col min="3" max="3" width="12" customWidth="1"/>
    <col min="4" max="5" width="14" customWidth="1"/>
    <col min="6" max="6" width="32" customWidth="1"/>
    <col min="7" max="8" width="3" customWidth="1"/>
    <col min="9" max="9" width="36" customWidth="1"/>
    <col min="10" max="10" width="16" customWidth="1"/>
    <col min="11" max="11" width="6.36328125" customWidth="1"/>
    <col min="12" max="12" width="16" customWidth="1"/>
    <col min="13" max="13" width="14" customWidth="1"/>
    <col min="14" max="14" width="16" customWidth="1"/>
    <col min="15" max="16" width="9" customWidth="1"/>
  </cols>
  <sheetData>
    <row r="1" spans="1:17" ht="18.5" customHeight="1" x14ac:dyDescent="0.35">
      <c r="A1" s="17" t="s">
        <v>515</v>
      </c>
    </row>
    <row r="2" spans="1:17" ht="14.5" customHeight="1" x14ac:dyDescent="0.35">
      <c r="A2" s="89" t="s">
        <v>1</v>
      </c>
    </row>
    <row r="3" spans="1:17" ht="14.5" customHeight="1" x14ac:dyDescent="0.35"/>
    <row r="4" spans="1:17" ht="14.5" customHeight="1" x14ac:dyDescent="0.35">
      <c r="A4" s="80" t="s">
        <v>2</v>
      </c>
    </row>
    <row r="5" spans="1:17" ht="14.5" customHeight="1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1789</v>
      </c>
      <c r="I5" s="3" t="s">
        <v>10</v>
      </c>
      <c r="J5" s="3" t="s">
        <v>11</v>
      </c>
      <c r="K5" s="3" t="s">
        <v>12</v>
      </c>
      <c r="L5" s="53" t="s">
        <v>13</v>
      </c>
      <c r="M5" s="3" t="s">
        <v>14</v>
      </c>
      <c r="N5" s="3" t="s">
        <v>15</v>
      </c>
      <c r="O5" s="3" t="s">
        <v>16</v>
      </c>
      <c r="P5" s="98" t="s">
        <v>17</v>
      </c>
      <c r="Q5" s="3" t="s">
        <v>18</v>
      </c>
    </row>
    <row r="6" spans="1:17" ht="14.5" customHeight="1" x14ac:dyDescent="0.35">
      <c r="A6" s="65" t="s">
        <v>19</v>
      </c>
      <c r="B6" s="65" t="s">
        <v>20</v>
      </c>
      <c r="C6" s="65" t="s">
        <v>21</v>
      </c>
      <c r="D6" s="93"/>
      <c r="E6" s="65"/>
      <c r="F6" s="65"/>
      <c r="G6" s="65">
        <v>8</v>
      </c>
      <c r="H6" s="65" t="s">
        <v>929</v>
      </c>
      <c r="I6" t="s">
        <v>21</v>
      </c>
      <c r="J6" t="s">
        <v>24</v>
      </c>
      <c r="K6" s="12">
        <f>SUMIFS(tblMaster_Inputs[Baseline_Amount],tblMaster_Inputs[Year],2028,tblMaster_Inputs[Primary_Line],$I6, tblMaster_Inputs[Activity_Type], "Baseline")</f>
        <v>0</v>
      </c>
      <c r="L6" s="54"/>
      <c r="M6" s="4"/>
      <c r="N6" s="12">
        <f>SUMIFS(tblY2028_Strategies[Amount],tblY2028_Strategies[TargetLine],$I6)-SUMIFS(tblY2028_Strategies[Amount],tblY2028_Strategies[CounterLine],$I6)</f>
        <v>0</v>
      </c>
      <c r="O6" s="12">
        <f>IF(UPPER(L6)="Y",SUMIFS(tblMaster_Inputs[Baseline_Amount],tblMaster_Inputs[Year],2027,tblMaster_Inputs[Primary_Line],"1z"),IF(ISBLANK(M6),K6,M6))</f>
        <v>0</v>
      </c>
      <c r="P6" s="12">
        <f>O6+N6</f>
        <v>0</v>
      </c>
      <c r="Q6" s="8" t="str">
        <f t="shared" ref="Q6:Q18" si="0">HYPERLINK("#Y2028!I49","↗ drill")</f>
        <v>↗ drill</v>
      </c>
    </row>
    <row r="7" spans="1:17" ht="14.5" customHeight="1" x14ac:dyDescent="0.35">
      <c r="A7" s="65" t="s">
        <v>25</v>
      </c>
      <c r="B7" s="65" t="s">
        <v>26</v>
      </c>
      <c r="C7" s="65">
        <v>10</v>
      </c>
      <c r="D7" s="93"/>
      <c r="E7" s="65"/>
      <c r="F7" s="65"/>
      <c r="G7" s="65"/>
      <c r="H7" s="65" t="s">
        <v>899</v>
      </c>
      <c r="I7" t="s">
        <v>28</v>
      </c>
      <c r="J7" t="s">
        <v>461</v>
      </c>
      <c r="K7" s="12">
        <f>SUMIFS(tblMaster_Inputs[Helper_Amount],tblMaster_Inputs[Year],2028,tblMaster_Inputs[Helper_Treatment],"TAX_EXEMPT")</f>
        <v>0</v>
      </c>
      <c r="L7" s="54"/>
      <c r="M7" s="4"/>
      <c r="N7">
        <f>SUMIFS(tblY2028_Strategies[Amount],tblY2028_Strategies[TargetLine],"2a",tblY2028_Strategies[Status],"Committed")</f>
        <v>0</v>
      </c>
      <c r="O7" s="12">
        <f>IF(UPPER(L7)="Y",SUMIFS(tblMaster_Inputs[Helper_Amount],tblMaster_Inputs[Year],2027,tblMaster_Inputs[Helper_Treatment],"TAX_EXEMPT"),IF(ISBLANK(M7),K7,M7))</f>
        <v>0</v>
      </c>
      <c r="P7" s="12">
        <f>O7</f>
        <v>0</v>
      </c>
      <c r="Q7" s="8" t="str">
        <f t="shared" si="0"/>
        <v>↗ drill</v>
      </c>
    </row>
    <row r="8" spans="1:17" ht="14.5" customHeight="1" x14ac:dyDescent="0.35">
      <c r="A8" s="65" t="s">
        <v>30</v>
      </c>
      <c r="B8" s="65" t="s">
        <v>31</v>
      </c>
      <c r="C8" s="65">
        <v>12</v>
      </c>
      <c r="D8" s="93"/>
      <c r="E8" s="65"/>
      <c r="F8" s="65"/>
      <c r="G8" s="65"/>
      <c r="H8" s="65" t="s">
        <v>960</v>
      </c>
      <c r="I8" t="s">
        <v>34</v>
      </c>
      <c r="J8" t="s">
        <v>35</v>
      </c>
      <c r="K8" s="12">
        <f>SUMIFS(tblMaster_Inputs[Baseline_Amount],tblMaster_Inputs[Year],2028,tblMaster_Inputs[Primary_Line],$I8, tblMaster_Inputs[Activity_Type], "Baseline")</f>
        <v>0</v>
      </c>
      <c r="L8" s="54"/>
      <c r="M8" s="4"/>
      <c r="N8" s="12">
        <f>SUMIFS(tblY2028_Strategies[Amount],tblY2028_Strategies[TargetLine],$I8)-SUMIFS(tblY2028_Strategies[Amount],tblY2028_Strategies[CounterLine],$I8)</f>
        <v>0</v>
      </c>
      <c r="O8" s="12">
        <f>IF(UPPER(L8)="Y",SUMIFS(tblMaster_Inputs[Baseline_Amount],tblMaster_Inputs[Year],2027,tblMaster_Inputs[Primary_Line],"2b"),IF(ISBLANK(M8),K8,M8))</f>
        <v>0</v>
      </c>
      <c r="P8" s="12">
        <f>O8+N8</f>
        <v>0</v>
      </c>
      <c r="Q8" s="8" t="str">
        <f t="shared" si="0"/>
        <v>↗ drill</v>
      </c>
    </row>
    <row r="9" spans="1:17" ht="14.5" customHeight="1" x14ac:dyDescent="0.35">
      <c r="A9" s="65" t="s">
        <v>36</v>
      </c>
      <c r="B9" s="65" t="s">
        <v>37</v>
      </c>
      <c r="C9" s="65">
        <v>10</v>
      </c>
      <c r="D9" s="93"/>
      <c r="E9" s="65"/>
      <c r="F9" s="65"/>
      <c r="G9" s="65"/>
      <c r="H9" s="65" t="s">
        <v>899</v>
      </c>
      <c r="I9" t="s">
        <v>40</v>
      </c>
      <c r="J9" t="s">
        <v>491</v>
      </c>
      <c r="K9" s="12">
        <f>SUMIFS(tblMaster_Inputs[Helper_Amount],tblMaster_Inputs[Year],2028,tblMaster_Inputs[Helper_Treatment],"QUAL_DIV")</f>
        <v>0</v>
      </c>
      <c r="L9" s="54"/>
      <c r="M9" s="4"/>
      <c r="N9">
        <f>SUMIFS(tblY2028_Strategies[Amount],tblY2028_Strategies[TargetLine],"3a",tblY2028_Strategies[Status],"Committed")</f>
        <v>0</v>
      </c>
      <c r="O9" s="12">
        <f>IF(UPPER(L9)="Y",SUMIFS(tblMaster_Inputs[Helper_Amount],tblMaster_Inputs[Year],2027,tblMaster_Inputs[Helper_Treatment],"QUAL_DIV"),IF(ISBLANK(M9),K9,M9))</f>
        <v>0</v>
      </c>
      <c r="P9" s="12">
        <f>O9</f>
        <v>0</v>
      </c>
      <c r="Q9" s="8" t="str">
        <f t="shared" si="0"/>
        <v>↗ drill</v>
      </c>
    </row>
    <row r="10" spans="1:17" ht="14.5" customHeight="1" x14ac:dyDescent="0.35">
      <c r="A10" s="65" t="s">
        <v>42</v>
      </c>
      <c r="B10" s="65" t="s">
        <v>43</v>
      </c>
      <c r="C10" s="65">
        <v>8</v>
      </c>
      <c r="D10" s="93"/>
      <c r="E10" s="65"/>
      <c r="F10" s="65"/>
      <c r="G10" s="65"/>
      <c r="H10" s="65" t="s">
        <v>945</v>
      </c>
      <c r="I10" t="s">
        <v>45</v>
      </c>
      <c r="J10" t="s">
        <v>412</v>
      </c>
      <c r="K10" s="12">
        <f>SUMIFS(tblMaster_Inputs[Baseline_Amount],tblMaster_Inputs[Year],2028,tblMaster_Inputs[Primary_Line],$I10, tblMaster_Inputs[Activity_Type], "Baseline")</f>
        <v>0</v>
      </c>
      <c r="L10" s="54"/>
      <c r="M10" s="4"/>
      <c r="N10" s="12">
        <f>SUMIFS(tblY2028_Strategies[Amount],tblY2028_Strategies[TargetLine],$I10)-SUMIFS(tblY2028_Strategies[Amount],tblY2028_Strategies[CounterLine],$I10)</f>
        <v>0</v>
      </c>
      <c r="O10" s="12">
        <f>IF(UPPER(L10)="Y",SUMIFS(tblMaster_Inputs[Baseline_Amount],tblMaster_Inputs[Year],2027,tblMaster_Inputs[Primary_Line],"3b"),IF(ISBLANK(M10),K10,M10))</f>
        <v>0</v>
      </c>
      <c r="P10" s="12">
        <f>O10+N10</f>
        <v>0</v>
      </c>
      <c r="Q10" s="8" t="str">
        <f t="shared" si="0"/>
        <v>↗ drill</v>
      </c>
    </row>
    <row r="11" spans="1:17" ht="14.5" customHeight="1" x14ac:dyDescent="0.35">
      <c r="A11" s="65" t="s">
        <v>47</v>
      </c>
      <c r="B11" s="65" t="s">
        <v>48</v>
      </c>
      <c r="C11" s="65" t="s">
        <v>21</v>
      </c>
      <c r="D11" s="93"/>
      <c r="E11" s="65"/>
      <c r="F11" s="65"/>
      <c r="G11" s="65"/>
      <c r="H11" s="65" t="s">
        <v>1790</v>
      </c>
      <c r="I11">
        <v>7</v>
      </c>
      <c r="J11" t="s">
        <v>502</v>
      </c>
      <c r="K11" s="12">
        <f>SUMIFS(tblMaster_Inputs[Baseline_Amount],tblMaster_Inputs[Year],2028,tblMaster_Inputs[Primary_Line],$I11, tblMaster_Inputs[Activity_Type], "Baseline")</f>
        <v>0</v>
      </c>
      <c r="L11" s="54"/>
      <c r="M11" s="4"/>
      <c r="N11" s="12">
        <f>SUMIFS(tblY2028_Strategies[Amount],tblY2028_Strategies[TargetLine],$I11)-SUMIFS(tblY2028_Strategies[Amount],tblY2028_Strategies[CounterLine],$I11)</f>
        <v>0</v>
      </c>
      <c r="O11" s="12">
        <f>IF(UPPER(L11)="Y",SUMIFS(tblMaster_Inputs[Baseline_Amount],tblMaster_Inputs[Year],2027,tblMaster_Inputs[Primary_Line],"7"),IF(ISBLANK(M11),K11,M11))</f>
        <v>0</v>
      </c>
      <c r="P11" s="12">
        <f>O11+N11</f>
        <v>0</v>
      </c>
      <c r="Q11" s="8" t="str">
        <f t="shared" si="0"/>
        <v>↗ drill</v>
      </c>
    </row>
    <row r="12" spans="1:17" ht="14.5" customHeight="1" x14ac:dyDescent="0.35">
      <c r="A12" s="65" t="s">
        <v>52</v>
      </c>
      <c r="B12" s="65" t="s">
        <v>53</v>
      </c>
      <c r="C12" s="65">
        <v>8</v>
      </c>
      <c r="D12" s="93"/>
      <c r="E12" s="65"/>
      <c r="F12" s="65"/>
      <c r="G12" s="65"/>
      <c r="H12" s="65" t="s">
        <v>905</v>
      </c>
      <c r="I12">
        <v>8</v>
      </c>
      <c r="J12" t="s">
        <v>503</v>
      </c>
      <c r="K12" s="12">
        <f>SUMIFS(tblMaster_Inputs[Baseline_Amount],tblMaster_Inputs[Year],2028,tblMaster_Inputs[Primary_Line],$I12, tblMaster_Inputs[Activity_Type], "Baseline")</f>
        <v>0</v>
      </c>
      <c r="L12" s="54"/>
      <c r="M12" s="4"/>
      <c r="N12" s="12">
        <f>SUMIFS(tblY2028_Strategies[Amount],tblY2028_Strategies[TargetLine],$I12)-SUMIFS(tblY2028_Strategies[Amount],tblY2028_Strategies[CounterLine],$I12)</f>
        <v>0</v>
      </c>
      <c r="O12" s="12">
        <f>IF(UPPER(L12)="Y",SUMIFS(tblMaster_Inputs[Baseline_Amount],tblMaster_Inputs[Year],2027,tblMaster_Inputs[Primary_Line],"8"),IF(ISBLANK(M12),K12,M12))</f>
        <v>0</v>
      </c>
      <c r="P12" s="12">
        <f>O12+N12</f>
        <v>0</v>
      </c>
      <c r="Q12" s="8" t="str">
        <f t="shared" si="0"/>
        <v>↗ drill</v>
      </c>
    </row>
    <row r="13" spans="1:17" ht="14.5" customHeight="1" x14ac:dyDescent="0.35">
      <c r="A13" s="65" t="s">
        <v>57</v>
      </c>
      <c r="B13" s="65" t="s">
        <v>58</v>
      </c>
      <c r="C13" s="65">
        <v>8</v>
      </c>
      <c r="D13" s="93"/>
      <c r="E13" s="65"/>
      <c r="F13" s="65"/>
      <c r="G13" s="65"/>
      <c r="H13" s="65" t="s">
        <v>909</v>
      </c>
      <c r="I13">
        <v>9</v>
      </c>
      <c r="J13" t="s">
        <v>61</v>
      </c>
      <c r="K13" s="12">
        <f>K6+K8+K10+K11+K12</f>
        <v>0</v>
      </c>
      <c r="L13" s="54"/>
      <c r="M13" s="4"/>
      <c r="N13" s="12">
        <f>N6+N8+N10+N11+N12</f>
        <v>0</v>
      </c>
      <c r="O13" s="12">
        <f>O6+O8+O10+O11+O12</f>
        <v>0</v>
      </c>
      <c r="P13" s="12">
        <f>P6+P8+P10+P11+P12</f>
        <v>0</v>
      </c>
      <c r="Q13" s="8" t="str">
        <f t="shared" si="0"/>
        <v>↗ drill</v>
      </c>
    </row>
    <row r="14" spans="1:17" ht="14.5" customHeight="1" x14ac:dyDescent="0.35">
      <c r="A14" s="65" t="s">
        <v>62</v>
      </c>
      <c r="B14" s="65" t="s">
        <v>63</v>
      </c>
      <c r="C14" s="65">
        <v>8</v>
      </c>
      <c r="D14" s="93"/>
      <c r="E14" s="65"/>
      <c r="F14" s="65" t="s">
        <v>1792</v>
      </c>
      <c r="G14" s="65" t="s">
        <v>21</v>
      </c>
      <c r="H14" s="65" t="s">
        <v>914</v>
      </c>
      <c r="I14">
        <v>10</v>
      </c>
      <c r="J14" t="s">
        <v>504</v>
      </c>
      <c r="K14" s="12">
        <f>SUMIFS(tblMaster_Inputs[Baseline_Amount],tblMaster_Inputs[Year],2028,tblMaster_Inputs[Primary_Line],$I14, tblMaster_Inputs[Activity_Type], "Baseline")</f>
        <v>0</v>
      </c>
      <c r="L14" s="54"/>
      <c r="M14" s="4"/>
      <c r="N14" s="12">
        <f>SUMIFS(tblY2028_Strategies[Amount],tblY2028_Strategies[TargetLine],$I14)-SUMIFS(tblY2028_Strategies[Amount],tblY2028_Strategies[CounterLine],$I14)</f>
        <v>0</v>
      </c>
      <c r="O14" s="12">
        <f>IF(UPPER(L14)="Y",SUMIFS(tblMaster_Inputs[Baseline_Amount],tblMaster_Inputs[Year],2027,tblMaster_Inputs[Primary_Line],"10"),IF(ISBLANK(M14),K14,M14))</f>
        <v>0</v>
      </c>
      <c r="P14" s="12">
        <f>O14+N14</f>
        <v>0</v>
      </c>
      <c r="Q14" s="8" t="str">
        <f t="shared" si="0"/>
        <v>↗ drill</v>
      </c>
    </row>
    <row r="15" spans="1:17" ht="14.5" customHeight="1" x14ac:dyDescent="0.35">
      <c r="A15" s="65" t="s">
        <v>67</v>
      </c>
      <c r="B15" s="65" t="s">
        <v>68</v>
      </c>
      <c r="C15" s="65">
        <v>8</v>
      </c>
      <c r="D15" s="93"/>
      <c r="E15" s="65"/>
      <c r="F15" s="65"/>
      <c r="G15" s="65" t="s">
        <v>21</v>
      </c>
      <c r="H15" s="65" t="s">
        <v>923</v>
      </c>
      <c r="I15">
        <v>11</v>
      </c>
      <c r="J15" t="s">
        <v>71</v>
      </c>
      <c r="K15" s="12">
        <f>K13+K14</f>
        <v>0</v>
      </c>
      <c r="L15" s="54"/>
      <c r="M15" s="4"/>
      <c r="N15" s="12">
        <f>N13+N14</f>
        <v>0</v>
      </c>
      <c r="O15" s="12">
        <f>O13+O14</f>
        <v>0</v>
      </c>
      <c r="P15" s="12">
        <f>P13+P14</f>
        <v>0</v>
      </c>
      <c r="Q15" s="8" t="str">
        <f t="shared" si="0"/>
        <v>↗ drill</v>
      </c>
    </row>
    <row r="16" spans="1:17" ht="14.5" customHeight="1" x14ac:dyDescent="0.35">
      <c r="A16" s="65" t="s">
        <v>72</v>
      </c>
      <c r="B16" s="65" t="s">
        <v>73</v>
      </c>
      <c r="C16" s="65">
        <v>7</v>
      </c>
      <c r="D16" s="93"/>
      <c r="E16" s="65"/>
      <c r="F16" s="65"/>
      <c r="G16" s="65"/>
      <c r="H16" s="65" t="s">
        <v>1791</v>
      </c>
      <c r="I16">
        <v>12</v>
      </c>
      <c r="J16" t="s">
        <v>505</v>
      </c>
      <c r="K16" s="12">
        <f>SUMIFS(tblMaster_Inputs[Baseline_Amount],tblMaster_Inputs[Year],2028,tblMaster_Inputs[Primary_Line],$I16, tblMaster_Inputs[Activity_Type], "Baseline")</f>
        <v>0</v>
      </c>
      <c r="L16" s="54"/>
      <c r="M16" s="4"/>
      <c r="N16" s="12">
        <f>SUMIFS(tblY2028_Strategies[Amount],tblY2028_Strategies[TargetLine],$I16)-SUMIFS(tblY2028_Strategies[Amount],tblY2028_Strategies[CounterLine],$I16)</f>
        <v>0</v>
      </c>
      <c r="O16" s="12">
        <f>IF(UPPER(L16)="Y",SUMIFS(tblMaster_Inputs[Baseline_Amount],tblMaster_Inputs[Year],2027,tblMaster_Inputs[Primary_Line],"12"),IF(ISBLANK(M16),K16,M16))</f>
        <v>0</v>
      </c>
      <c r="P16" s="12">
        <f>O16+N16</f>
        <v>0</v>
      </c>
      <c r="Q16" s="8" t="str">
        <f t="shared" si="0"/>
        <v>↗ drill</v>
      </c>
    </row>
    <row r="17" spans="1:17" ht="14.5" customHeight="1" x14ac:dyDescent="0.35">
      <c r="A17" s="65" t="s">
        <v>77</v>
      </c>
      <c r="B17" s="65" t="s">
        <v>78</v>
      </c>
      <c r="C17" s="65">
        <v>8</v>
      </c>
      <c r="D17" s="93"/>
      <c r="E17" s="65"/>
      <c r="F17" s="65"/>
      <c r="G17" s="65"/>
      <c r="H17" s="65" t="s">
        <v>945</v>
      </c>
      <c r="I17">
        <v>13</v>
      </c>
      <c r="J17" t="s">
        <v>81</v>
      </c>
      <c r="K17" s="12">
        <f>SUMIFS(tblMaster_Inputs[Baseline_Amount],tblMaster_Inputs[Year],2028,tblMaster_Inputs[Primary_Line],$I17, tblMaster_Inputs[Activity_Type], "Baseline")</f>
        <v>0</v>
      </c>
      <c r="L17" s="54"/>
      <c r="M17" s="4"/>
      <c r="N17" s="12">
        <f>SUMIFS(tblY2028_Strategies[Amount],tblY2028_Strategies[TargetLine],$I17)-SUMIFS(tblY2028_Strategies[Amount],tblY2028_Strategies[CounterLine],$I17)</f>
        <v>0</v>
      </c>
      <c r="O17" s="12">
        <f>IF(UPPER(L17)="Y",SUMIFS(tblMaster_Inputs[Baseline_Amount],tblMaster_Inputs[Year],2027,tblMaster_Inputs[Primary_Line],"13"),IF(ISBLANK(M17),K17,M17))</f>
        <v>0</v>
      </c>
      <c r="P17" s="12">
        <f>O17+N17</f>
        <v>0</v>
      </c>
      <c r="Q17" s="8" t="str">
        <f t="shared" si="0"/>
        <v>↗ drill</v>
      </c>
    </row>
    <row r="18" spans="1:17" ht="14.5" customHeight="1" x14ac:dyDescent="0.35">
      <c r="A18" s="65" t="s">
        <v>82</v>
      </c>
      <c r="B18" s="65" t="s">
        <v>83</v>
      </c>
      <c r="C18" s="65">
        <v>13</v>
      </c>
      <c r="D18" s="93"/>
      <c r="E18" s="65"/>
      <c r="F18" s="65"/>
      <c r="G18" s="65"/>
      <c r="H18" s="65"/>
      <c r="I18">
        <v>15</v>
      </c>
      <c r="J18" t="s">
        <v>86</v>
      </c>
      <c r="K18" s="12">
        <f>K15+K16+K17</f>
        <v>0</v>
      </c>
      <c r="L18" s="54"/>
      <c r="M18" s="4"/>
      <c r="N18" s="12">
        <f>N15+N16+N17</f>
        <v>0</v>
      </c>
      <c r="O18" s="12">
        <f>O15+O16+O17</f>
        <v>0</v>
      </c>
      <c r="P18" s="12">
        <f>P15+P16+P17</f>
        <v>0</v>
      </c>
      <c r="Q18" s="8" t="str">
        <f t="shared" si="0"/>
        <v>↗ drill</v>
      </c>
    </row>
    <row r="19" spans="1:17" ht="14.5" customHeight="1" x14ac:dyDescent="0.35">
      <c r="A19" s="65" t="s">
        <v>87</v>
      </c>
      <c r="B19" s="65" t="s">
        <v>88</v>
      </c>
      <c r="C19" s="65">
        <v>12</v>
      </c>
      <c r="D19" s="93"/>
      <c r="E19" s="65"/>
      <c r="F19" s="65"/>
      <c r="G19" s="65"/>
      <c r="H19" s="65"/>
    </row>
    <row r="20" spans="1:17" ht="14.5" customHeight="1" x14ac:dyDescent="0.35">
      <c r="A20" s="65" t="s">
        <v>90</v>
      </c>
      <c r="B20" s="65" t="s">
        <v>91</v>
      </c>
      <c r="C20" s="65">
        <v>8</v>
      </c>
      <c r="D20" s="93"/>
      <c r="E20" s="65"/>
      <c r="F20" s="65"/>
      <c r="G20" s="65"/>
      <c r="H20" s="65" t="s">
        <v>919</v>
      </c>
    </row>
    <row r="21" spans="1:17" ht="14.5" customHeight="1" x14ac:dyDescent="0.35"/>
    <row r="22" spans="1:17" ht="29" customHeight="1" x14ac:dyDescent="0.35">
      <c r="A22" s="80" t="s">
        <v>93</v>
      </c>
      <c r="I22" s="3" t="s">
        <v>11</v>
      </c>
      <c r="J22" s="3" t="s">
        <v>6</v>
      </c>
      <c r="K22" s="3" t="s">
        <v>16</v>
      </c>
      <c r="L22" s="3" t="s">
        <v>94</v>
      </c>
    </row>
    <row r="23" spans="1:17" ht="14.5" customHeight="1" x14ac:dyDescent="0.35">
      <c r="A23" s="92" t="s">
        <v>95</v>
      </c>
      <c r="B23" s="92" t="s">
        <v>96</v>
      </c>
      <c r="C23" s="92" t="s">
        <v>16</v>
      </c>
      <c r="D23" s="92" t="s">
        <v>97</v>
      </c>
      <c r="E23" s="92" t="s">
        <v>98</v>
      </c>
      <c r="I23" t="s">
        <v>485</v>
      </c>
      <c r="J23" s="12">
        <f>SUMIFS(tblMaster_Inputs[Baseline_Amount],tblMaster_Inputs[Year],2028,tblMaster_Inputs[Treatment_Profile],"W2_SCorpOwner", tblMaster_Inputs[Activity_Type], "Baseline")</f>
        <v>0</v>
      </c>
      <c r="K23" s="12">
        <f>J23+SUMIFS(tblY2028_Strategies[Amount],tblY2028_Strategies[TargetLine],"1z")-SUMIFS(tblY2028_Strategies[Amount],tblY2028_Strategies[CounterLine],"1z")</f>
        <v>0</v>
      </c>
      <c r="L23" s="2"/>
    </row>
    <row r="24" spans="1:17" ht="14.5" customHeight="1" x14ac:dyDescent="0.35">
      <c r="A24" t="s">
        <v>100</v>
      </c>
      <c r="B24" s="94">
        <f>K13</f>
        <v>0</v>
      </c>
      <c r="C24" s="94">
        <f>O13</f>
        <v>0</v>
      </c>
      <c r="D24" s="94">
        <f>P13</f>
        <v>0</v>
      </c>
      <c r="E24" s="94">
        <f>B24-D24</f>
        <v>0</v>
      </c>
      <c r="I24" t="s">
        <v>486</v>
      </c>
      <c r="J24" s="12">
        <f>SUMIFS(tblMaster_Inputs[Baseline_Amount],tblMaster_Inputs[Year],2028,tblMaster_Inputs[Treatment_Profile],"W2_Employee", tblMaster_Inputs[Activity_Type], "Baseline")</f>
        <v>0</v>
      </c>
      <c r="K24" s="12">
        <f>J24</f>
        <v>0</v>
      </c>
      <c r="L24" s="2"/>
    </row>
    <row r="25" spans="1:17" ht="14.5" customHeight="1" x14ac:dyDescent="0.35">
      <c r="A25" t="s">
        <v>103</v>
      </c>
      <c r="B25" s="94">
        <f>K18</f>
        <v>0</v>
      </c>
      <c r="C25" s="94">
        <f>O18</f>
        <v>0</v>
      </c>
      <c r="D25" s="94">
        <f>P18</f>
        <v>0</v>
      </c>
      <c r="E25" s="94">
        <f>B25-D25</f>
        <v>0</v>
      </c>
      <c r="I25" t="s">
        <v>487</v>
      </c>
      <c r="J25" s="12">
        <f>J23+J24</f>
        <v>0</v>
      </c>
      <c r="K25" s="12">
        <f>K23+K24</f>
        <v>0</v>
      </c>
      <c r="L25" s="2"/>
    </row>
    <row r="26" spans="1:17" ht="14.5" customHeight="1" x14ac:dyDescent="0.35">
      <c r="A26" s="13" t="s">
        <v>105</v>
      </c>
      <c r="B26" s="95">
        <f>J133</f>
        <v>0</v>
      </c>
      <c r="C26" s="95">
        <f>J133</f>
        <v>0</v>
      </c>
      <c r="D26" s="95">
        <f>K133</f>
        <v>0</v>
      </c>
      <c r="E26" s="94">
        <f>B26-D26</f>
        <v>0</v>
      </c>
      <c r="I26" t="s">
        <v>506</v>
      </c>
      <c r="J26" s="12">
        <f>SUMIFS(tblMaster_Inputs[Baseline_Amount],tblMaster_Inputs[Year],2028,tblMaster_Inputs[Bucket],"Business Income",tblMaster_Inputs[SE_Subject],"Yes", tblMaster_Inputs[Activity_Type], "Baseline")</f>
        <v>0</v>
      </c>
      <c r="K26" s="12">
        <f>J26</f>
        <v>0</v>
      </c>
      <c r="L26" s="2"/>
    </row>
    <row r="27" spans="1:17" ht="14.5" customHeight="1" x14ac:dyDescent="0.35">
      <c r="A27" t="s">
        <v>108</v>
      </c>
      <c r="B27" s="96">
        <f>J134</f>
        <v>0</v>
      </c>
      <c r="C27" s="96">
        <f>J134</f>
        <v>0</v>
      </c>
      <c r="D27" s="96">
        <f>K134</f>
        <v>0</v>
      </c>
      <c r="E27" s="96">
        <f>B27-D27</f>
        <v>0</v>
      </c>
      <c r="I27" t="s">
        <v>507</v>
      </c>
      <c r="J27" s="12">
        <f>SUMIFS(tblMaster_Inputs[Baseline_Amount],tblMaster_Inputs[Year],2028,tblMaster_Inputs[Bucket],"Business Income",tblMaster_Inputs[SE_Subject],"No",tblMaster_Inputs[NIIT_Class],"Active", tblMaster_Inputs[Activity_Type], "Baseline")</f>
        <v>0</v>
      </c>
      <c r="K27" s="12">
        <f>J27+SUMIFS(tblY2028_Strategies[Amount],tblY2028_Strategies[TargetLine],"8")-SUMIFS(tblY2028_Strategies[Amount],tblY2028_Strategies[CounterLine],"8")</f>
        <v>0</v>
      </c>
      <c r="L27" s="2"/>
    </row>
    <row r="28" spans="1:17" ht="14.5" customHeight="1" x14ac:dyDescent="0.35">
      <c r="A28" t="s">
        <v>111</v>
      </c>
      <c r="B28" s="97">
        <f>COUNTIF(tblY2028_Strategies[Status],"Committed")</f>
        <v>0</v>
      </c>
      <c r="C28" s="97" t="s">
        <v>112</v>
      </c>
      <c r="D28" s="94">
        <f>SUMIF(tblY2028_Strategies[Status],"Committed",tblY2028_Strategies[Amount])</f>
        <v>0</v>
      </c>
      <c r="E28" s="97"/>
      <c r="I28" t="s">
        <v>490</v>
      </c>
      <c r="J28" s="12">
        <f>SUMIFS(tblMaster_Inputs[Baseline_Amount],tblMaster_Inputs[Year],2028,tblMaster_Inputs[Bucket],"Business Income",tblMaster_Inputs[NIIT_Class],"Passive", tblMaster_Inputs[Activity_Type], "Baseline")</f>
        <v>0</v>
      </c>
      <c r="K28" s="12">
        <f>J28</f>
        <v>0</v>
      </c>
      <c r="L28" s="2"/>
    </row>
    <row r="29" spans="1:17" ht="14.5" customHeight="1" x14ac:dyDescent="0.35">
      <c r="I29" t="s">
        <v>508</v>
      </c>
      <c r="J29" s="12">
        <f>SUMIFS(tblMaster_Inputs[Helper_Amount],tblMaster_Inputs[Year],2028,tblMaster_Inputs[Helper_Treatment],"TAX_EXEMPT")</f>
        <v>0</v>
      </c>
      <c r="K29" s="12">
        <f>J29+SUMIFS(tblY2028_Strategies[Amount],tblY2028_Strategies[TargetLine],"2a")-SUMIFS(tblY2028_Strategies[Amount],tblY2028_Strategies[CounterLine],"2a")</f>
        <v>0</v>
      </c>
      <c r="L29" s="2"/>
    </row>
    <row r="30" spans="1:17" ht="14.5" customHeight="1" x14ac:dyDescent="0.35">
      <c r="I30" t="s">
        <v>509</v>
      </c>
      <c r="J30" s="12">
        <f>SUMIFS(tblMaster_Inputs[Helper_Amount],tblMaster_Inputs[Year],2028,tblMaster_Inputs[Helper_Treatment],"QUAL_DIV", tblMaster_Inputs[Activity_Type], "Baseline")</f>
        <v>0</v>
      </c>
      <c r="K30" s="12">
        <f>J30</f>
        <v>0</v>
      </c>
      <c r="L30" s="2"/>
    </row>
    <row r="31" spans="1:17" ht="14.5" customHeight="1" x14ac:dyDescent="0.35">
      <c r="I31" t="s">
        <v>510</v>
      </c>
      <c r="J31" s="12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>0</v>
      </c>
      <c r="K31" s="12">
        <f>J31+SUMIFS(tblY2028_Strategies[Amount],tblY2028_Strategies[TargetLine],"7")-SUMIFS(tblY2028_Strategies[Amount],tblY2028_Strategies[CounterLine],"7")</f>
        <v>0</v>
      </c>
      <c r="L31" s="2"/>
    </row>
    <row r="32" spans="1:17" ht="14.5" customHeight="1" x14ac:dyDescent="0.35">
      <c r="I32" t="s">
        <v>511</v>
      </c>
      <c r="J32" s="12">
        <f>SUMIFS(tblMaster_Inputs[Baseline_Amount],tblMaster_Inputs[Year],2028,tblMaster_Inputs[Treatment_Profile],"STCG_Stock", tblMaster_Inputs[Activity_Type], "Baseline")</f>
        <v>0</v>
      </c>
      <c r="K32" s="12">
        <f>J32</f>
        <v>0</v>
      </c>
      <c r="L32" s="2"/>
    </row>
    <row r="33" spans="9:12" ht="14.5" customHeight="1" x14ac:dyDescent="0.35">
      <c r="I33" t="s">
        <v>494</v>
      </c>
      <c r="J33" s="12">
        <f>SUMIFS(tblMaster_Inputs[Helper_Amount],tblMaster_Inputs[Year],2028,tblMaster_Inputs[Helper_Treatment],"SEC1250", tblMaster_Inputs[Activity_Type], "Baseline")</f>
        <v>0</v>
      </c>
      <c r="K33" s="12">
        <f>J33</f>
        <v>0</v>
      </c>
      <c r="L33" s="2"/>
    </row>
    <row r="34" spans="9:12" ht="14.5" customHeight="1" x14ac:dyDescent="0.35"/>
    <row r="35" spans="9:12" ht="14.5" customHeight="1" x14ac:dyDescent="0.35"/>
    <row r="36" spans="9:12" ht="29" customHeight="1" x14ac:dyDescent="0.35">
      <c r="I36" s="3" t="s">
        <v>11</v>
      </c>
      <c r="J36" s="3" t="s">
        <v>469</v>
      </c>
      <c r="K36" s="3" t="s">
        <v>16</v>
      </c>
      <c r="L36" s="3" t="s">
        <v>94</v>
      </c>
    </row>
    <row r="37" spans="9:12" ht="14.5" customHeight="1" x14ac:dyDescent="0.35">
      <c r="I37" t="s">
        <v>512</v>
      </c>
      <c r="J37" s="12">
        <f>K18-J31-J30-J33</f>
        <v>0</v>
      </c>
      <c r="K37" s="12">
        <f>P18-K31-K30-K33</f>
        <v>0</v>
      </c>
      <c r="L37" s="2"/>
    </row>
    <row r="38" spans="9:12" ht="14.5" customHeight="1" x14ac:dyDescent="0.35">
      <c r="I38" t="s">
        <v>496</v>
      </c>
      <c r="J38" s="12">
        <f>K15+J29</f>
        <v>0</v>
      </c>
      <c r="K38" s="12">
        <f>P15+K29</f>
        <v>0</v>
      </c>
      <c r="L38" s="2"/>
    </row>
    <row r="39" spans="9:12" ht="14.5" customHeight="1" x14ac:dyDescent="0.35">
      <c r="I39" t="s">
        <v>497</v>
      </c>
      <c r="J39" s="12">
        <f>K8+K10+K11+J28</f>
        <v>0</v>
      </c>
      <c r="K39" s="12">
        <f>P8+P10+P11+K28</f>
        <v>0</v>
      </c>
      <c r="L39" s="2"/>
    </row>
    <row r="40" spans="9:12" ht="14.5" customHeight="1" x14ac:dyDescent="0.35">
      <c r="I40" t="s">
        <v>498</v>
      </c>
      <c r="J40" s="12">
        <f>J26+J27</f>
        <v>0</v>
      </c>
      <c r="K40" s="12">
        <f>K26+K27</f>
        <v>0</v>
      </c>
      <c r="L40" s="2"/>
    </row>
    <row r="41" spans="9:12" ht="14.5" customHeight="1" x14ac:dyDescent="0.35">
      <c r="I41" t="s">
        <v>499</v>
      </c>
      <c r="J41" s="12">
        <f>K15+K16</f>
        <v>0</v>
      </c>
      <c r="K41" s="12">
        <f>P15+P16</f>
        <v>0</v>
      </c>
      <c r="L41" s="2"/>
    </row>
    <row r="42" spans="9:12" ht="14.5" customHeight="1" x14ac:dyDescent="0.35">
      <c r="I42" t="s">
        <v>500</v>
      </c>
      <c r="J42" s="12">
        <f>MIN(0,J26+J27+J28)</f>
        <v>0</v>
      </c>
      <c r="K42" s="12">
        <f>MIN(0,K26+K27+K28)</f>
        <v>0</v>
      </c>
      <c r="L42" s="2"/>
    </row>
    <row r="43" spans="9:12" ht="14.5" customHeight="1" x14ac:dyDescent="0.35">
      <c r="I43" t="s">
        <v>513</v>
      </c>
      <c r="J43" s="12">
        <f>J26</f>
        <v>0</v>
      </c>
      <c r="K43" s="12">
        <f>K26</f>
        <v>0</v>
      </c>
      <c r="L43" s="2"/>
    </row>
    <row r="44" spans="9:12" ht="14.5" customHeight="1" x14ac:dyDescent="0.35">
      <c r="J44" s="55"/>
      <c r="K44" s="55">
        <f>J44</f>
        <v>0</v>
      </c>
      <c r="L44" s="2"/>
    </row>
    <row r="45" spans="9:12" ht="14.5" customHeight="1" x14ac:dyDescent="0.35">
      <c r="J45" s="69" t="b">
        <f>IF(Control_Panel!C21="Yes",TRUE,FALSE)</f>
        <v>0</v>
      </c>
      <c r="K45" s="4" t="b">
        <f>J45</f>
        <v>0</v>
      </c>
      <c r="L45" s="2"/>
    </row>
    <row r="46" spans="9:12" ht="14.5" customHeight="1" x14ac:dyDescent="0.35">
      <c r="J46" s="69">
        <f ca="1">Carryovers!F52</f>
        <v>0</v>
      </c>
      <c r="K46" s="55">
        <f ca="1">J46</f>
        <v>0</v>
      </c>
      <c r="L46" s="2"/>
    </row>
    <row r="47" spans="9:12" ht="14.5" customHeight="1" x14ac:dyDescent="0.35"/>
    <row r="48" spans="9:12" ht="14.5" customHeight="1" x14ac:dyDescent="0.35"/>
    <row r="49" spans="9:16" ht="14.5" customHeight="1" x14ac:dyDescent="0.35">
      <c r="I49" s="9" t="s">
        <v>21</v>
      </c>
      <c r="L49" s="8" t="str">
        <f>HYPERLINK("#Master_Inputs!A1","✏ open Master_Inputs")</f>
        <v>✏ open Master_Inputs</v>
      </c>
    </row>
    <row r="50" spans="9:16" ht="14.5" customHeight="1" x14ac:dyDescent="0.35"/>
    <row r="51" spans="9:16" ht="29" customHeight="1" x14ac:dyDescent="0.35">
      <c r="I51" s="3"/>
      <c r="J51" s="3"/>
      <c r="K51" s="3"/>
      <c r="L51" s="3"/>
      <c r="M51" s="3"/>
      <c r="N51" s="3"/>
      <c r="O51" s="3"/>
      <c r="P51" s="3"/>
    </row>
    <row r="52" spans="9:16" ht="14.5" customHeight="1" x14ac:dyDescent="0.35"/>
    <row r="53" spans="9:16" ht="14.5" customHeight="1" x14ac:dyDescent="0.35"/>
    <row r="54" spans="9:16" ht="14.5" customHeight="1" x14ac:dyDescent="0.35"/>
    <row r="55" spans="9:16" ht="14.5" customHeight="1" x14ac:dyDescent="0.35"/>
    <row r="56" spans="9:16" ht="14.5" customHeight="1" x14ac:dyDescent="0.35"/>
    <row r="57" spans="9:16" ht="14.5" customHeight="1" x14ac:dyDescent="0.35"/>
    <row r="58" spans="9:16" ht="14.5" customHeight="1" x14ac:dyDescent="0.35"/>
    <row r="59" spans="9:16" ht="14.5" customHeight="1" x14ac:dyDescent="0.35"/>
    <row r="60" spans="9:16" ht="14.5" customHeight="1" x14ac:dyDescent="0.35"/>
    <row r="61" spans="9:16" ht="14.5" customHeight="1" x14ac:dyDescent="0.35"/>
    <row r="62" spans="9:16" ht="14.5" customHeight="1" x14ac:dyDescent="0.35"/>
    <row r="63" spans="9:16" ht="14.5" customHeight="1" x14ac:dyDescent="0.35"/>
    <row r="64" spans="9:16" ht="14.5" customHeight="1" x14ac:dyDescent="0.35"/>
    <row r="65" spans="9:12" ht="16" customHeight="1" thickBot="1" x14ac:dyDescent="0.4">
      <c r="I65" s="80" t="s">
        <v>151</v>
      </c>
      <c r="J65" s="48" t="s">
        <v>96</v>
      </c>
      <c r="K65" s="48" t="s">
        <v>16</v>
      </c>
      <c r="L65" s="48" t="s">
        <v>152</v>
      </c>
    </row>
    <row r="66" spans="9:12" ht="14.5" customHeight="1" x14ac:dyDescent="0.35">
      <c r="I66" t="s">
        <v>153</v>
      </c>
    </row>
    <row r="67" spans="9:12" ht="14.5" customHeight="1" x14ac:dyDescent="0.35"/>
    <row r="68" spans="9:12" ht="14.5" customHeight="1" x14ac:dyDescent="0.35">
      <c r="I68" s="80" t="s">
        <v>154</v>
      </c>
      <c r="J68" s="35"/>
      <c r="K68" s="35"/>
      <c r="L68" s="35"/>
    </row>
    <row r="69" spans="9:12" ht="14.5" customHeight="1" x14ac:dyDescent="0.35">
      <c r="I69" t="s">
        <v>155</v>
      </c>
      <c r="J69" s="19"/>
      <c r="K69" s="19"/>
      <c r="L69" s="19"/>
    </row>
    <row r="70" spans="9:12" ht="14.5" customHeight="1" x14ac:dyDescent="0.35">
      <c r="I70" t="s">
        <v>156</v>
      </c>
      <c r="J70" s="12">
        <f>J43</f>
        <v>0</v>
      </c>
      <c r="K70" s="12">
        <f>K43</f>
        <v>0</v>
      </c>
      <c r="L70" s="12"/>
    </row>
    <row r="71" spans="9:12" ht="14.5" customHeight="1" x14ac:dyDescent="0.35">
      <c r="I71" t="s">
        <v>157</v>
      </c>
      <c r="J71" s="19">
        <f>J70*SUMIFS(tblThresholds[Value], tblThresholds[Year], 2028, tblThresholds[FilingStatus], Filing_Status, tblThresholds[Item], "SE_Earnings_Factor")</f>
        <v>0</v>
      </c>
      <c r="K71" s="19">
        <f>K70*SUMIFS(tblThresholds[Value], tblThresholds[Year], 2028, tblThresholds[FilingStatus], Filing_Status, tblThresholds[Item], "SE_Earnings_Factor")</f>
        <v>0</v>
      </c>
      <c r="L71" s="19"/>
    </row>
    <row r="72" spans="9:12" ht="14.5" customHeight="1" x14ac:dyDescent="0.35">
      <c r="I72" t="s">
        <v>158</v>
      </c>
      <c r="J72" s="12">
        <f>J25</f>
        <v>0</v>
      </c>
      <c r="K72" s="12">
        <f>K25</f>
        <v>0</v>
      </c>
      <c r="L72" s="12"/>
    </row>
    <row r="73" spans="9:12" ht="14.5" customHeight="1" x14ac:dyDescent="0.35">
      <c r="I73" t="s">
        <v>159</v>
      </c>
      <c r="J73" s="12">
        <f>MAX(0,SUMIFS(tblThresholds[Value], tblThresholds[Year], 2028, tblThresholds[FilingStatus], Filing_Status, tblThresholds[Item], "SS_Wage_Base")-J72)</f>
        <v>176100</v>
      </c>
      <c r="K73" s="12">
        <f>MAX(0,SUMIFS(tblThresholds[Value], tblThresholds[Year], 2028, tblThresholds[FilingStatus], Filing_Status, tblThresholds[Item], "SS_Wage_Base")-K72)</f>
        <v>176100</v>
      </c>
      <c r="L73" s="12"/>
    </row>
    <row r="74" spans="9:12" ht="14.5" customHeight="1" x14ac:dyDescent="0.35">
      <c r="J74" s="38">
        <f>MIN(J71,J73)</f>
        <v>0</v>
      </c>
      <c r="K74" s="38">
        <f>MIN(K71,K73)</f>
        <v>0</v>
      </c>
      <c r="L74" s="38"/>
    </row>
    <row r="75" spans="9:12" ht="14.5" customHeight="1" x14ac:dyDescent="0.35">
      <c r="I75" t="s">
        <v>160</v>
      </c>
      <c r="J75" s="12">
        <f>J74*SUMIFS(tblThresholds[Value], tblThresholds[Year], 2028, tblThresholds[FilingStatus], Filing_Status, tblThresholds[Item], "SS_Rate_Combined")</f>
        <v>0</v>
      </c>
      <c r="K75" s="12">
        <f>K74*SUMIFS(tblThresholds[Value], tblThresholds[Year], 2028, tblThresholds[FilingStatus], Filing_Status, tblThresholds[Item], "SS_Rate_Combined")</f>
        <v>0</v>
      </c>
      <c r="L75" s="12"/>
    </row>
    <row r="76" spans="9:12" ht="15.5" customHeight="1" x14ac:dyDescent="0.35">
      <c r="I76" t="s">
        <v>161</v>
      </c>
      <c r="J76" s="51">
        <f>J71*SUMIFS(tblThresholds[Value], tblThresholds[Year], 2028, tblThresholds[FilingStatus], Filing_Status, tblThresholds[Item], "Medicare_Rate_Combined")</f>
        <v>0</v>
      </c>
      <c r="K76" s="51">
        <f>K71*SUMIFS(tblThresholds[Value], tblThresholds[Year], 2028, tblThresholds[FilingStatus], Filing_Status, tblThresholds[Item], "Medicare_Rate_Combined")</f>
        <v>0</v>
      </c>
      <c r="L76" s="51"/>
    </row>
    <row r="77" spans="9:12" ht="14.5" customHeight="1" x14ac:dyDescent="0.35">
      <c r="I77" t="s">
        <v>162</v>
      </c>
      <c r="J77" s="12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>0</v>
      </c>
      <c r="K77" s="12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>0</v>
      </c>
      <c r="L77" s="12"/>
    </row>
    <row r="78" spans="9:12" ht="14.5" customHeight="1" x14ac:dyDescent="0.35">
      <c r="J78" s="12">
        <f>-(J75+J76)/2</f>
        <v>0</v>
      </c>
      <c r="K78" s="12">
        <f>-(K75+K76)/2</f>
        <v>0</v>
      </c>
      <c r="L78" s="12"/>
    </row>
    <row r="79" spans="9:12" ht="18.5" customHeight="1" x14ac:dyDescent="0.45">
      <c r="J79" s="52"/>
      <c r="K79" s="12"/>
      <c r="L79" s="12"/>
    </row>
    <row r="80" spans="9:12" ht="14.5" customHeight="1" x14ac:dyDescent="0.35">
      <c r="I80" s="13" t="s">
        <v>163</v>
      </c>
      <c r="J80" s="19">
        <f>J75+J76+J77</f>
        <v>0</v>
      </c>
      <c r="K80" s="19">
        <f>K75+K76+K77</f>
        <v>0</v>
      </c>
      <c r="L80" s="19">
        <f>J80-K80</f>
        <v>0</v>
      </c>
    </row>
    <row r="81" spans="9:12" ht="14.5" customHeight="1" x14ac:dyDescent="0.35">
      <c r="J81" s="12"/>
      <c r="K81" s="12"/>
      <c r="L81" s="12"/>
    </row>
    <row r="82" spans="9:12" ht="14.5" customHeight="1" x14ac:dyDescent="0.35">
      <c r="I82" s="80" t="s">
        <v>164</v>
      </c>
      <c r="J82" s="19"/>
      <c r="K82" s="19"/>
      <c r="L82" s="19"/>
    </row>
    <row r="83" spans="9:12" ht="14.5" customHeight="1" x14ac:dyDescent="0.35">
      <c r="I83" t="s">
        <v>158</v>
      </c>
      <c r="J83" s="12">
        <f>J25</f>
        <v>0</v>
      </c>
      <c r="K83" s="12">
        <f>K25</f>
        <v>0</v>
      </c>
      <c r="L83" s="12"/>
    </row>
    <row r="84" spans="9:12" ht="14.5" customHeight="1" x14ac:dyDescent="0.35">
      <c r="I84" t="s">
        <v>165</v>
      </c>
      <c r="J84" s="12">
        <f>MIN(J83,SUMIFS(tblThresholds[Value], tblThresholds[Year], 2028, tblThresholds[FilingStatus], Filing_Status, tblThresholds[Item], "SS_Wage_Base"))*0.062</f>
        <v>0</v>
      </c>
      <c r="K84" s="12">
        <f>MIN(K83,SUMIFS(tblThresholds[Value], tblThresholds[Year], 2028, tblThresholds[FilingStatus], Filing_Status, tblThresholds[Item], "SS_Wage_Base"))*0.062</f>
        <v>0</v>
      </c>
      <c r="L84" s="12"/>
    </row>
    <row r="85" spans="9:12" ht="14.5" customHeight="1" x14ac:dyDescent="0.35">
      <c r="I85" t="s">
        <v>166</v>
      </c>
      <c r="J85" s="12">
        <f>J83*0.0145</f>
        <v>0</v>
      </c>
      <c r="K85" s="12">
        <f>K83*0.0145</f>
        <v>0</v>
      </c>
      <c r="L85" s="12"/>
    </row>
    <row r="86" spans="9:12" ht="14.5" customHeight="1" x14ac:dyDescent="0.35">
      <c r="I86" t="s">
        <v>162</v>
      </c>
      <c r="J86" s="12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>0</v>
      </c>
      <c r="K86" s="12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>0</v>
      </c>
      <c r="L86" s="12"/>
    </row>
    <row r="87" spans="9:12" ht="14.5" customHeight="1" x14ac:dyDescent="0.35">
      <c r="I87" s="13" t="s">
        <v>167</v>
      </c>
      <c r="J87" s="19">
        <f>J84+J85+J86</f>
        <v>0</v>
      </c>
      <c r="K87" s="19">
        <f>K84+K85+K86</f>
        <v>0</v>
      </c>
      <c r="L87" s="19">
        <f>J87-K87</f>
        <v>0</v>
      </c>
    </row>
    <row r="88" spans="9:12" ht="14.5" customHeight="1" x14ac:dyDescent="0.35">
      <c r="I88" s="13" t="s">
        <v>168</v>
      </c>
      <c r="J88" s="19">
        <f>J84</f>
        <v>0</v>
      </c>
      <c r="K88" s="19">
        <f>K84</f>
        <v>0</v>
      </c>
      <c r="L88" s="19">
        <f>J88-K88</f>
        <v>0</v>
      </c>
    </row>
    <row r="89" spans="9:12" ht="14.5" customHeight="1" x14ac:dyDescent="0.35">
      <c r="I89" s="13" t="s">
        <v>169</v>
      </c>
      <c r="J89" s="19">
        <f>J85</f>
        <v>0</v>
      </c>
      <c r="K89" s="19">
        <f>K85</f>
        <v>0</v>
      </c>
      <c r="L89" s="19">
        <f>J89-K89</f>
        <v>0</v>
      </c>
    </row>
    <row r="90" spans="9:12" ht="14.5" customHeight="1" x14ac:dyDescent="0.35">
      <c r="I90" s="13"/>
      <c r="J90" s="19"/>
      <c r="K90" s="19"/>
      <c r="L90" s="19"/>
    </row>
    <row r="91" spans="9:12" ht="14.5" customHeight="1" x14ac:dyDescent="0.35">
      <c r="I91" s="13" t="s">
        <v>170</v>
      </c>
      <c r="J91" s="19">
        <f>J87+J88+J89</f>
        <v>0</v>
      </c>
      <c r="K91" s="19">
        <f>K87+K88+K89</f>
        <v>0</v>
      </c>
      <c r="L91" s="19">
        <f>J91-K91</f>
        <v>0</v>
      </c>
    </row>
    <row r="92" spans="9:12" ht="14.5" customHeight="1" x14ac:dyDescent="0.35">
      <c r="J92" s="12"/>
      <c r="K92" s="12"/>
      <c r="L92" s="12"/>
    </row>
    <row r="93" spans="9:12" ht="14.5" customHeight="1" x14ac:dyDescent="0.35">
      <c r="I93" s="80" t="s">
        <v>171</v>
      </c>
      <c r="J93" s="19"/>
      <c r="K93" s="19"/>
      <c r="L93" s="19"/>
    </row>
    <row r="94" spans="9:12" ht="14.5" customHeight="1" x14ac:dyDescent="0.35">
      <c r="I94" t="s">
        <v>103</v>
      </c>
      <c r="J94" s="12">
        <f>J37</f>
        <v>0</v>
      </c>
      <c r="K94" s="12">
        <f>K37</f>
        <v>0</v>
      </c>
      <c r="L94" s="12"/>
    </row>
    <row r="95" spans="9:12" ht="14.5" customHeight="1" x14ac:dyDescent="0.35">
      <c r="I95" t="s">
        <v>172</v>
      </c>
      <c r="J95" s="12">
        <f>MAX(0,J94)</f>
        <v>0</v>
      </c>
      <c r="K95" s="12">
        <f>MAX(0,K94)</f>
        <v>0</v>
      </c>
      <c r="L95" s="12"/>
    </row>
    <row r="96" spans="9:12" ht="14.5" customHeight="1" x14ac:dyDescent="0.35">
      <c r="I96" t="s">
        <v>173</v>
      </c>
      <c r="J96" s="12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>0</v>
      </c>
      <c r="K96" s="12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>0</v>
      </c>
      <c r="L96" s="12"/>
    </row>
    <row r="97" spans="9:12" ht="14.5" customHeight="1" x14ac:dyDescent="0.35">
      <c r="I97" s="13" t="s">
        <v>174</v>
      </c>
      <c r="J97" s="19">
        <f>J96</f>
        <v>0</v>
      </c>
      <c r="K97" s="19">
        <f>K96</f>
        <v>0</v>
      </c>
      <c r="L97" s="19">
        <f>J97-K97</f>
        <v>0</v>
      </c>
    </row>
    <row r="98" spans="9:12" ht="14.5" customHeight="1" x14ac:dyDescent="0.35">
      <c r="J98" s="12"/>
      <c r="K98" s="12"/>
      <c r="L98" s="12"/>
    </row>
    <row r="99" spans="9:12" ht="14.5" customHeight="1" x14ac:dyDescent="0.35">
      <c r="I99" s="80" t="s">
        <v>175</v>
      </c>
      <c r="J99" s="19"/>
      <c r="K99" s="19"/>
      <c r="L99" s="19"/>
    </row>
    <row r="100" spans="9:12" ht="14.5" customHeight="1" x14ac:dyDescent="0.35">
      <c r="I100" t="s">
        <v>176</v>
      </c>
      <c r="J100" s="12">
        <f>J31+J30</f>
        <v>0</v>
      </c>
      <c r="K100" s="12">
        <f>K31+K30</f>
        <v>0</v>
      </c>
      <c r="L100" s="12"/>
    </row>
    <row r="101" spans="9:12" ht="14.5" customHeight="1" x14ac:dyDescent="0.35">
      <c r="I101" t="s">
        <v>177</v>
      </c>
      <c r="J101" s="12">
        <f>J33</f>
        <v>0</v>
      </c>
      <c r="K101" s="12">
        <f>K33</f>
        <v>0</v>
      </c>
      <c r="L101" s="12"/>
    </row>
    <row r="102" spans="9:12" ht="14.5" customHeight="1" x14ac:dyDescent="0.35">
      <c r="I102" t="s">
        <v>178</v>
      </c>
      <c r="J102" s="12">
        <f>J95</f>
        <v>0</v>
      </c>
      <c r="K102" s="12">
        <f>K95</f>
        <v>0</v>
      </c>
      <c r="L102" s="12"/>
    </row>
    <row r="103" spans="9:12" ht="14.5" customHeight="1" x14ac:dyDescent="0.35">
      <c r="I103" t="s">
        <v>179</v>
      </c>
      <c r="J103" s="12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>0</v>
      </c>
      <c r="K103" s="12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>0</v>
      </c>
      <c r="L103" s="12"/>
    </row>
    <row r="104" spans="9:12" ht="14.5" customHeight="1" x14ac:dyDescent="0.35">
      <c r="I104" t="s">
        <v>180</v>
      </c>
      <c r="J104" s="12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>0</v>
      </c>
      <c r="K104" s="12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>0</v>
      </c>
      <c r="L104" s="12"/>
    </row>
    <row r="105" spans="9:12" ht="14.5" customHeight="1" x14ac:dyDescent="0.35">
      <c r="I105" t="s">
        <v>181</v>
      </c>
      <c r="J105" s="12">
        <f>J103-J104</f>
        <v>0</v>
      </c>
      <c r="K105" s="12">
        <f>K103-K104</f>
        <v>0</v>
      </c>
      <c r="L105" s="12"/>
    </row>
    <row r="106" spans="9:12" ht="14.5" customHeight="1" x14ac:dyDescent="0.35">
      <c r="J106" s="12">
        <f>J33*0.25</f>
        <v>0</v>
      </c>
      <c r="K106" s="12">
        <f>K33*0.25</f>
        <v>0</v>
      </c>
      <c r="L106" s="12"/>
    </row>
    <row r="107" spans="9:12" ht="14.5" customHeight="1" x14ac:dyDescent="0.35">
      <c r="I107" s="13" t="s">
        <v>182</v>
      </c>
      <c r="J107" s="19">
        <f>J105+J106</f>
        <v>0</v>
      </c>
      <c r="K107" s="19">
        <f>K105+K106</f>
        <v>0</v>
      </c>
      <c r="L107" s="19">
        <f>J107-K107</f>
        <v>0</v>
      </c>
    </row>
    <row r="108" spans="9:12" ht="14.5" customHeight="1" x14ac:dyDescent="0.35">
      <c r="J108" s="12"/>
      <c r="K108" s="12"/>
      <c r="L108" s="12"/>
    </row>
    <row r="109" spans="9:12" ht="14.5" customHeight="1" x14ac:dyDescent="0.35">
      <c r="I109" s="80" t="s">
        <v>183</v>
      </c>
      <c r="J109" s="19"/>
      <c r="K109" s="19"/>
      <c r="L109" s="19"/>
    </row>
    <row r="110" spans="9:12" ht="14.5" customHeight="1" x14ac:dyDescent="0.35">
      <c r="I110" t="s">
        <v>184</v>
      </c>
      <c r="J110" s="12">
        <f>J38</f>
        <v>0</v>
      </c>
      <c r="K110" s="12">
        <f>K38</f>
        <v>0</v>
      </c>
      <c r="L110" s="12"/>
    </row>
    <row r="111" spans="9:12" ht="14.5" customHeight="1" x14ac:dyDescent="0.35">
      <c r="I111" t="s">
        <v>185</v>
      </c>
      <c r="J111" s="12">
        <f>SUMIFS(tblThresholds[Value], tblThresholds[Year], 2028, tblThresholds[FilingStatus], Filing_Status, tblThresholds[Item], "NIIT_Threshold")</f>
        <v>250000</v>
      </c>
      <c r="K111" s="12">
        <f>SUMIFS(tblThresholds[Value], tblThresholds[Year], 2028, tblThresholds[FilingStatus], Filing_Status, tblThresholds[Item], "NIIT_Threshold")</f>
        <v>250000</v>
      </c>
      <c r="L111" s="12"/>
    </row>
    <row r="112" spans="9:12" ht="14.5" customHeight="1" x14ac:dyDescent="0.35">
      <c r="I112" t="s">
        <v>186</v>
      </c>
      <c r="J112" s="12">
        <f>MAX(0,J39)</f>
        <v>0</v>
      </c>
      <c r="K112" s="12">
        <f>MAX(0,K39)</f>
        <v>0</v>
      </c>
      <c r="L112" s="12"/>
    </row>
    <row r="113" spans="9:12" ht="14.5" customHeight="1" x14ac:dyDescent="0.35">
      <c r="I113" t="s">
        <v>187</v>
      </c>
      <c r="J113" s="12">
        <f>MAX(0,J110-J111)</f>
        <v>0</v>
      </c>
      <c r="K113" s="12">
        <f>MAX(0,K110-K111)</f>
        <v>0</v>
      </c>
      <c r="L113" s="12"/>
    </row>
    <row r="114" spans="9:12" ht="14.5" customHeight="1" x14ac:dyDescent="0.35">
      <c r="I114" s="13" t="s">
        <v>188</v>
      </c>
      <c r="J114" s="19">
        <f>MIN(J112,J113)*SUMIFS(tblThresholds[Value], tblThresholds[Year], 2028, tblThresholds[FilingStatus], Filing_Status, tblThresholds[Item], "NIIT_Rate")</f>
        <v>0</v>
      </c>
      <c r="K114" s="19">
        <f>MIN(K112,K113)*SUMIFS(tblThresholds[Value], tblThresholds[Year], 2028, tblThresholds[FilingStatus], Filing_Status, tblThresholds[Item], "NIIT_Rate")</f>
        <v>0</v>
      </c>
      <c r="L114" s="19">
        <f>J114-K114</f>
        <v>0</v>
      </c>
    </row>
    <row r="115" spans="9:12" ht="14.5" customHeight="1" x14ac:dyDescent="0.35">
      <c r="J115" s="12"/>
      <c r="K115" s="12"/>
      <c r="L115" s="12"/>
    </row>
    <row r="116" spans="9:12" ht="14.5" customHeight="1" x14ac:dyDescent="0.35">
      <c r="I116" s="80" t="s">
        <v>189</v>
      </c>
      <c r="J116" s="19"/>
      <c r="K116" s="19"/>
      <c r="L116" s="19"/>
    </row>
    <row r="117" spans="9:12" ht="14.5" customHeight="1" x14ac:dyDescent="0.35">
      <c r="I117" t="s">
        <v>190</v>
      </c>
      <c r="J117" s="12">
        <f>J40</f>
        <v>0</v>
      </c>
      <c r="K117" s="12">
        <f>K40</f>
        <v>0</v>
      </c>
      <c r="L117" s="12"/>
    </row>
    <row r="118" spans="9:12" ht="14.5" customHeight="1" x14ac:dyDescent="0.35">
      <c r="I118" t="s">
        <v>191</v>
      </c>
      <c r="J118" s="12">
        <f>MAX(0,J117)*0.2</f>
        <v>0</v>
      </c>
      <c r="K118" s="12">
        <f>MAX(0,K117)*0.2</f>
        <v>0</v>
      </c>
      <c r="L118" s="12"/>
    </row>
    <row r="119" spans="9:12" ht="14.5" customHeight="1" x14ac:dyDescent="0.35">
      <c r="I119" t="s">
        <v>192</v>
      </c>
      <c r="J119" s="12">
        <f>MAX(0,J41)*0.2</f>
        <v>0</v>
      </c>
      <c r="K119" s="12">
        <f>MAX(0,K41)*0.2</f>
        <v>0</v>
      </c>
      <c r="L119" s="12"/>
    </row>
    <row r="120" spans="9:12" ht="14.5" customHeight="1" x14ac:dyDescent="0.35">
      <c r="I120" t="s">
        <v>193</v>
      </c>
      <c r="J120" s="12">
        <f>MAX(J23*0.5, J23*0.25+J44*0.025)</f>
        <v>0</v>
      </c>
      <c r="K120" s="12">
        <f>MAX(K23*0.5, K23*0.25+K44*0.025)</f>
        <v>0</v>
      </c>
      <c r="L120" s="12"/>
    </row>
    <row r="121" spans="9:12" ht="14.5" customHeight="1" x14ac:dyDescent="0.35">
      <c r="I121" t="s">
        <v>194</v>
      </c>
      <c r="J121" s="12" t="str">
        <f>IF(J41&gt;SUMIFS(tblThresholds[Value], tblThresholds[Year], 2028, tblThresholds[FilingStatus], Filing_Status, tblThresholds[Item], "QBI_Threshold_Start"),"YES","NO")</f>
        <v>NO</v>
      </c>
      <c r="K121" s="12" t="str">
        <f>IF(K41&gt;SUMIFS(tblThresholds[Value], tblThresholds[Year], 2028, tblThresholds[FilingStatus], Filing_Status, tblThresholds[Item], "QBI_Threshold_Start"),"YES","NO")</f>
        <v>NO</v>
      </c>
      <c r="L121" s="12"/>
    </row>
    <row r="122" spans="9:12" ht="14.5" customHeight="1" x14ac:dyDescent="0.35">
      <c r="I122" s="13" t="s">
        <v>195</v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>0</v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>0</v>
      </c>
      <c r="L122" s="19">
        <f>K122-J122</f>
        <v>0</v>
      </c>
    </row>
    <row r="123" spans="9:12" ht="14.5" customHeight="1" x14ac:dyDescent="0.35">
      <c r="J123" s="12"/>
      <c r="K123" s="12"/>
      <c r="L123" s="12"/>
    </row>
    <row r="124" spans="9:12" ht="14.5" customHeight="1" x14ac:dyDescent="0.35">
      <c r="I124" s="80" t="s">
        <v>196</v>
      </c>
      <c r="J124" s="19"/>
      <c r="K124" s="19"/>
      <c r="L124" s="19"/>
    </row>
    <row r="125" spans="9:12" ht="14.5" customHeight="1" x14ac:dyDescent="0.35">
      <c r="I125" t="s">
        <v>100</v>
      </c>
      <c r="J125" s="12">
        <f>K6+K8+K10+K11+K12</f>
        <v>0</v>
      </c>
      <c r="K125" s="12">
        <f>P13</f>
        <v>0</v>
      </c>
      <c r="L125" s="12" t="s">
        <v>152</v>
      </c>
    </row>
    <row r="126" spans="9:12" ht="14.5" customHeight="1" x14ac:dyDescent="0.35">
      <c r="I126" t="s">
        <v>197</v>
      </c>
      <c r="J126" s="12">
        <f>J97</f>
        <v>0</v>
      </c>
      <c r="K126" s="12">
        <f>K97</f>
        <v>0</v>
      </c>
      <c r="L126" s="12">
        <f t="shared" ref="L126:L131" si="1">J126-K126</f>
        <v>0</v>
      </c>
    </row>
    <row r="127" spans="9:12" ht="14.5" customHeight="1" x14ac:dyDescent="0.35">
      <c r="I127" t="s">
        <v>198</v>
      </c>
      <c r="J127" s="12">
        <f>J107</f>
        <v>0</v>
      </c>
      <c r="K127" s="12">
        <f>K107</f>
        <v>0</v>
      </c>
      <c r="L127" s="12">
        <f t="shared" si="1"/>
        <v>0</v>
      </c>
    </row>
    <row r="128" spans="9:12" ht="14.5" customHeight="1" x14ac:dyDescent="0.35">
      <c r="I128" t="s">
        <v>199</v>
      </c>
      <c r="J128" s="12">
        <f>J80</f>
        <v>0</v>
      </c>
      <c r="K128" s="12">
        <f>K80</f>
        <v>0</v>
      </c>
      <c r="L128" s="12">
        <f t="shared" si="1"/>
        <v>0</v>
      </c>
    </row>
    <row r="129" spans="9:12" ht="14.5" customHeight="1" x14ac:dyDescent="0.35">
      <c r="I129" t="s">
        <v>200</v>
      </c>
      <c r="J129" s="12">
        <f>J91</f>
        <v>0</v>
      </c>
      <c r="K129" s="12">
        <f>K91</f>
        <v>0</v>
      </c>
      <c r="L129" s="12">
        <f t="shared" si="1"/>
        <v>0</v>
      </c>
    </row>
    <row r="130" spans="9:12" ht="14.5" customHeight="1" x14ac:dyDescent="0.35">
      <c r="I130" t="s">
        <v>201</v>
      </c>
      <c r="J130" s="12">
        <f>J114</f>
        <v>0</v>
      </c>
      <c r="K130" s="12">
        <f>K114</f>
        <v>0</v>
      </c>
      <c r="L130" s="12">
        <f t="shared" si="1"/>
        <v>0</v>
      </c>
    </row>
    <row r="131" spans="9:12" ht="14.5" customHeight="1" x14ac:dyDescent="0.35">
      <c r="I131" t="s">
        <v>202</v>
      </c>
      <c r="J131" s="12">
        <f>-J122*0.24</f>
        <v>0</v>
      </c>
      <c r="K131" s="12">
        <f>-K122*0.24</f>
        <v>0</v>
      </c>
      <c r="L131" s="12">
        <f t="shared" si="1"/>
        <v>0</v>
      </c>
    </row>
    <row r="132" spans="9:12" ht="14.5" customHeight="1" x14ac:dyDescent="0.35">
      <c r="J132" s="12"/>
      <c r="K132" s="12"/>
      <c r="L132" s="12"/>
    </row>
    <row r="133" spans="9:12" ht="14.5" customHeight="1" x14ac:dyDescent="0.35">
      <c r="I133" s="13" t="s">
        <v>203</v>
      </c>
      <c r="J133" s="19">
        <f>SUM(J126:J131)</f>
        <v>0</v>
      </c>
      <c r="K133" s="19">
        <f>SUM(K126:K131)</f>
        <v>0</v>
      </c>
      <c r="L133" s="19">
        <f>J133-K133</f>
        <v>0</v>
      </c>
    </row>
    <row r="134" spans="9:12" ht="14.5" customHeight="1" x14ac:dyDescent="0.35">
      <c r="I134" t="s">
        <v>204</v>
      </c>
      <c r="J134" s="56">
        <f>IFERROR(J133/J125,0)</f>
        <v>0</v>
      </c>
      <c r="K134" s="56">
        <f>IFERROR(K133/K125,0)</f>
        <v>0</v>
      </c>
      <c r="L134" s="56">
        <f>J134-K134</f>
        <v>0</v>
      </c>
    </row>
    <row r="135" spans="9:12" ht="14.5" customHeight="1" x14ac:dyDescent="0.35">
      <c r="J135" s="12"/>
      <c r="K135" s="12"/>
      <c r="L135" s="12"/>
    </row>
    <row r="136" spans="9:12" ht="14.5" customHeight="1" x14ac:dyDescent="0.35">
      <c r="I136" s="13" t="s">
        <v>205</v>
      </c>
      <c r="J136" s="19">
        <f>L133</f>
        <v>0</v>
      </c>
      <c r="K136" s="19"/>
      <c r="L136" s="19"/>
    </row>
  </sheetData>
  <conditionalFormatting sqref="A6:H20">
    <cfRule type="expression" dxfId="0" priority="1">
      <formula>$H6=""</formula>
    </cfRule>
  </conditionalFormatting>
  <dataValidations count="1">
    <dataValidation type="list" allowBlank="1" showInputMessage="1" showErrorMessage="1" promptTitle="Prior Year?" prompt="Select Y for prior year baseline, or leave blank" sqref="L6:L18" xr:uid="{00000000-0002-0000-0B00-000000000000}">
      <formula1>"Y"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T1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0" customWidth="1"/>
    <col min="3" max="8" width="14" customWidth="1"/>
  </cols>
  <sheetData>
    <row r="1" spans="1:20" ht="18.5" customHeight="1" x14ac:dyDescent="0.45">
      <c r="A1" s="1" t="s">
        <v>516</v>
      </c>
    </row>
    <row r="2" spans="1:20" x14ac:dyDescent="0.35">
      <c r="A2" s="2" t="s">
        <v>517</v>
      </c>
    </row>
    <row r="3" spans="1:20" x14ac:dyDescent="0.35">
      <c r="I3" s="13" t="s">
        <v>338</v>
      </c>
      <c r="O3" s="13" t="s">
        <v>16</v>
      </c>
    </row>
    <row r="4" spans="1:20" x14ac:dyDescent="0.35">
      <c r="A4" s="3" t="s">
        <v>10</v>
      </c>
      <c r="B4" s="3" t="s">
        <v>11</v>
      </c>
      <c r="C4" s="3" t="s">
        <v>518</v>
      </c>
      <c r="D4" s="3" t="s">
        <v>519</v>
      </c>
      <c r="E4" s="3" t="s">
        <v>520</v>
      </c>
      <c r="F4" s="3" t="s">
        <v>521</v>
      </c>
      <c r="G4" s="3" t="s">
        <v>522</v>
      </c>
      <c r="H4" s="3" t="s">
        <v>523</v>
      </c>
      <c r="I4" s="3">
        <v>2023</v>
      </c>
      <c r="J4" s="3">
        <v>2024</v>
      </c>
      <c r="K4" s="3">
        <v>2025</v>
      </c>
      <c r="L4" s="3">
        <v>2026</v>
      </c>
      <c r="M4" s="3">
        <v>2027</v>
      </c>
      <c r="N4" s="3">
        <v>2028</v>
      </c>
      <c r="O4" s="3">
        <v>2023</v>
      </c>
      <c r="P4" s="3">
        <v>2024</v>
      </c>
      <c r="Q4" s="3">
        <v>2025</v>
      </c>
      <c r="R4" s="3">
        <v>2026</v>
      </c>
      <c r="S4" s="3">
        <v>2027</v>
      </c>
      <c r="T4" s="3">
        <v>2028</v>
      </c>
    </row>
    <row r="5" spans="1:20" x14ac:dyDescent="0.35">
      <c r="A5" t="s">
        <v>21</v>
      </c>
      <c r="B5" t="s">
        <v>24</v>
      </c>
      <c r="C5">
        <f>SUMIFS(tblMaster_Inputs[Baseline_Amount], tblMaster_Inputs[Year], 2023, tblMaster_Inputs[Primary_Line], "1z", tblMaster_Inputs[Activity_Type], "Baseline")</f>
        <v>0</v>
      </c>
      <c r="D5">
        <f>SUMIFS(tblMaster_Inputs[Baseline_Amount], tblMaster_Inputs[Year], 2024, tblMaster_Inputs[Primary_Line], "1z", tblMaster_Inputs[Activity_Type], "Baseline")</f>
        <v>153648</v>
      </c>
      <c r="E5">
        <f>SUMIFS(tblMaster_Inputs[Baseline_Amount], tblMaster_Inputs[Year], 2025, tblMaster_Inputs[Primary_Line], "1z", tblMaster_Inputs[Activity_Type], "Baseline")</f>
        <v>100000</v>
      </c>
      <c r="F5">
        <f>SUMIFS(tblMaster_Inputs[Baseline_Amount], tblMaster_Inputs[Year], 2026, tblMaster_Inputs[Primary_Line], "1z", tblMaster_Inputs[Activity_Type], "Baseline")</f>
        <v>0</v>
      </c>
      <c r="G5">
        <f>SUMIFS(tblMaster_Inputs[Baseline_Amount], tblMaster_Inputs[Year], 2027, tblMaster_Inputs[Primary_Line], "1z", tblMaster_Inputs[Activity_Type], "Baseline")</f>
        <v>0</v>
      </c>
      <c r="H5">
        <f>SUMIFS(tblMaster_Inputs[Baseline_Amount], tblMaster_Inputs[Year], 2028, tblMaster_Inputs[Primary_Line], "1z", tblMaster_Inputs[Activity_Type], "Baseline")</f>
        <v>0</v>
      </c>
      <c r="I5">
        <f>SUMIFS(tblMaster_Inputs[Baseline_Amount], tblMaster_Inputs[Year], 2023, tblMaster_Inputs[Primary_Line], "1z", tblMaster_Inputs[Activity_Type], "Strategy")</f>
        <v>0</v>
      </c>
      <c r="J5">
        <f>SUMIFS(tblMaster_Inputs[Baseline_Amount], tblMaster_Inputs[Year], 2024, tblMaster_Inputs[Primary_Line], "1z", tblMaster_Inputs[Activity_Type], "Strategy")</f>
        <v>0</v>
      </c>
      <c r="K5">
        <f>SUMIFS(tblMaster_Inputs[Baseline_Amount], tblMaster_Inputs[Year], 2025, tblMaster_Inputs[Primary_Line], "1z", tblMaster_Inputs[Activity_Type], "Strategy")</f>
        <v>-25000</v>
      </c>
      <c r="L5">
        <f>SUMIFS(tblMaster_Inputs[Baseline_Amount], tblMaster_Inputs[Year], 2026, tblMaster_Inputs[Primary_Line], "1z", tblMaster_Inputs[Activity_Type], "Strategy")</f>
        <v>0</v>
      </c>
      <c r="M5">
        <f>SUMIFS(tblMaster_Inputs[Baseline_Amount], tblMaster_Inputs[Year], 2027, tblMaster_Inputs[Primary_Line], "1z", tblMaster_Inputs[Activity_Type], "Strategy")</f>
        <v>0</v>
      </c>
      <c r="N5">
        <f>SUMIFS(tblMaster_Inputs[Baseline_Amount], tblMaster_Inputs[Year], 2028, tblMaster_Inputs[Primary_Line], "1z", tblMaster_Inputs[Activity_Type], "Strategy")</f>
        <v>0</v>
      </c>
      <c r="O5">
        <f>C5+I5</f>
        <v>0</v>
      </c>
      <c r="P5">
        <f>D5+J5</f>
        <v>153648</v>
      </c>
      <c r="Q5">
        <f>E5+K5</f>
        <v>75000</v>
      </c>
      <c r="R5">
        <f>F5+L5</f>
        <v>0</v>
      </c>
      <c r="S5">
        <f>G5+M5</f>
        <v>0</v>
      </c>
      <c r="T5">
        <f>H5+N5</f>
        <v>0</v>
      </c>
    </row>
    <row r="6" spans="1:20" x14ac:dyDescent="0.35">
      <c r="A6" t="s">
        <v>524</v>
      </c>
      <c r="B6" t="s">
        <v>525</v>
      </c>
      <c r="C6">
        <f>SUMIFS(tblMaster_Inputs[Baseline_Amount], tblMaster_Inputs[Year], 2023, tblMaster_Inputs[Primary_Line], "2b", tblMaster_Inputs[Activity_Type], "Baseline")</f>
        <v>0</v>
      </c>
      <c r="D6">
        <f>SUMIFS(tblMaster_Inputs[Baseline_Amount], tblMaster_Inputs[Year], 2024, tblMaster_Inputs[Primary_Line], "2b", tblMaster_Inputs[Activity_Type], "Baseline")</f>
        <v>0</v>
      </c>
      <c r="E6">
        <f>SUMIFS(tblMaster_Inputs[Baseline_Amount], tblMaster_Inputs[Year], 2025, tblMaster_Inputs[Primary_Line], "2b", tblMaster_Inputs[Activity_Type], "Baseline")</f>
        <v>500</v>
      </c>
      <c r="F6">
        <f>SUMIFS(tblMaster_Inputs[Baseline_Amount], tblMaster_Inputs[Year], 2026, tblMaster_Inputs[Primary_Line], "2b", tblMaster_Inputs[Activity_Type], "Baseline")</f>
        <v>0</v>
      </c>
      <c r="G6">
        <f>SUMIFS(tblMaster_Inputs[Baseline_Amount], tblMaster_Inputs[Year], 2027, tblMaster_Inputs[Primary_Line], "2b", tblMaster_Inputs[Activity_Type], "Baseline")</f>
        <v>0</v>
      </c>
      <c r="H6">
        <f>SUMIFS(tblMaster_Inputs[Baseline_Amount], tblMaster_Inputs[Year], 2028, tblMaster_Inputs[Primary_Line], "2b", tblMaster_Inputs[Activity_Type], "Baseline")</f>
        <v>0</v>
      </c>
      <c r="I6">
        <f>SUMIFS(tblMaster_Inputs[Baseline_Amount], tblMaster_Inputs[Year], 2023, tblMaster_Inputs[Primary_Line], "2b", tblMaster_Inputs[Activity_Type], "Strategy")</f>
        <v>0</v>
      </c>
      <c r="J6">
        <f>SUMIFS(tblMaster_Inputs[Baseline_Amount], tblMaster_Inputs[Year], 2024, tblMaster_Inputs[Primary_Line], "2b", tblMaster_Inputs[Activity_Type], "Strategy")</f>
        <v>0</v>
      </c>
      <c r="K6">
        <f>SUMIFS(tblMaster_Inputs[Baseline_Amount], tblMaster_Inputs[Year], 2025, tblMaster_Inputs[Primary_Line], "2b", tblMaster_Inputs[Activity_Type], "Strategy")</f>
        <v>0</v>
      </c>
      <c r="L6">
        <f>SUMIFS(tblMaster_Inputs[Baseline_Amount], tblMaster_Inputs[Year], 2026, tblMaster_Inputs[Primary_Line], "2b", tblMaster_Inputs[Activity_Type], "Strategy")</f>
        <v>0</v>
      </c>
      <c r="M6">
        <f>SUMIFS(tblMaster_Inputs[Baseline_Amount], tblMaster_Inputs[Year], 2027, tblMaster_Inputs[Primary_Line], "2b", tblMaster_Inputs[Activity_Type], "Strategy")</f>
        <v>0</v>
      </c>
      <c r="N6">
        <f>SUMIFS(tblMaster_Inputs[Baseline_Amount], tblMaster_Inputs[Year], 2028, tblMaster_Inputs[Primary_Line], "2b", tblMaster_Inputs[Activity_Type], "Strategy")</f>
        <v>0</v>
      </c>
      <c r="O6">
        <f>C6+I6</f>
        <v>0</v>
      </c>
      <c r="P6">
        <f>D6+J6</f>
        <v>0</v>
      </c>
      <c r="Q6">
        <f>E6+K6</f>
        <v>500</v>
      </c>
      <c r="R6">
        <f>F6+L6</f>
        <v>0</v>
      </c>
      <c r="S6">
        <f>G6+M6</f>
        <v>0</v>
      </c>
      <c r="T6">
        <f>H6+N6</f>
        <v>0</v>
      </c>
    </row>
    <row r="7" spans="1:20" x14ac:dyDescent="0.35">
      <c r="A7" t="s">
        <v>526</v>
      </c>
      <c r="B7" t="s">
        <v>527</v>
      </c>
      <c r="C7">
        <f>SUMIFS(tblMaster_Inputs[Baseline_Amount], tblMaster_Inputs[Year], 2023, tblMaster_Inputs[Primary_Line], "3b", tblMaster_Inputs[Activity_Type], "Baseline")</f>
        <v>0</v>
      </c>
      <c r="D7">
        <f>SUMIFS(tblMaster_Inputs[Baseline_Amount], tblMaster_Inputs[Year], 2024, tblMaster_Inputs[Primary_Line], "3b", tblMaster_Inputs[Activity_Type], "Baseline")</f>
        <v>25922</v>
      </c>
      <c r="E7">
        <f>SUMIFS(tblMaster_Inputs[Baseline_Amount], tblMaster_Inputs[Year], 2025, tblMaster_Inputs[Primary_Line], "3b", tblMaster_Inputs[Activity_Type], "Baseline")</f>
        <v>10000</v>
      </c>
      <c r="F7">
        <f>SUMIFS(tblMaster_Inputs[Baseline_Amount], tblMaster_Inputs[Year], 2026, tblMaster_Inputs[Primary_Line], "3b", tblMaster_Inputs[Activity_Type], "Baseline")</f>
        <v>0</v>
      </c>
      <c r="G7">
        <f>SUMIFS(tblMaster_Inputs[Baseline_Amount], tblMaster_Inputs[Year], 2027, tblMaster_Inputs[Primary_Line], "3b", tblMaster_Inputs[Activity_Type], "Baseline")</f>
        <v>0</v>
      </c>
      <c r="H7">
        <f>SUMIFS(tblMaster_Inputs[Baseline_Amount], tblMaster_Inputs[Year], 2028, tblMaster_Inputs[Primary_Line], "3b", tblMaster_Inputs[Activity_Type], "Baseline")</f>
        <v>0</v>
      </c>
      <c r="I7">
        <f>SUMIFS(tblMaster_Inputs[Baseline_Amount], tblMaster_Inputs[Year], 2023, tblMaster_Inputs[Primary_Line], "3b", tblMaster_Inputs[Activity_Type], "Strategy")</f>
        <v>0</v>
      </c>
      <c r="J7">
        <f>SUMIFS(tblMaster_Inputs[Baseline_Amount], tblMaster_Inputs[Year], 2024, tblMaster_Inputs[Primary_Line], "3b", tblMaster_Inputs[Activity_Type], "Strategy")</f>
        <v>0</v>
      </c>
      <c r="K7">
        <f>SUMIFS(tblMaster_Inputs[Baseline_Amount], tblMaster_Inputs[Year], 2025, tblMaster_Inputs[Primary_Line], "3b", tblMaster_Inputs[Activity_Type], "Strategy")</f>
        <v>0</v>
      </c>
      <c r="L7">
        <f>SUMIFS(tblMaster_Inputs[Baseline_Amount], tblMaster_Inputs[Year], 2026, tblMaster_Inputs[Primary_Line], "3b", tblMaster_Inputs[Activity_Type], "Strategy")</f>
        <v>0</v>
      </c>
      <c r="M7">
        <f>SUMIFS(tblMaster_Inputs[Baseline_Amount], tblMaster_Inputs[Year], 2027, tblMaster_Inputs[Primary_Line], "3b", tblMaster_Inputs[Activity_Type], "Strategy")</f>
        <v>0</v>
      </c>
      <c r="N7">
        <f>SUMIFS(tblMaster_Inputs[Baseline_Amount], tblMaster_Inputs[Year], 2028, tblMaster_Inputs[Primary_Line], "3b", tblMaster_Inputs[Activity_Type], "Strategy")</f>
        <v>0</v>
      </c>
      <c r="O7">
        <f>C7+I7</f>
        <v>0</v>
      </c>
      <c r="P7">
        <f>D7+J7</f>
        <v>25922</v>
      </c>
      <c r="Q7">
        <f>E7+K7</f>
        <v>10000</v>
      </c>
      <c r="R7">
        <f>F7+L7</f>
        <v>0</v>
      </c>
      <c r="S7">
        <f>G7+M7</f>
        <v>0</v>
      </c>
      <c r="T7">
        <f>H7+N7</f>
        <v>0</v>
      </c>
    </row>
    <row r="8" spans="1:20" x14ac:dyDescent="0.35">
      <c r="A8" t="s">
        <v>50</v>
      </c>
      <c r="B8" t="s">
        <v>51</v>
      </c>
      <c r="C8">
        <f>SUMIFS(tblMaster_Inputs[Baseline_Amount], tblMaster_Inputs[Year], 2023, tblMaster_Inputs[Primary_Line], "7", tblMaster_Inputs[Activity_Type], "Baseline")</f>
        <v>0</v>
      </c>
      <c r="D8">
        <f>SUMIFS(tblMaster_Inputs[Baseline_Amount], tblMaster_Inputs[Year], 2024, tblMaster_Inputs[Primary_Line], "7", tblMaster_Inputs[Activity_Type], "Baseline")</f>
        <v>14487</v>
      </c>
      <c r="E8">
        <f>SUMIFS(tblMaster_Inputs[Baseline_Amount], tblMaster_Inputs[Year], 2025, tblMaster_Inputs[Primary_Line], "7", tblMaster_Inputs[Activity_Type], "Baseline")</f>
        <v>25000</v>
      </c>
      <c r="F8">
        <f>SUMIFS(tblMaster_Inputs[Baseline_Amount], tblMaster_Inputs[Year], 2026, tblMaster_Inputs[Primary_Line], "7", tblMaster_Inputs[Activity_Type], "Baseline")</f>
        <v>0</v>
      </c>
      <c r="G8">
        <f>SUMIFS(tblMaster_Inputs[Baseline_Amount], tblMaster_Inputs[Year], 2027, tblMaster_Inputs[Primary_Line], "7", tblMaster_Inputs[Activity_Type], "Baseline")</f>
        <v>0</v>
      </c>
      <c r="H8">
        <f>SUMIFS(tblMaster_Inputs[Baseline_Amount], tblMaster_Inputs[Year], 2028, tblMaster_Inputs[Primary_Line], "7", tblMaster_Inputs[Activity_Type], "Baseline")</f>
        <v>0</v>
      </c>
      <c r="I8">
        <f>SUMIFS(tblMaster_Inputs[Baseline_Amount], tblMaster_Inputs[Year], 2023, tblMaster_Inputs[Primary_Line], "7", tblMaster_Inputs[Activity_Type], "Strategy")</f>
        <v>0</v>
      </c>
      <c r="J8">
        <f>SUMIFS(tblMaster_Inputs[Baseline_Amount], tblMaster_Inputs[Year], 2024, tblMaster_Inputs[Primary_Line], "7", tblMaster_Inputs[Activity_Type], "Strategy")</f>
        <v>0</v>
      </c>
      <c r="K8">
        <f>SUMIFS(tblMaster_Inputs[Baseline_Amount], tblMaster_Inputs[Year], 2025, tblMaster_Inputs[Primary_Line], "7", tblMaster_Inputs[Activity_Type], "Strategy")</f>
        <v>0</v>
      </c>
      <c r="L8">
        <f>SUMIFS(tblMaster_Inputs[Baseline_Amount], tblMaster_Inputs[Year], 2026, tblMaster_Inputs[Primary_Line], "7", tblMaster_Inputs[Activity_Type], "Strategy")</f>
        <v>0</v>
      </c>
      <c r="M8">
        <f>SUMIFS(tblMaster_Inputs[Baseline_Amount], tblMaster_Inputs[Year], 2027, tblMaster_Inputs[Primary_Line], "7", tblMaster_Inputs[Activity_Type], "Strategy")</f>
        <v>0</v>
      </c>
      <c r="N8">
        <f>SUMIFS(tblMaster_Inputs[Baseline_Amount], tblMaster_Inputs[Year], 2028, tblMaster_Inputs[Primary_Line], "7", tblMaster_Inputs[Activity_Type], "Strategy")</f>
        <v>0</v>
      </c>
      <c r="O8">
        <f>C8+I8</f>
        <v>0</v>
      </c>
      <c r="P8">
        <f>D8+J8</f>
        <v>14487</v>
      </c>
      <c r="Q8">
        <f>E8+K8</f>
        <v>25000</v>
      </c>
      <c r="R8">
        <f>F8+L8</f>
        <v>0</v>
      </c>
      <c r="S8">
        <f>G8+M8</f>
        <v>0</v>
      </c>
      <c r="T8">
        <f>H8+N8</f>
        <v>0</v>
      </c>
    </row>
    <row r="9" spans="1:20" x14ac:dyDescent="0.35">
      <c r="A9" t="s">
        <v>55</v>
      </c>
      <c r="B9" t="s">
        <v>528</v>
      </c>
      <c r="C9">
        <f>SUMIFS(tblMaster_Inputs[Baseline_Amount], tblMaster_Inputs[Year], 2023, tblMaster_Inputs[Primary_Line], "8", tblMaster_Inputs[Activity_Type], "Baseline")</f>
        <v>0</v>
      </c>
      <c r="D9">
        <f>SUMIFS(tblMaster_Inputs[Baseline_Amount], tblMaster_Inputs[Year], 2024, tblMaster_Inputs[Primary_Line], "8", tblMaster_Inputs[Activity_Type], "Baseline")</f>
        <v>-100766</v>
      </c>
      <c r="E9">
        <f>SUMIFS(tblMaster_Inputs[Baseline_Amount], tblMaster_Inputs[Year], 2025, tblMaster_Inputs[Primary_Line], "8", tblMaster_Inputs[Activity_Type], "Baseline")</f>
        <v>200000</v>
      </c>
      <c r="F9">
        <f>SUMIFS(tblMaster_Inputs[Baseline_Amount], tblMaster_Inputs[Year], 2026, tblMaster_Inputs[Primary_Line], "8", tblMaster_Inputs[Activity_Type], "Baseline")</f>
        <v>0</v>
      </c>
      <c r="G9">
        <f>SUMIFS(tblMaster_Inputs[Baseline_Amount], tblMaster_Inputs[Year], 2027, tblMaster_Inputs[Primary_Line], "8", tblMaster_Inputs[Activity_Type], "Baseline")</f>
        <v>0</v>
      </c>
      <c r="H9">
        <f>SUMIFS(tblMaster_Inputs[Baseline_Amount], tblMaster_Inputs[Year], 2028, tblMaster_Inputs[Primary_Line], "8", tblMaster_Inputs[Activity_Type], "Baseline")</f>
        <v>0</v>
      </c>
      <c r="I9">
        <f>SUMIFS(tblMaster_Inputs[Baseline_Amount], tblMaster_Inputs[Year], 2023, tblMaster_Inputs[Primary_Line], "8", tblMaster_Inputs[Activity_Type], "Strategy")</f>
        <v>0</v>
      </c>
      <c r="J9">
        <f>SUMIFS(tblMaster_Inputs[Baseline_Amount], tblMaster_Inputs[Year], 2024, tblMaster_Inputs[Primary_Line], "8", tblMaster_Inputs[Activity_Type], "Strategy")</f>
        <v>0</v>
      </c>
      <c r="K9">
        <f>SUMIFS(tblMaster_Inputs[Baseline_Amount], tblMaster_Inputs[Year], 2025, tblMaster_Inputs[Primary_Line], "8", tblMaster_Inputs[Activity_Type], "Strategy")</f>
        <v>-55000</v>
      </c>
      <c r="L9">
        <f>SUMIFS(tblMaster_Inputs[Baseline_Amount], tblMaster_Inputs[Year], 2026, tblMaster_Inputs[Primary_Line], "8", tblMaster_Inputs[Activity_Type], "Strategy")</f>
        <v>0</v>
      </c>
      <c r="M9">
        <f>SUMIFS(tblMaster_Inputs[Baseline_Amount], tblMaster_Inputs[Year], 2027, tblMaster_Inputs[Primary_Line], "8", tblMaster_Inputs[Activity_Type], "Strategy")</f>
        <v>0</v>
      </c>
      <c r="N9">
        <f>SUMIFS(tblMaster_Inputs[Baseline_Amount], tblMaster_Inputs[Year], 2028, tblMaster_Inputs[Primary_Line], "8", tblMaster_Inputs[Activity_Type], "Strategy")</f>
        <v>0</v>
      </c>
      <c r="O9">
        <f>C9+I9</f>
        <v>0</v>
      </c>
      <c r="P9">
        <f>D9+J9</f>
        <v>-100766</v>
      </c>
      <c r="Q9">
        <f>E9+K9</f>
        <v>145000</v>
      </c>
      <c r="R9">
        <f>F9+L9</f>
        <v>0</v>
      </c>
      <c r="S9">
        <f>G9+M9</f>
        <v>0</v>
      </c>
      <c r="T9">
        <f>H9+N9</f>
        <v>0</v>
      </c>
    </row>
    <row r="10" spans="1:20" x14ac:dyDescent="0.35">
      <c r="A10" s="5" t="s">
        <v>60</v>
      </c>
      <c r="B10" s="5" t="s">
        <v>61</v>
      </c>
      <c r="C10" s="5">
        <f t="shared" ref="C10:H10" si="0">C5+C6+C7+C8+C9</f>
        <v>0</v>
      </c>
      <c r="D10" s="5">
        <f t="shared" si="0"/>
        <v>93291</v>
      </c>
      <c r="E10" s="5">
        <f t="shared" si="0"/>
        <v>335500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>I5+I6+I7+I8+I9</f>
        <v>0</v>
      </c>
      <c r="J10" s="5">
        <f>J5+J6+J7+J8+J9</f>
        <v>0</v>
      </c>
      <c r="K10" s="5">
        <f>K5+K6+K7+K8+K9</f>
        <v>-80000</v>
      </c>
      <c r="L10" s="5">
        <f>L5+L6+L7+L8+L9</f>
        <v>0</v>
      </c>
      <c r="M10" s="5">
        <f>M5+M6+M7+M8+M9</f>
        <v>0</v>
      </c>
      <c r="N10" s="5">
        <f>N5+N6+N7+N8+N9</f>
        <v>0</v>
      </c>
      <c r="O10" s="5">
        <f>C10+I10</f>
        <v>0</v>
      </c>
      <c r="P10" s="5">
        <f>D10+J10</f>
        <v>93291</v>
      </c>
      <c r="Q10" s="5">
        <f>E10+K10</f>
        <v>255500</v>
      </c>
      <c r="R10" s="5">
        <f>F10+L10</f>
        <v>0</v>
      </c>
      <c r="S10" s="5">
        <f>G10+M10</f>
        <v>0</v>
      </c>
      <c r="T10" s="5">
        <f>H10+N10</f>
        <v>0</v>
      </c>
    </row>
    <row r="11" spans="1:20" x14ac:dyDescent="0.35">
      <c r="A11" t="s">
        <v>65</v>
      </c>
      <c r="B11" t="s">
        <v>66</v>
      </c>
      <c r="C11">
        <f>SUMIFS(tblMaster_Inputs[Baseline_Amount], tblMaster_Inputs[Year], 2023, tblMaster_Inputs[Primary_Line], "10", tblMaster_Inputs[Activity_Type], "Baseline")</f>
        <v>0</v>
      </c>
      <c r="D11">
        <f>SUMIFS(tblMaster_Inputs[Baseline_Amount], tblMaster_Inputs[Year], 2024, tblMaster_Inputs[Primary_Line], "10", tblMaster_Inputs[Activity_Type], "Baseline")</f>
        <v>0</v>
      </c>
      <c r="E11">
        <f>SUMIFS(tblMaster_Inputs[Baseline_Amount], tblMaster_Inputs[Year], 2025, tblMaster_Inputs[Primary_Line], "10", tblMaster_Inputs[Activity_Type], "Baseline")</f>
        <v>0</v>
      </c>
      <c r="F11">
        <f>SUMIFS(tblMaster_Inputs[Baseline_Amount], tblMaster_Inputs[Year], 2026, tblMaster_Inputs[Primary_Line], "10", tblMaster_Inputs[Activity_Type], "Baseline")</f>
        <v>0</v>
      </c>
      <c r="G11">
        <f>SUMIFS(tblMaster_Inputs[Baseline_Amount], tblMaster_Inputs[Year], 2027, tblMaster_Inputs[Primary_Line], "10", tblMaster_Inputs[Activity_Type], "Baseline")</f>
        <v>0</v>
      </c>
      <c r="H11">
        <f>SUMIFS(tblMaster_Inputs[Baseline_Amount], tblMaster_Inputs[Year], 2028, tblMaster_Inputs[Primary_Line], "10", tblMaster_Inputs[Activity_Type], "Baseline")</f>
        <v>0</v>
      </c>
      <c r="I11">
        <f>SUMIFS(tblMaster_Inputs[Baseline_Amount], tblMaster_Inputs[Year], 2023, tblMaster_Inputs[Primary_Line], "10", tblMaster_Inputs[Activity_Type], "Strategy")</f>
        <v>0</v>
      </c>
      <c r="J11">
        <f>SUMIFS(tblMaster_Inputs[Baseline_Amount], tblMaster_Inputs[Year], 2024, tblMaster_Inputs[Primary_Line], "10", tblMaster_Inputs[Activity_Type], "Strategy")</f>
        <v>0</v>
      </c>
      <c r="K11">
        <f>SUMIFS(tblMaster_Inputs[Baseline_Amount], tblMaster_Inputs[Year], 2025, tblMaster_Inputs[Primary_Line], "10", tblMaster_Inputs[Activity_Type], "Strategy")</f>
        <v>-8550</v>
      </c>
      <c r="L11">
        <f>SUMIFS(tblMaster_Inputs[Baseline_Amount], tblMaster_Inputs[Year], 2026, tblMaster_Inputs[Primary_Line], "10", tblMaster_Inputs[Activity_Type], "Strategy")</f>
        <v>0</v>
      </c>
      <c r="M11">
        <f>SUMIFS(tblMaster_Inputs[Baseline_Amount], tblMaster_Inputs[Year], 2027, tblMaster_Inputs[Primary_Line], "10", tblMaster_Inputs[Activity_Type], "Strategy")</f>
        <v>0</v>
      </c>
      <c r="N11">
        <f>SUMIFS(tblMaster_Inputs[Baseline_Amount], tblMaster_Inputs[Year], 2028, tblMaster_Inputs[Primary_Line], "10", tblMaster_Inputs[Activity_Type], "Strategy")</f>
        <v>0</v>
      </c>
      <c r="O11">
        <f>C11+I11</f>
        <v>0</v>
      </c>
      <c r="P11">
        <f>D11+J11</f>
        <v>0</v>
      </c>
      <c r="Q11">
        <f>E11+K11</f>
        <v>-8550</v>
      </c>
      <c r="R11">
        <f>F11+L11</f>
        <v>0</v>
      </c>
      <c r="S11">
        <f>G11+M11</f>
        <v>0</v>
      </c>
      <c r="T11">
        <f>H11+N11</f>
        <v>0</v>
      </c>
    </row>
    <row r="12" spans="1:20" x14ac:dyDescent="0.35">
      <c r="A12" s="5" t="s">
        <v>70</v>
      </c>
      <c r="B12" s="5" t="s">
        <v>71</v>
      </c>
      <c r="C12" s="5">
        <f t="shared" ref="C12:H12" si="1">C10+C11</f>
        <v>0</v>
      </c>
      <c r="D12" s="5">
        <f t="shared" si="1"/>
        <v>93291</v>
      </c>
      <c r="E12" s="5">
        <f t="shared" si="1"/>
        <v>335500</v>
      </c>
      <c r="F12" s="5">
        <f t="shared" si="1"/>
        <v>0</v>
      </c>
      <c r="G12" s="5">
        <f t="shared" si="1"/>
        <v>0</v>
      </c>
      <c r="H12" s="5">
        <f t="shared" si="1"/>
        <v>0</v>
      </c>
      <c r="I12" s="5">
        <f>I10+I11</f>
        <v>0</v>
      </c>
      <c r="J12" s="5">
        <f>J10+J11</f>
        <v>0</v>
      </c>
      <c r="K12" s="5">
        <f>K10+K11</f>
        <v>-88550</v>
      </c>
      <c r="L12" s="5">
        <f>L10+L11</f>
        <v>0</v>
      </c>
      <c r="M12" s="5">
        <f>M10+M11</f>
        <v>0</v>
      </c>
      <c r="N12" s="5">
        <f>N10+N11</f>
        <v>0</v>
      </c>
      <c r="O12" s="5">
        <f>C12+I12</f>
        <v>0</v>
      </c>
      <c r="P12" s="5">
        <f>D12+J12</f>
        <v>93291</v>
      </c>
      <c r="Q12" s="5">
        <f>E12+K12</f>
        <v>246950</v>
      </c>
      <c r="R12" s="5">
        <f>F12+L12</f>
        <v>0</v>
      </c>
      <c r="S12" s="5">
        <f>G12+M12</f>
        <v>0</v>
      </c>
      <c r="T12" s="5">
        <f>H12+N12</f>
        <v>0</v>
      </c>
    </row>
    <row r="13" spans="1:20" x14ac:dyDescent="0.35">
      <c r="A13" t="s">
        <v>75</v>
      </c>
      <c r="B13" t="s">
        <v>76</v>
      </c>
      <c r="C13">
        <f>SUMIFS(tblMaster_Inputs[Baseline_Amount], tblMaster_Inputs[Year], 2023, tblMaster_Inputs[Primary_Line], "12", tblMaster_Inputs[Activity_Type], "Baseline")</f>
        <v>0</v>
      </c>
      <c r="D13">
        <f>SUMIFS(tblMaster_Inputs[Baseline_Amount], tblMaster_Inputs[Year], 2024, tblMaster_Inputs[Primary_Line], "12", tblMaster_Inputs[Activity_Type], "Baseline")</f>
        <v>0</v>
      </c>
      <c r="E13">
        <f>SUMIFS(tblMaster_Inputs[Baseline_Amount], tblMaster_Inputs[Year], 2025, tblMaster_Inputs[Primary_Line], "12", tblMaster_Inputs[Activity_Type], "Baseline")</f>
        <v>-10000</v>
      </c>
      <c r="F13">
        <f>SUMIFS(tblMaster_Inputs[Baseline_Amount], tblMaster_Inputs[Year], 2026, tblMaster_Inputs[Primary_Line], "12", tblMaster_Inputs[Activity_Type], "Baseline")</f>
        <v>0</v>
      </c>
      <c r="G13">
        <f>SUMIFS(tblMaster_Inputs[Baseline_Amount], tblMaster_Inputs[Year], 2027, tblMaster_Inputs[Primary_Line], "12", tblMaster_Inputs[Activity_Type], "Baseline")</f>
        <v>0</v>
      </c>
      <c r="H13">
        <f>SUMIFS(tblMaster_Inputs[Baseline_Amount], tblMaster_Inputs[Year], 2028, tblMaster_Inputs[Primary_Line], "12", tblMaster_Inputs[Activity_Type], "Baseline")</f>
        <v>0</v>
      </c>
      <c r="I13">
        <f>SUMIFS(tblMaster_Inputs[Baseline_Amount], tblMaster_Inputs[Year], 2023, tblMaster_Inputs[Primary_Line], "12", tblMaster_Inputs[Activity_Type], "Strategy")</f>
        <v>0</v>
      </c>
      <c r="J13">
        <f>SUMIFS(tblMaster_Inputs[Baseline_Amount], tblMaster_Inputs[Year], 2024, tblMaster_Inputs[Primary_Line], "12", tblMaster_Inputs[Activity_Type], "Strategy")</f>
        <v>0</v>
      </c>
      <c r="K13">
        <f>SUMIFS(tblMaster_Inputs[Baseline_Amount], tblMaster_Inputs[Year], 2025, tblMaster_Inputs[Primary_Line], "12", tblMaster_Inputs[Activity_Type], "Strategy")</f>
        <v>0</v>
      </c>
      <c r="L13">
        <f>SUMIFS(tblMaster_Inputs[Baseline_Amount], tblMaster_Inputs[Year], 2026, tblMaster_Inputs[Primary_Line], "12", tblMaster_Inputs[Activity_Type], "Strategy")</f>
        <v>0</v>
      </c>
      <c r="M13">
        <f>SUMIFS(tblMaster_Inputs[Baseline_Amount], tblMaster_Inputs[Year], 2027, tblMaster_Inputs[Primary_Line], "12", tblMaster_Inputs[Activity_Type], "Strategy")</f>
        <v>0</v>
      </c>
      <c r="N13">
        <f>SUMIFS(tblMaster_Inputs[Baseline_Amount], tblMaster_Inputs[Year], 2028, tblMaster_Inputs[Primary_Line], "12", tblMaster_Inputs[Activity_Type], "Strategy")</f>
        <v>0</v>
      </c>
      <c r="O13">
        <f>C13+I13</f>
        <v>0</v>
      </c>
      <c r="P13">
        <f>D13+J13</f>
        <v>0</v>
      </c>
      <c r="Q13">
        <f>E13+K13</f>
        <v>-10000</v>
      </c>
      <c r="R13">
        <f>F13+L13</f>
        <v>0</v>
      </c>
      <c r="S13">
        <f>G13+M13</f>
        <v>0</v>
      </c>
      <c r="T13">
        <f>H13+N13</f>
        <v>0</v>
      </c>
    </row>
    <row r="14" spans="1:20" x14ac:dyDescent="0.35">
      <c r="A14" t="s">
        <v>80</v>
      </c>
      <c r="B14" t="s">
        <v>81</v>
      </c>
      <c r="C14">
        <f>SUMIFS(tblMaster_Inputs[Baseline_Amount], tblMaster_Inputs[Year], 2023, tblMaster_Inputs[Primary_Line], "13", tblMaster_Inputs[Activity_Type], "Baseline")</f>
        <v>0</v>
      </c>
      <c r="D14">
        <f>SUMIFS(tblMaster_Inputs[Baseline_Amount], tblMaster_Inputs[Year], 2024, tblMaster_Inputs[Primary_Line], "13", tblMaster_Inputs[Activity_Type], "Baseline")</f>
        <v>0</v>
      </c>
      <c r="E14">
        <f>SUMIFS(tblMaster_Inputs[Baseline_Amount], tblMaster_Inputs[Year], 2025, tblMaster_Inputs[Primary_Line], "13", tblMaster_Inputs[Activity_Type], "Baseline")</f>
        <v>0</v>
      </c>
      <c r="F14">
        <f>SUMIFS(tblMaster_Inputs[Baseline_Amount], tblMaster_Inputs[Year], 2026, tblMaster_Inputs[Primary_Line], "13", tblMaster_Inputs[Activity_Type], "Baseline")</f>
        <v>0</v>
      </c>
      <c r="G14">
        <f>SUMIFS(tblMaster_Inputs[Baseline_Amount], tblMaster_Inputs[Year], 2027, tblMaster_Inputs[Primary_Line], "13", tblMaster_Inputs[Activity_Type], "Baseline")</f>
        <v>0</v>
      </c>
      <c r="H14">
        <f>SUMIFS(tblMaster_Inputs[Baseline_Amount], tblMaster_Inputs[Year], 2028, tblMaster_Inputs[Primary_Line], "13", tblMaster_Inputs[Activity_Type], "Baseline")</f>
        <v>0</v>
      </c>
      <c r="I14">
        <f>SUMIFS(tblMaster_Inputs[Baseline_Amount], tblMaster_Inputs[Year], 2023, tblMaster_Inputs[Primary_Line], "13", tblMaster_Inputs[Activity_Type], "Strategy")</f>
        <v>0</v>
      </c>
      <c r="J14">
        <f>SUMIFS(tblMaster_Inputs[Baseline_Amount], tblMaster_Inputs[Year], 2024, tblMaster_Inputs[Primary_Line], "13", tblMaster_Inputs[Activity_Type], "Strategy")</f>
        <v>0</v>
      </c>
      <c r="K14">
        <f>SUMIFS(tblMaster_Inputs[Baseline_Amount], tblMaster_Inputs[Year], 2025, tblMaster_Inputs[Primary_Line], "13", tblMaster_Inputs[Activity_Type], "Strategy")</f>
        <v>0</v>
      </c>
      <c r="L14">
        <f>SUMIFS(tblMaster_Inputs[Baseline_Amount], tblMaster_Inputs[Year], 2026, tblMaster_Inputs[Primary_Line], "13", tblMaster_Inputs[Activity_Type], "Strategy")</f>
        <v>0</v>
      </c>
      <c r="M14">
        <f>SUMIFS(tblMaster_Inputs[Baseline_Amount], tblMaster_Inputs[Year], 2027, tblMaster_Inputs[Primary_Line], "13", tblMaster_Inputs[Activity_Type], "Strategy")</f>
        <v>0</v>
      </c>
      <c r="N14">
        <f>SUMIFS(tblMaster_Inputs[Baseline_Amount], tblMaster_Inputs[Year], 2028, tblMaster_Inputs[Primary_Line], "13", tblMaster_Inputs[Activity_Type], "Strategy")</f>
        <v>0</v>
      </c>
      <c r="O14">
        <f>C14+I14</f>
        <v>0</v>
      </c>
      <c r="P14">
        <f>D14+J14</f>
        <v>0</v>
      </c>
      <c r="Q14">
        <f>E14+K14</f>
        <v>0</v>
      </c>
      <c r="R14">
        <f>F14+L14</f>
        <v>0</v>
      </c>
      <c r="S14">
        <f>G14+M14</f>
        <v>0</v>
      </c>
      <c r="T14">
        <f>H14+N14</f>
        <v>0</v>
      </c>
    </row>
    <row r="15" spans="1:20" x14ac:dyDescent="0.35">
      <c r="A15" s="5" t="s">
        <v>85</v>
      </c>
      <c r="B15" s="5" t="s">
        <v>86</v>
      </c>
      <c r="C15" s="5">
        <f t="shared" ref="C15:H15" si="2">C12+C13+C14</f>
        <v>0</v>
      </c>
      <c r="D15" s="5">
        <f t="shared" si="2"/>
        <v>93291</v>
      </c>
      <c r="E15" s="5">
        <f t="shared" si="2"/>
        <v>325500</v>
      </c>
      <c r="F15" s="5">
        <f t="shared" si="2"/>
        <v>0</v>
      </c>
      <c r="G15" s="5">
        <f t="shared" si="2"/>
        <v>0</v>
      </c>
      <c r="H15" s="5">
        <f t="shared" si="2"/>
        <v>0</v>
      </c>
      <c r="I15" s="5">
        <f>I12+I13+I14</f>
        <v>0</v>
      </c>
      <c r="J15" s="5">
        <f>J12+J13+J14</f>
        <v>0</v>
      </c>
      <c r="K15" s="5">
        <f>K12+K13+K14</f>
        <v>-88550</v>
      </c>
      <c r="L15" s="5">
        <f>L12+L13+L14</f>
        <v>0</v>
      </c>
      <c r="M15" s="5">
        <f>M12+M13+M14</f>
        <v>0</v>
      </c>
      <c r="N15" s="5">
        <f>N12+N13+N14</f>
        <v>0</v>
      </c>
      <c r="O15" s="5">
        <f>C15+I15</f>
        <v>0</v>
      </c>
      <c r="P15" s="5">
        <f>D15+J15</f>
        <v>93291</v>
      </c>
      <c r="Q15" s="5">
        <f>E15+K15</f>
        <v>236950</v>
      </c>
      <c r="R15" s="5">
        <f>F15+L15</f>
        <v>0</v>
      </c>
      <c r="S15" s="5">
        <f>G15+M15</f>
        <v>0</v>
      </c>
      <c r="T15" s="5">
        <f>H15+N15</f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T2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0" customWidth="1"/>
    <col min="3" max="8" width="14" customWidth="1"/>
  </cols>
  <sheetData>
    <row r="1" spans="1:20" ht="18.5" customHeight="1" x14ac:dyDescent="0.45">
      <c r="A1" s="1" t="s">
        <v>529</v>
      </c>
    </row>
    <row r="2" spans="1:20" x14ac:dyDescent="0.35">
      <c r="A2" s="2" t="s">
        <v>530</v>
      </c>
    </row>
    <row r="3" spans="1:20" x14ac:dyDescent="0.35">
      <c r="I3" s="13" t="s">
        <v>338</v>
      </c>
      <c r="O3" s="13" t="s">
        <v>16</v>
      </c>
    </row>
    <row r="4" spans="1:20" x14ac:dyDescent="0.35">
      <c r="A4" s="3" t="s">
        <v>10</v>
      </c>
      <c r="B4" s="3" t="s">
        <v>11</v>
      </c>
      <c r="C4" s="3" t="s">
        <v>518</v>
      </c>
      <c r="D4" s="3" t="s">
        <v>519</v>
      </c>
      <c r="E4" s="3" t="s">
        <v>520</v>
      </c>
      <c r="F4" s="3" t="s">
        <v>521</v>
      </c>
      <c r="G4" s="3" t="s">
        <v>522</v>
      </c>
      <c r="H4" s="3" t="s">
        <v>523</v>
      </c>
      <c r="I4" s="3">
        <v>2023</v>
      </c>
      <c r="J4" s="3">
        <v>2024</v>
      </c>
      <c r="K4" s="3">
        <v>2025</v>
      </c>
      <c r="L4" s="3">
        <v>2026</v>
      </c>
      <c r="M4" s="3">
        <v>2027</v>
      </c>
      <c r="N4" s="3">
        <v>2028</v>
      </c>
      <c r="O4" s="3">
        <v>2023</v>
      </c>
      <c r="P4" s="3">
        <v>2024</v>
      </c>
      <c r="Q4" s="3">
        <v>2025</v>
      </c>
      <c r="R4" s="3">
        <v>2026</v>
      </c>
      <c r="S4" s="3">
        <v>2027</v>
      </c>
      <c r="T4" s="3">
        <v>2028</v>
      </c>
    </row>
    <row r="5" spans="1:20" x14ac:dyDescent="0.35">
      <c r="A5" t="s">
        <v>21</v>
      </c>
      <c r="B5" t="s">
        <v>24</v>
      </c>
      <c r="C5">
        <f>SUMIFS(tblMaster_Inputs[Baseline_Amount], tblMaster_Inputs[Year], 2023, tblMaster_Inputs[Primary_Line], "1z", tblMaster_Inputs[Activity_Type], "Baseline")</f>
        <v>0</v>
      </c>
      <c r="D5">
        <f>SUMIFS(tblMaster_Inputs[Baseline_Amount], tblMaster_Inputs[Year], 2024, tblMaster_Inputs[Primary_Line], "1z", tblMaster_Inputs[Activity_Type], "Baseline")</f>
        <v>153648</v>
      </c>
      <c r="E5">
        <f>SUMIFS(tblMaster_Inputs[Baseline_Amount], tblMaster_Inputs[Year], 2025, tblMaster_Inputs[Primary_Line], "1z", tblMaster_Inputs[Activity_Type], "Baseline")</f>
        <v>100000</v>
      </c>
      <c r="F5">
        <f>SUMIFS(tblMaster_Inputs[Baseline_Amount], tblMaster_Inputs[Year], 2026, tblMaster_Inputs[Primary_Line], "1z", tblMaster_Inputs[Activity_Type], "Baseline")</f>
        <v>0</v>
      </c>
      <c r="G5">
        <f>SUMIFS(tblMaster_Inputs[Baseline_Amount], tblMaster_Inputs[Year], 2027, tblMaster_Inputs[Primary_Line], "1z", tblMaster_Inputs[Activity_Type], "Baseline")</f>
        <v>0</v>
      </c>
      <c r="H5">
        <f>SUMIFS(tblMaster_Inputs[Baseline_Amount], tblMaster_Inputs[Year], 2028, tblMaster_Inputs[Primary_Line], "1z", tblMaster_Inputs[Activity_Type], "Baseline")</f>
        <v>0</v>
      </c>
      <c r="I5">
        <f>SUMIFS(tblMaster_Inputs[Baseline_Amount], tblMaster_Inputs[Year], 2023, tblMaster_Inputs[Primary_Line], "1z", tblMaster_Inputs[Activity_Type], "Strategy")</f>
        <v>0</v>
      </c>
      <c r="J5">
        <f>SUMIFS(tblMaster_Inputs[Baseline_Amount], tblMaster_Inputs[Year], 2024, tblMaster_Inputs[Primary_Line], "1z", tblMaster_Inputs[Activity_Type], "Strategy")</f>
        <v>0</v>
      </c>
      <c r="K5">
        <f>SUMIFS(tblMaster_Inputs[Baseline_Amount], tblMaster_Inputs[Year], 2025, tblMaster_Inputs[Primary_Line], "1z", tblMaster_Inputs[Activity_Type], "Strategy")</f>
        <v>-25000</v>
      </c>
      <c r="L5">
        <f>SUMIFS(tblMaster_Inputs[Baseline_Amount], tblMaster_Inputs[Year], 2026, tblMaster_Inputs[Primary_Line], "1z", tblMaster_Inputs[Activity_Type], "Strategy")</f>
        <v>0</v>
      </c>
      <c r="M5">
        <f>SUMIFS(tblMaster_Inputs[Baseline_Amount], tblMaster_Inputs[Year], 2027, tblMaster_Inputs[Primary_Line], "1z", tblMaster_Inputs[Activity_Type], "Strategy")</f>
        <v>0</v>
      </c>
      <c r="N5">
        <f>SUMIFS(tblMaster_Inputs[Baseline_Amount], tblMaster_Inputs[Year], 2028, tblMaster_Inputs[Primary_Line], "1z", tblMaster_Inputs[Activity_Type], "Strategy")</f>
        <v>0</v>
      </c>
      <c r="O5">
        <f>C5+I5</f>
        <v>0</v>
      </c>
      <c r="P5">
        <f>D5+J5</f>
        <v>153648</v>
      </c>
      <c r="Q5">
        <f>E5+K5</f>
        <v>75000</v>
      </c>
      <c r="R5">
        <f>F5+L5</f>
        <v>0</v>
      </c>
      <c r="S5">
        <f>G5+M5</f>
        <v>0</v>
      </c>
      <c r="T5">
        <f>H5+N5</f>
        <v>0</v>
      </c>
    </row>
    <row r="6" spans="1:20" x14ac:dyDescent="0.35">
      <c r="A6" t="s">
        <v>524</v>
      </c>
      <c r="B6" t="s">
        <v>531</v>
      </c>
      <c r="C6">
        <f>SUMIFS(tblMaster_Inputs[Baseline_Amount], tblMaster_Inputs[Year], 2023, tblMaster_Inputs[Primary_Line], "2b", tblMaster_Inputs[Activity_Type], "Baseline")</f>
        <v>0</v>
      </c>
      <c r="D6">
        <f>SUMIFS(tblMaster_Inputs[Baseline_Amount], tblMaster_Inputs[Year], 2024, tblMaster_Inputs[Primary_Line], "2b", tblMaster_Inputs[Activity_Type], "Baseline")</f>
        <v>0</v>
      </c>
      <c r="E6">
        <f>SUMIFS(tblMaster_Inputs[Baseline_Amount], tblMaster_Inputs[Year], 2025, tblMaster_Inputs[Primary_Line], "2b", tblMaster_Inputs[Activity_Type], "Baseline")</f>
        <v>500</v>
      </c>
      <c r="F6">
        <f>SUMIFS(tblMaster_Inputs[Baseline_Amount], tblMaster_Inputs[Year], 2026, tblMaster_Inputs[Primary_Line], "2b", tblMaster_Inputs[Activity_Type], "Baseline")</f>
        <v>0</v>
      </c>
      <c r="G6">
        <f>SUMIFS(tblMaster_Inputs[Baseline_Amount], tblMaster_Inputs[Year], 2027, tblMaster_Inputs[Primary_Line], "2b", tblMaster_Inputs[Activity_Type], "Baseline")</f>
        <v>0</v>
      </c>
      <c r="H6">
        <f>SUMIFS(tblMaster_Inputs[Baseline_Amount], tblMaster_Inputs[Year], 2028, tblMaster_Inputs[Primary_Line], "2b", tblMaster_Inputs[Activity_Type], "Baseline")</f>
        <v>0</v>
      </c>
      <c r="I6">
        <f>SUMIFS(tblMaster_Inputs[Baseline_Amount], tblMaster_Inputs[Year], 2023, tblMaster_Inputs[Primary_Line], "2b", tblMaster_Inputs[Activity_Type], "Strategy")</f>
        <v>0</v>
      </c>
      <c r="J6">
        <f>SUMIFS(tblMaster_Inputs[Baseline_Amount], tblMaster_Inputs[Year], 2024, tblMaster_Inputs[Primary_Line], "2b", tblMaster_Inputs[Activity_Type], "Strategy")</f>
        <v>0</v>
      </c>
      <c r="K6">
        <f>SUMIFS(tblMaster_Inputs[Baseline_Amount], tblMaster_Inputs[Year], 2025, tblMaster_Inputs[Primary_Line], "2b", tblMaster_Inputs[Activity_Type], "Strategy")</f>
        <v>0</v>
      </c>
      <c r="L6">
        <f>SUMIFS(tblMaster_Inputs[Baseline_Amount], tblMaster_Inputs[Year], 2026, tblMaster_Inputs[Primary_Line], "2b", tblMaster_Inputs[Activity_Type], "Strategy")</f>
        <v>0</v>
      </c>
      <c r="M6">
        <f>SUMIFS(tblMaster_Inputs[Baseline_Amount], tblMaster_Inputs[Year], 2027, tblMaster_Inputs[Primary_Line], "2b", tblMaster_Inputs[Activity_Type], "Strategy")</f>
        <v>0</v>
      </c>
      <c r="N6">
        <f>SUMIFS(tblMaster_Inputs[Baseline_Amount], tblMaster_Inputs[Year], 2028, tblMaster_Inputs[Primary_Line], "2b", tblMaster_Inputs[Activity_Type], "Strategy")</f>
        <v>0</v>
      </c>
      <c r="O6">
        <f>C6+I6</f>
        <v>0</v>
      </c>
      <c r="P6">
        <f>D6+J6</f>
        <v>0</v>
      </c>
      <c r="Q6">
        <f>E6+K6</f>
        <v>500</v>
      </c>
      <c r="R6">
        <f>F6+L6</f>
        <v>0</v>
      </c>
      <c r="S6">
        <f>G6+M6</f>
        <v>0</v>
      </c>
      <c r="T6">
        <f>H6+N6</f>
        <v>0</v>
      </c>
    </row>
    <row r="7" spans="1:20" x14ac:dyDescent="0.35">
      <c r="A7" t="s">
        <v>526</v>
      </c>
      <c r="B7" t="s">
        <v>532</v>
      </c>
      <c r="C7">
        <f>SUMIFS(tblMaster_Inputs[Baseline_Amount], tblMaster_Inputs[Year], 2023, tblMaster_Inputs[Primary_Line], "3b", tblMaster_Inputs[Activity_Type], "Baseline")</f>
        <v>0</v>
      </c>
      <c r="D7">
        <f>SUMIFS(tblMaster_Inputs[Baseline_Amount], tblMaster_Inputs[Year], 2024, tblMaster_Inputs[Primary_Line], "3b", tblMaster_Inputs[Activity_Type], "Baseline")</f>
        <v>25922</v>
      </c>
      <c r="E7">
        <f>SUMIFS(tblMaster_Inputs[Baseline_Amount], tblMaster_Inputs[Year], 2025, tblMaster_Inputs[Primary_Line], "3b", tblMaster_Inputs[Activity_Type], "Baseline")</f>
        <v>10000</v>
      </c>
      <c r="F7">
        <f>SUMIFS(tblMaster_Inputs[Baseline_Amount], tblMaster_Inputs[Year], 2026, tblMaster_Inputs[Primary_Line], "3b", tblMaster_Inputs[Activity_Type], "Baseline")</f>
        <v>0</v>
      </c>
      <c r="G7">
        <f>SUMIFS(tblMaster_Inputs[Baseline_Amount], tblMaster_Inputs[Year], 2027, tblMaster_Inputs[Primary_Line], "3b", tblMaster_Inputs[Activity_Type], "Baseline")</f>
        <v>0</v>
      </c>
      <c r="H7">
        <f>SUMIFS(tblMaster_Inputs[Baseline_Amount], tblMaster_Inputs[Year], 2028, tblMaster_Inputs[Primary_Line], "3b", tblMaster_Inputs[Activity_Type], "Baseline")</f>
        <v>0</v>
      </c>
      <c r="I7">
        <f>SUMIFS(tblMaster_Inputs[Baseline_Amount], tblMaster_Inputs[Year], 2023, tblMaster_Inputs[Primary_Line], "3b", tblMaster_Inputs[Activity_Type], "Strategy")</f>
        <v>0</v>
      </c>
      <c r="J7">
        <f>SUMIFS(tblMaster_Inputs[Baseline_Amount], tblMaster_Inputs[Year], 2024, tblMaster_Inputs[Primary_Line], "3b", tblMaster_Inputs[Activity_Type], "Strategy")</f>
        <v>0</v>
      </c>
      <c r="K7">
        <f>SUMIFS(tblMaster_Inputs[Baseline_Amount], tblMaster_Inputs[Year], 2025, tblMaster_Inputs[Primary_Line], "3b", tblMaster_Inputs[Activity_Type], "Strategy")</f>
        <v>0</v>
      </c>
      <c r="L7">
        <f>SUMIFS(tblMaster_Inputs[Baseline_Amount], tblMaster_Inputs[Year], 2026, tblMaster_Inputs[Primary_Line], "3b", tblMaster_Inputs[Activity_Type], "Strategy")</f>
        <v>0</v>
      </c>
      <c r="M7">
        <f>SUMIFS(tblMaster_Inputs[Baseline_Amount], tblMaster_Inputs[Year], 2027, tblMaster_Inputs[Primary_Line], "3b", tblMaster_Inputs[Activity_Type], "Strategy")</f>
        <v>0</v>
      </c>
      <c r="N7">
        <f>SUMIFS(tblMaster_Inputs[Baseline_Amount], tblMaster_Inputs[Year], 2028, tblMaster_Inputs[Primary_Line], "3b", tblMaster_Inputs[Activity_Type], "Strategy")</f>
        <v>0</v>
      </c>
      <c r="O7">
        <f>C7+I7</f>
        <v>0</v>
      </c>
      <c r="P7">
        <f>D7+J7</f>
        <v>25922</v>
      </c>
      <c r="Q7">
        <f>E7+K7</f>
        <v>10000</v>
      </c>
      <c r="R7">
        <f>F7+L7</f>
        <v>0</v>
      </c>
      <c r="S7">
        <f>G7+M7</f>
        <v>0</v>
      </c>
      <c r="T7">
        <f>H7+N7</f>
        <v>0</v>
      </c>
    </row>
    <row r="8" spans="1:20" x14ac:dyDescent="0.35">
      <c r="A8" t="s">
        <v>50</v>
      </c>
      <c r="B8" t="s">
        <v>51</v>
      </c>
      <c r="C8">
        <f>SUMIFS(tblMaster_Inputs[Baseline_Amount], tblMaster_Inputs[Year], 2023, tblMaster_Inputs[Primary_Line], "7", tblMaster_Inputs[Activity_Type], "Baseline")</f>
        <v>0</v>
      </c>
      <c r="D8">
        <f>SUMIFS(tblMaster_Inputs[Baseline_Amount], tblMaster_Inputs[Year], 2024, tblMaster_Inputs[Primary_Line], "7", tblMaster_Inputs[Activity_Type], "Baseline")</f>
        <v>14487</v>
      </c>
      <c r="E8">
        <f>SUMIFS(tblMaster_Inputs[Baseline_Amount], tblMaster_Inputs[Year], 2025, tblMaster_Inputs[Primary_Line], "7", tblMaster_Inputs[Activity_Type], "Baseline")</f>
        <v>25000</v>
      </c>
      <c r="F8">
        <f>SUMIFS(tblMaster_Inputs[Baseline_Amount], tblMaster_Inputs[Year], 2026, tblMaster_Inputs[Primary_Line], "7", tblMaster_Inputs[Activity_Type], "Baseline")</f>
        <v>0</v>
      </c>
      <c r="G8">
        <f>SUMIFS(tblMaster_Inputs[Baseline_Amount], tblMaster_Inputs[Year], 2027, tblMaster_Inputs[Primary_Line], "7", tblMaster_Inputs[Activity_Type], "Baseline")</f>
        <v>0</v>
      </c>
      <c r="H8">
        <f>SUMIFS(tblMaster_Inputs[Baseline_Amount], tblMaster_Inputs[Year], 2028, tblMaster_Inputs[Primary_Line], "7", tblMaster_Inputs[Activity_Type], "Baseline")</f>
        <v>0</v>
      </c>
      <c r="I8">
        <f>SUMIFS(tblMaster_Inputs[Baseline_Amount], tblMaster_Inputs[Year], 2023, tblMaster_Inputs[Primary_Line], "7", tblMaster_Inputs[Activity_Type], "Strategy")</f>
        <v>0</v>
      </c>
      <c r="J8">
        <f>SUMIFS(tblMaster_Inputs[Baseline_Amount], tblMaster_Inputs[Year], 2024, tblMaster_Inputs[Primary_Line], "7", tblMaster_Inputs[Activity_Type], "Strategy")</f>
        <v>0</v>
      </c>
      <c r="K8">
        <f>SUMIFS(tblMaster_Inputs[Baseline_Amount], tblMaster_Inputs[Year], 2025, tblMaster_Inputs[Primary_Line], "7", tblMaster_Inputs[Activity_Type], "Strategy")</f>
        <v>0</v>
      </c>
      <c r="L8">
        <f>SUMIFS(tblMaster_Inputs[Baseline_Amount], tblMaster_Inputs[Year], 2026, tblMaster_Inputs[Primary_Line], "7", tblMaster_Inputs[Activity_Type], "Strategy")</f>
        <v>0</v>
      </c>
      <c r="M8">
        <f>SUMIFS(tblMaster_Inputs[Baseline_Amount], tblMaster_Inputs[Year], 2027, tblMaster_Inputs[Primary_Line], "7", tblMaster_Inputs[Activity_Type], "Strategy")</f>
        <v>0</v>
      </c>
      <c r="N8">
        <f>SUMIFS(tblMaster_Inputs[Baseline_Amount], tblMaster_Inputs[Year], 2028, tblMaster_Inputs[Primary_Line], "7", tblMaster_Inputs[Activity_Type], "Strategy")</f>
        <v>0</v>
      </c>
      <c r="O8">
        <f>C8+I8</f>
        <v>0</v>
      </c>
      <c r="P8">
        <f>D8+J8</f>
        <v>14487</v>
      </c>
      <c r="Q8">
        <f>E8+K8</f>
        <v>25000</v>
      </c>
      <c r="R8">
        <f>F8+L8</f>
        <v>0</v>
      </c>
      <c r="S8">
        <f>G8+M8</f>
        <v>0</v>
      </c>
      <c r="T8">
        <f>H8+N8</f>
        <v>0</v>
      </c>
    </row>
    <row r="9" spans="1:20" x14ac:dyDescent="0.35">
      <c r="A9" t="s">
        <v>533</v>
      </c>
      <c r="B9" t="s">
        <v>534</v>
      </c>
      <c r="C9">
        <f>SUMIFS(tblMaster_Inputs[Baseline_Amount], tblMaster_Inputs[Year], 2023, tblMaster_Inputs[Treatment_Profile], "SchC_Active", tblMaster_Inputs[Activity_Type], "Baseline")</f>
        <v>0</v>
      </c>
      <c r="D9">
        <f>SUMIFS(tblMaster_Inputs[Baseline_Amount], tblMaster_Inputs[Year], 2024, tblMaster_Inputs[Treatment_Profile], "SchC_Active", tblMaster_Inputs[Activity_Type], "Baseline")</f>
        <v>0</v>
      </c>
      <c r="E9">
        <f>SUMIFS(tblMaster_Inputs[Baseline_Amount], tblMaster_Inputs[Year], 2025, tblMaster_Inputs[Treatment_Profile], "SchC_Active", tblMaster_Inputs[Activity_Type], "Baseline")</f>
        <v>0</v>
      </c>
      <c r="F9">
        <f>SUMIFS(tblMaster_Inputs[Baseline_Amount], tblMaster_Inputs[Year], 2026, tblMaster_Inputs[Treatment_Profile], "SchC_Active", tblMaster_Inputs[Activity_Type], "Baseline")</f>
        <v>0</v>
      </c>
      <c r="G9">
        <f>SUMIFS(tblMaster_Inputs[Baseline_Amount], tblMaster_Inputs[Year], 2027, tblMaster_Inputs[Treatment_Profile], "SchC_Active", tblMaster_Inputs[Activity_Type], "Baseline")</f>
        <v>0</v>
      </c>
      <c r="H9">
        <f>SUMIFS(tblMaster_Inputs[Baseline_Amount], tblMaster_Inputs[Year], 2028, tblMaster_Inputs[Treatment_Profile], "SchC_Active", tblMaster_Inputs[Activity_Type], "Baseline")</f>
        <v>0</v>
      </c>
      <c r="I9">
        <f>SUMIFS(tblMaster_Inputs[Baseline_Amount], tblMaster_Inputs[Year], 2023, tblMaster_Inputs[Treatment_Profile], "SchC_Active", tblMaster_Inputs[Activity_Type], "Strategy")</f>
        <v>0</v>
      </c>
      <c r="J9">
        <f>SUMIFS(tblMaster_Inputs[Baseline_Amount], tblMaster_Inputs[Year], 2024, tblMaster_Inputs[Treatment_Profile], "SchC_Active", tblMaster_Inputs[Activity_Type], "Strategy")</f>
        <v>0</v>
      </c>
      <c r="K9">
        <f>SUMIFS(tblMaster_Inputs[Baseline_Amount], tblMaster_Inputs[Year], 2025, tblMaster_Inputs[Treatment_Profile], "SchC_Active", tblMaster_Inputs[Activity_Type], "Strategy")</f>
        <v>0</v>
      </c>
      <c r="L9">
        <f>SUMIFS(tblMaster_Inputs[Baseline_Amount], tblMaster_Inputs[Year], 2026, tblMaster_Inputs[Treatment_Profile], "SchC_Active", tblMaster_Inputs[Activity_Type], "Strategy")</f>
        <v>0</v>
      </c>
      <c r="M9">
        <f>SUMIFS(tblMaster_Inputs[Baseline_Amount], tblMaster_Inputs[Year], 2027, tblMaster_Inputs[Treatment_Profile], "SchC_Active", tblMaster_Inputs[Activity_Type], "Strategy")</f>
        <v>0</v>
      </c>
      <c r="N9">
        <f>SUMIFS(tblMaster_Inputs[Baseline_Amount], tblMaster_Inputs[Year], 2028, tblMaster_Inputs[Treatment_Profile], "SchC_Active", tblMaster_Inputs[Activity_Type], "Strategy")</f>
        <v>0</v>
      </c>
      <c r="O9">
        <f>C9+I9</f>
        <v>0</v>
      </c>
      <c r="P9">
        <f>D9+J9</f>
        <v>0</v>
      </c>
      <c r="Q9">
        <f>E9+K9</f>
        <v>0</v>
      </c>
      <c r="R9">
        <f>F9+L9</f>
        <v>0</v>
      </c>
      <c r="S9">
        <f>G9+M9</f>
        <v>0</v>
      </c>
      <c r="T9">
        <f>H9+N9</f>
        <v>0</v>
      </c>
    </row>
    <row r="10" spans="1:20" x14ac:dyDescent="0.35">
      <c r="A10" t="s">
        <v>535</v>
      </c>
      <c r="B10" t="s">
        <v>536</v>
      </c>
      <c r="C10" s="12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>0</v>
      </c>
      <c r="D10" s="12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>0</v>
      </c>
      <c r="E10" s="12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>0</v>
      </c>
      <c r="F10" s="12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>0</v>
      </c>
      <c r="G10" s="12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>0</v>
      </c>
      <c r="H10" s="12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>0</v>
      </c>
      <c r="I10" s="12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>0</v>
      </c>
      <c r="J10" s="12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>0</v>
      </c>
      <c r="K10" s="12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>-80000</v>
      </c>
      <c r="L10" s="12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>0</v>
      </c>
      <c r="M10" s="12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>0</v>
      </c>
      <c r="N10" s="12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>0</v>
      </c>
      <c r="O10" s="12">
        <f>C10+I10</f>
        <v>0</v>
      </c>
      <c r="P10" s="12">
        <f>D10+J10</f>
        <v>0</v>
      </c>
      <c r="Q10" s="12">
        <f>E10+K10</f>
        <v>-80000</v>
      </c>
      <c r="R10" s="12">
        <f>F10+L10</f>
        <v>0</v>
      </c>
      <c r="S10" s="12">
        <f>G10+M10</f>
        <v>0</v>
      </c>
      <c r="T10" s="12">
        <f>H10+N10</f>
        <v>0</v>
      </c>
    </row>
    <row r="11" spans="1:20" x14ac:dyDescent="0.35">
      <c r="A11" t="s">
        <v>537</v>
      </c>
      <c r="B11" t="s">
        <v>538</v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>0</v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>-100766</v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>0</v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>0</v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>0</v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>0</v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>0</v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>0</v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>0</v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>0</v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>0</v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>0</v>
      </c>
      <c r="O11">
        <f>C11+I11</f>
        <v>0</v>
      </c>
      <c r="P11">
        <f>D11+J11</f>
        <v>-100766</v>
      </c>
      <c r="Q11">
        <f>E11+K11</f>
        <v>0</v>
      </c>
      <c r="R11">
        <f>F11+L11</f>
        <v>0</v>
      </c>
      <c r="S11">
        <f>G11+M11</f>
        <v>0</v>
      </c>
      <c r="T11">
        <f>H11+N11</f>
        <v>0</v>
      </c>
    </row>
    <row r="12" spans="1:20" x14ac:dyDescent="0.35">
      <c r="A12" t="s">
        <v>539</v>
      </c>
      <c r="B12" t="s">
        <v>540</v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>0</v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>0</v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>200000</v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>0</v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>0</v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>0</v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>0</v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>0</v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>25000</v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>0</v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>0</v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>0</v>
      </c>
      <c r="O12">
        <f>C12+I12</f>
        <v>0</v>
      </c>
      <c r="P12">
        <f>D12+J12</f>
        <v>0</v>
      </c>
      <c r="Q12">
        <f>E12+K12</f>
        <v>225000</v>
      </c>
      <c r="R12">
        <f>F12+L12</f>
        <v>0</v>
      </c>
      <c r="S12">
        <f>G12+M12</f>
        <v>0</v>
      </c>
      <c r="T12">
        <f>H12+N12</f>
        <v>0</v>
      </c>
    </row>
    <row r="13" spans="1:20" x14ac:dyDescent="0.35">
      <c r="A13" t="s">
        <v>541</v>
      </c>
      <c r="B13" t="s">
        <v>542</v>
      </c>
      <c r="C13">
        <f>SUMIFS(tblMaster_Inputs[Baseline_Amount], tblMaster_Inputs[Year], 2023, tblMaster_Inputs[Treatment_Profile], "SchF_Active", tblMaster_Inputs[Activity_Type], "Baseline")</f>
        <v>0</v>
      </c>
      <c r="D13">
        <f>SUMIFS(tblMaster_Inputs[Baseline_Amount], tblMaster_Inputs[Year], 2024, tblMaster_Inputs[Treatment_Profile], "SchF_Active", tblMaster_Inputs[Activity_Type], "Baseline")</f>
        <v>0</v>
      </c>
      <c r="E13">
        <f>SUMIFS(tblMaster_Inputs[Baseline_Amount], tblMaster_Inputs[Year], 2025, tblMaster_Inputs[Treatment_Profile], "SchF_Active", tblMaster_Inputs[Activity_Type], "Baseline")</f>
        <v>0</v>
      </c>
      <c r="F13">
        <f>SUMIFS(tblMaster_Inputs[Baseline_Amount], tblMaster_Inputs[Year], 2026, tblMaster_Inputs[Treatment_Profile], "SchF_Active", tblMaster_Inputs[Activity_Type], "Baseline")</f>
        <v>0</v>
      </c>
      <c r="G13">
        <f>SUMIFS(tblMaster_Inputs[Baseline_Amount], tblMaster_Inputs[Year], 2027, tblMaster_Inputs[Treatment_Profile], "SchF_Active", tblMaster_Inputs[Activity_Type], "Baseline")</f>
        <v>0</v>
      </c>
      <c r="H13">
        <f>SUMIFS(tblMaster_Inputs[Baseline_Amount], tblMaster_Inputs[Year], 2028, tblMaster_Inputs[Treatment_Profile], "SchF_Active", tblMaster_Inputs[Activity_Type], "Baseline")</f>
        <v>0</v>
      </c>
      <c r="I13">
        <f>SUMIFS(tblMaster_Inputs[Baseline_Amount], tblMaster_Inputs[Year], 2023, tblMaster_Inputs[Treatment_Profile], "SchF_Active", tblMaster_Inputs[Activity_Type], "Strategy")</f>
        <v>0</v>
      </c>
      <c r="J13">
        <f>SUMIFS(tblMaster_Inputs[Baseline_Amount], tblMaster_Inputs[Year], 2024, tblMaster_Inputs[Treatment_Profile], "SchF_Active", tblMaster_Inputs[Activity_Type], "Strategy")</f>
        <v>0</v>
      </c>
      <c r="K13">
        <f>SUMIFS(tblMaster_Inputs[Baseline_Amount], tblMaster_Inputs[Year], 2025, tblMaster_Inputs[Treatment_Profile], "SchF_Active", tblMaster_Inputs[Activity_Type], "Strategy")</f>
        <v>0</v>
      </c>
      <c r="L13">
        <f>SUMIFS(tblMaster_Inputs[Baseline_Amount], tblMaster_Inputs[Year], 2026, tblMaster_Inputs[Treatment_Profile], "SchF_Active", tblMaster_Inputs[Activity_Type], "Strategy")</f>
        <v>0</v>
      </c>
      <c r="M13">
        <f>SUMIFS(tblMaster_Inputs[Baseline_Amount], tblMaster_Inputs[Year], 2027, tblMaster_Inputs[Treatment_Profile], "SchF_Active", tblMaster_Inputs[Activity_Type], "Strategy")</f>
        <v>0</v>
      </c>
      <c r="N13">
        <f>SUMIFS(tblMaster_Inputs[Baseline_Amount], tblMaster_Inputs[Year], 2028, tblMaster_Inputs[Treatment_Profile], "SchF_Active", tblMaster_Inputs[Activity_Type], "Strategy")</f>
        <v>0</v>
      </c>
      <c r="O13">
        <f>C13+I13</f>
        <v>0</v>
      </c>
      <c r="P13">
        <f>D13+J13</f>
        <v>0</v>
      </c>
      <c r="Q13">
        <f>E13+K13</f>
        <v>0</v>
      </c>
      <c r="R13">
        <f>F13+L13</f>
        <v>0</v>
      </c>
      <c r="S13">
        <f>G13+M13</f>
        <v>0</v>
      </c>
      <c r="T13">
        <f>H13+N13</f>
        <v>0</v>
      </c>
    </row>
    <row r="14" spans="1:20" x14ac:dyDescent="0.35">
      <c r="A14" t="s">
        <v>543</v>
      </c>
      <c r="B14" t="s">
        <v>544</v>
      </c>
      <c r="C14">
        <f>SUMIFS(tblMaster_Inputs[Baseline_Amount], tblMaster_Inputs[Year], 2023, tblMaster_Inputs[Treatment_Profile], "Trust_K1", tblMaster_Inputs[Activity_Type], "Baseline")</f>
        <v>0</v>
      </c>
      <c r="D14">
        <f>SUMIFS(tblMaster_Inputs[Baseline_Amount], tblMaster_Inputs[Year], 2024, tblMaster_Inputs[Treatment_Profile], "Trust_K1", tblMaster_Inputs[Activity_Type], "Baseline")</f>
        <v>0</v>
      </c>
      <c r="E14">
        <f>SUMIFS(tblMaster_Inputs[Baseline_Amount], tblMaster_Inputs[Year], 2025, tblMaster_Inputs[Treatment_Profile], "Trust_K1", tblMaster_Inputs[Activity_Type], "Baseline")</f>
        <v>0</v>
      </c>
      <c r="F14">
        <f>SUMIFS(tblMaster_Inputs[Baseline_Amount], tblMaster_Inputs[Year], 2026, tblMaster_Inputs[Treatment_Profile], "Trust_K1", tblMaster_Inputs[Activity_Type], "Baseline")</f>
        <v>0</v>
      </c>
      <c r="G14">
        <f>SUMIFS(tblMaster_Inputs[Baseline_Amount], tblMaster_Inputs[Year], 2027, tblMaster_Inputs[Treatment_Profile], "Trust_K1", tblMaster_Inputs[Activity_Type], "Baseline")</f>
        <v>0</v>
      </c>
      <c r="H14">
        <f>SUMIFS(tblMaster_Inputs[Baseline_Amount], tblMaster_Inputs[Year], 2028, tblMaster_Inputs[Treatment_Profile], "Trust_K1", tblMaster_Inputs[Activity_Type], "Baseline")</f>
        <v>0</v>
      </c>
      <c r="I14">
        <f>SUMIFS(tblMaster_Inputs[Baseline_Amount], tblMaster_Inputs[Year], 2023, tblMaster_Inputs[Treatment_Profile], "Trust_K1", tblMaster_Inputs[Activity_Type], "Strategy")</f>
        <v>0</v>
      </c>
      <c r="J14">
        <f>SUMIFS(tblMaster_Inputs[Baseline_Amount], tblMaster_Inputs[Year], 2024, tblMaster_Inputs[Treatment_Profile], "Trust_K1", tblMaster_Inputs[Activity_Type], "Strategy")</f>
        <v>0</v>
      </c>
      <c r="K14">
        <f>SUMIFS(tblMaster_Inputs[Baseline_Amount], tblMaster_Inputs[Year], 2025, tblMaster_Inputs[Treatment_Profile], "Trust_K1", tblMaster_Inputs[Activity_Type], "Strategy")</f>
        <v>0</v>
      </c>
      <c r="L14">
        <f>SUMIFS(tblMaster_Inputs[Baseline_Amount], tblMaster_Inputs[Year], 2026, tblMaster_Inputs[Treatment_Profile], "Trust_K1", tblMaster_Inputs[Activity_Type], "Strategy")</f>
        <v>0</v>
      </c>
      <c r="M14">
        <f>SUMIFS(tblMaster_Inputs[Baseline_Amount], tblMaster_Inputs[Year], 2027, tblMaster_Inputs[Treatment_Profile], "Trust_K1", tblMaster_Inputs[Activity_Type], "Strategy")</f>
        <v>0</v>
      </c>
      <c r="N14">
        <f>SUMIFS(tblMaster_Inputs[Baseline_Amount], tblMaster_Inputs[Year], 2028, tblMaster_Inputs[Treatment_Profile], "Trust_K1", tblMaster_Inputs[Activity_Type], "Strategy")</f>
        <v>0</v>
      </c>
      <c r="O14">
        <f>C14+I14</f>
        <v>0</v>
      </c>
      <c r="P14">
        <f>D14+J14</f>
        <v>0</v>
      </c>
      <c r="Q14">
        <f>E14+K14</f>
        <v>0</v>
      </c>
      <c r="R14">
        <f>F14+L14</f>
        <v>0</v>
      </c>
      <c r="S14">
        <f>G14+M14</f>
        <v>0</v>
      </c>
      <c r="T14">
        <f>H14+N14</f>
        <v>0</v>
      </c>
    </row>
    <row r="15" spans="1:20" x14ac:dyDescent="0.35">
      <c r="A15" s="5" t="s">
        <v>55</v>
      </c>
      <c r="B15" s="5" t="s">
        <v>545</v>
      </c>
      <c r="C15" s="5">
        <f t="shared" ref="C15:H15" si="0">C9+C10+C11+C12+C13+C14</f>
        <v>0</v>
      </c>
      <c r="D15" s="5">
        <f t="shared" si="0"/>
        <v>-100766</v>
      </c>
      <c r="E15" s="5">
        <f t="shared" si="0"/>
        <v>200000</v>
      </c>
      <c r="F15" s="5">
        <f t="shared" si="0"/>
        <v>0</v>
      </c>
      <c r="G15" s="5">
        <f t="shared" si="0"/>
        <v>0</v>
      </c>
      <c r="H15" s="5">
        <f t="shared" si="0"/>
        <v>0</v>
      </c>
      <c r="I15" s="5">
        <f>I9+I10+I11+I12+I13+I14</f>
        <v>0</v>
      </c>
      <c r="J15" s="5">
        <f>J9+J10+J11+J12+J13+J14</f>
        <v>0</v>
      </c>
      <c r="K15" s="5">
        <f>K9+K10+K11+K12+K13+K14</f>
        <v>-55000</v>
      </c>
      <c r="L15" s="5">
        <f>L9+L10+L11+L12+L13+L14</f>
        <v>0</v>
      </c>
      <c r="M15" s="5">
        <f>M9+M10+M11+M12+M13+M14</f>
        <v>0</v>
      </c>
      <c r="N15" s="5">
        <f>N9+N10+N11+N12+N13+N14</f>
        <v>0</v>
      </c>
      <c r="O15" s="5">
        <f>C15+I15</f>
        <v>0</v>
      </c>
      <c r="P15" s="5">
        <f>D15+J15</f>
        <v>-100766</v>
      </c>
      <c r="Q15" s="5">
        <f>E15+K15</f>
        <v>145000</v>
      </c>
      <c r="R15" s="5">
        <f>F15+L15</f>
        <v>0</v>
      </c>
      <c r="S15" s="5">
        <f>G15+M15</f>
        <v>0</v>
      </c>
      <c r="T15" s="5">
        <f>H15+N15</f>
        <v>0</v>
      </c>
    </row>
    <row r="16" spans="1:20" x14ac:dyDescent="0.35">
      <c r="A16" s="5" t="s">
        <v>60</v>
      </c>
      <c r="B16" s="5" t="s">
        <v>61</v>
      </c>
      <c r="C16" s="5">
        <f t="shared" ref="C16:H16" si="1">C5+C6+C7+C8+C15</f>
        <v>0</v>
      </c>
      <c r="D16" s="5">
        <f t="shared" si="1"/>
        <v>93291</v>
      </c>
      <c r="E16" s="5">
        <f t="shared" si="1"/>
        <v>335500</v>
      </c>
      <c r="F16" s="5">
        <f t="shared" si="1"/>
        <v>0</v>
      </c>
      <c r="G16" s="5">
        <f t="shared" si="1"/>
        <v>0</v>
      </c>
      <c r="H16" s="5">
        <f t="shared" si="1"/>
        <v>0</v>
      </c>
      <c r="I16" s="5">
        <f>I5+I6+I7+I8+I15</f>
        <v>0</v>
      </c>
      <c r="J16" s="5">
        <f>J5+J6+J7+J8+J15</f>
        <v>0</v>
      </c>
      <c r="K16" s="5">
        <f>K5+K6+K7+K8+K15</f>
        <v>-80000</v>
      </c>
      <c r="L16" s="5">
        <f>L5+L6+L7+L8+L15</f>
        <v>0</v>
      </c>
      <c r="M16" s="5">
        <f>M5+M6+M7+M8+M15</f>
        <v>0</v>
      </c>
      <c r="N16" s="5">
        <f>N5+N6+N7+N8+N15</f>
        <v>0</v>
      </c>
      <c r="O16" s="5">
        <f>C16+I16</f>
        <v>0</v>
      </c>
      <c r="P16" s="5">
        <f>D16+J16</f>
        <v>93291</v>
      </c>
      <c r="Q16" s="5">
        <f>E16+K16</f>
        <v>255500</v>
      </c>
      <c r="R16" s="5">
        <f>F16+L16</f>
        <v>0</v>
      </c>
      <c r="S16" s="5">
        <f>G16+M16</f>
        <v>0</v>
      </c>
      <c r="T16" s="5">
        <f>H16+N16</f>
        <v>0</v>
      </c>
    </row>
    <row r="17" spans="1:20" x14ac:dyDescent="0.35">
      <c r="A17" t="s">
        <v>65</v>
      </c>
      <c r="B17" t="s">
        <v>66</v>
      </c>
      <c r="C17">
        <f>SUMIFS(tblMaster_Inputs[Baseline_Amount], tblMaster_Inputs[Year], 2023, tblMaster_Inputs[Primary_Line], "10", tblMaster_Inputs[Activity_Type], "Baseline")</f>
        <v>0</v>
      </c>
      <c r="D17">
        <f>SUMIFS(tblMaster_Inputs[Baseline_Amount], tblMaster_Inputs[Year], 2024, tblMaster_Inputs[Primary_Line], "10", tblMaster_Inputs[Activity_Type], "Baseline")</f>
        <v>0</v>
      </c>
      <c r="E17">
        <f>SUMIFS(tblMaster_Inputs[Baseline_Amount], tblMaster_Inputs[Year], 2025, tblMaster_Inputs[Primary_Line], "10", tblMaster_Inputs[Activity_Type], "Baseline")</f>
        <v>0</v>
      </c>
      <c r="F17">
        <f>SUMIFS(tblMaster_Inputs[Baseline_Amount], tblMaster_Inputs[Year], 2026, tblMaster_Inputs[Primary_Line], "10", tblMaster_Inputs[Activity_Type], "Baseline")</f>
        <v>0</v>
      </c>
      <c r="G17">
        <f>SUMIFS(tblMaster_Inputs[Baseline_Amount], tblMaster_Inputs[Year], 2027, tblMaster_Inputs[Primary_Line], "10", tblMaster_Inputs[Activity_Type], "Baseline")</f>
        <v>0</v>
      </c>
      <c r="H17">
        <f>SUMIFS(tblMaster_Inputs[Baseline_Amount], tblMaster_Inputs[Year], 2028, tblMaster_Inputs[Primary_Line], "10", tblMaster_Inputs[Activity_Type], "Baseline")</f>
        <v>0</v>
      </c>
      <c r="I17">
        <f>SUMIFS(tblMaster_Inputs[Baseline_Amount], tblMaster_Inputs[Year], 2023, tblMaster_Inputs[Primary_Line], "10", tblMaster_Inputs[Activity_Type], "Strategy")</f>
        <v>0</v>
      </c>
      <c r="J17">
        <f>SUMIFS(tblMaster_Inputs[Baseline_Amount], tblMaster_Inputs[Year], 2024, tblMaster_Inputs[Primary_Line], "10", tblMaster_Inputs[Activity_Type], "Strategy")</f>
        <v>0</v>
      </c>
      <c r="K17">
        <f>SUMIFS(tblMaster_Inputs[Baseline_Amount], tblMaster_Inputs[Year], 2025, tblMaster_Inputs[Primary_Line], "10", tblMaster_Inputs[Activity_Type], "Strategy")</f>
        <v>-8550</v>
      </c>
      <c r="L17">
        <f>SUMIFS(tblMaster_Inputs[Baseline_Amount], tblMaster_Inputs[Year], 2026, tblMaster_Inputs[Primary_Line], "10", tblMaster_Inputs[Activity_Type], "Strategy")</f>
        <v>0</v>
      </c>
      <c r="M17">
        <f>SUMIFS(tblMaster_Inputs[Baseline_Amount], tblMaster_Inputs[Year], 2027, tblMaster_Inputs[Primary_Line], "10", tblMaster_Inputs[Activity_Type], "Strategy")</f>
        <v>0</v>
      </c>
      <c r="N17">
        <f>SUMIFS(tblMaster_Inputs[Baseline_Amount], tblMaster_Inputs[Year], 2028, tblMaster_Inputs[Primary_Line], "10", tblMaster_Inputs[Activity_Type], "Strategy")</f>
        <v>0</v>
      </c>
      <c r="O17">
        <f>C17+I17</f>
        <v>0</v>
      </c>
      <c r="P17">
        <f>D17+J17</f>
        <v>0</v>
      </c>
      <c r="Q17">
        <f>E17+K17</f>
        <v>-8550</v>
      </c>
      <c r="R17">
        <f>F17+L17</f>
        <v>0</v>
      </c>
      <c r="S17">
        <f>G17+M17</f>
        <v>0</v>
      </c>
      <c r="T17">
        <f>H17+N17</f>
        <v>0</v>
      </c>
    </row>
    <row r="18" spans="1:20" x14ac:dyDescent="0.35">
      <c r="A18" s="5" t="s">
        <v>70</v>
      </c>
      <c r="B18" s="5" t="s">
        <v>71</v>
      </c>
      <c r="C18" s="5">
        <f t="shared" ref="C18:H18" si="2">C16+C17</f>
        <v>0</v>
      </c>
      <c r="D18" s="5">
        <f t="shared" si="2"/>
        <v>93291</v>
      </c>
      <c r="E18" s="5">
        <f t="shared" si="2"/>
        <v>335500</v>
      </c>
      <c r="F18" s="5">
        <f t="shared" si="2"/>
        <v>0</v>
      </c>
      <c r="G18" s="5">
        <f t="shared" si="2"/>
        <v>0</v>
      </c>
      <c r="H18" s="5">
        <f t="shared" si="2"/>
        <v>0</v>
      </c>
      <c r="I18" s="5">
        <f>I16+I17</f>
        <v>0</v>
      </c>
      <c r="J18" s="5">
        <f>J16+J17</f>
        <v>0</v>
      </c>
      <c r="K18" s="5">
        <f>K16+K17</f>
        <v>-88550</v>
      </c>
      <c r="L18" s="5">
        <f>L16+L17</f>
        <v>0</v>
      </c>
      <c r="M18" s="5">
        <f>M16+M17</f>
        <v>0</v>
      </c>
      <c r="N18" s="5">
        <f>N16+N17</f>
        <v>0</v>
      </c>
      <c r="O18" s="5">
        <f>C18+I18</f>
        <v>0</v>
      </c>
      <c r="P18" s="5">
        <f>D18+J18</f>
        <v>93291</v>
      </c>
      <c r="Q18" s="5">
        <f>E18+K18</f>
        <v>246950</v>
      </c>
      <c r="R18" s="5">
        <f>F18+L18</f>
        <v>0</v>
      </c>
      <c r="S18" s="5">
        <f>G18+M18</f>
        <v>0</v>
      </c>
      <c r="T18" s="5">
        <f>H18+N18</f>
        <v>0</v>
      </c>
    </row>
    <row r="19" spans="1:20" x14ac:dyDescent="0.35">
      <c r="A19" t="s">
        <v>75</v>
      </c>
      <c r="B19" t="s">
        <v>76</v>
      </c>
      <c r="C19">
        <f>SUMIFS(tblMaster_Inputs[Baseline_Amount], tblMaster_Inputs[Year], 2023, tblMaster_Inputs[Primary_Line], "12", tblMaster_Inputs[Activity_Type], "Baseline")</f>
        <v>0</v>
      </c>
      <c r="D19">
        <f>SUMIFS(tblMaster_Inputs[Baseline_Amount], tblMaster_Inputs[Year], 2024, tblMaster_Inputs[Primary_Line], "12", tblMaster_Inputs[Activity_Type], "Baseline")</f>
        <v>0</v>
      </c>
      <c r="E19">
        <f>SUMIFS(tblMaster_Inputs[Baseline_Amount], tblMaster_Inputs[Year], 2025, tblMaster_Inputs[Primary_Line], "12", tblMaster_Inputs[Activity_Type], "Baseline")</f>
        <v>-10000</v>
      </c>
      <c r="F19">
        <f>SUMIFS(tblMaster_Inputs[Baseline_Amount], tblMaster_Inputs[Year], 2026, tblMaster_Inputs[Primary_Line], "12", tblMaster_Inputs[Activity_Type], "Baseline")</f>
        <v>0</v>
      </c>
      <c r="G19">
        <f>SUMIFS(tblMaster_Inputs[Baseline_Amount], tblMaster_Inputs[Year], 2027, tblMaster_Inputs[Primary_Line], "12", tblMaster_Inputs[Activity_Type], "Baseline")</f>
        <v>0</v>
      </c>
      <c r="H19">
        <f>SUMIFS(tblMaster_Inputs[Baseline_Amount], tblMaster_Inputs[Year], 2028, tblMaster_Inputs[Primary_Line], "12", tblMaster_Inputs[Activity_Type], "Baseline")</f>
        <v>0</v>
      </c>
      <c r="I19">
        <f>SUMIFS(tblMaster_Inputs[Baseline_Amount], tblMaster_Inputs[Year], 2023, tblMaster_Inputs[Primary_Line], "12", tblMaster_Inputs[Activity_Type], "Strategy")</f>
        <v>0</v>
      </c>
      <c r="J19">
        <f>SUMIFS(tblMaster_Inputs[Baseline_Amount], tblMaster_Inputs[Year], 2024, tblMaster_Inputs[Primary_Line], "12", tblMaster_Inputs[Activity_Type], "Strategy")</f>
        <v>0</v>
      </c>
      <c r="K19">
        <f>SUMIFS(tblMaster_Inputs[Baseline_Amount], tblMaster_Inputs[Year], 2025, tblMaster_Inputs[Primary_Line], "12", tblMaster_Inputs[Activity_Type], "Strategy")</f>
        <v>0</v>
      </c>
      <c r="L19">
        <f>SUMIFS(tblMaster_Inputs[Baseline_Amount], tblMaster_Inputs[Year], 2026, tblMaster_Inputs[Primary_Line], "12", tblMaster_Inputs[Activity_Type], "Strategy")</f>
        <v>0</v>
      </c>
      <c r="M19">
        <f>SUMIFS(tblMaster_Inputs[Baseline_Amount], tblMaster_Inputs[Year], 2027, tblMaster_Inputs[Primary_Line], "12", tblMaster_Inputs[Activity_Type], "Strategy")</f>
        <v>0</v>
      </c>
      <c r="N19">
        <f>SUMIFS(tblMaster_Inputs[Baseline_Amount], tblMaster_Inputs[Year], 2028, tblMaster_Inputs[Primary_Line], "12", tblMaster_Inputs[Activity_Type], "Strategy")</f>
        <v>0</v>
      </c>
      <c r="O19">
        <f>C19+I19</f>
        <v>0</v>
      </c>
      <c r="P19">
        <f>D19+J19</f>
        <v>0</v>
      </c>
      <c r="Q19">
        <f>E19+K19</f>
        <v>-10000</v>
      </c>
      <c r="R19">
        <f>F19+L19</f>
        <v>0</v>
      </c>
      <c r="S19">
        <f>G19+M19</f>
        <v>0</v>
      </c>
      <c r="T19">
        <f>H19+N19</f>
        <v>0</v>
      </c>
    </row>
    <row r="20" spans="1:20" x14ac:dyDescent="0.35">
      <c r="A20" t="s">
        <v>80</v>
      </c>
      <c r="B20" t="s">
        <v>81</v>
      </c>
      <c r="C20">
        <f>SUMIFS(tblMaster_Inputs[Baseline_Amount], tblMaster_Inputs[Year], 2023, tblMaster_Inputs[Primary_Line], "13", tblMaster_Inputs[Activity_Type], "Baseline")</f>
        <v>0</v>
      </c>
      <c r="D20">
        <f>SUMIFS(tblMaster_Inputs[Baseline_Amount], tblMaster_Inputs[Year], 2024, tblMaster_Inputs[Primary_Line], "13", tblMaster_Inputs[Activity_Type], "Baseline")</f>
        <v>0</v>
      </c>
      <c r="E20">
        <f>SUMIFS(tblMaster_Inputs[Baseline_Amount], tblMaster_Inputs[Year], 2025, tblMaster_Inputs[Primary_Line], "13", tblMaster_Inputs[Activity_Type], "Baseline")</f>
        <v>0</v>
      </c>
      <c r="F20">
        <f>SUMIFS(tblMaster_Inputs[Baseline_Amount], tblMaster_Inputs[Year], 2026, tblMaster_Inputs[Primary_Line], "13", tblMaster_Inputs[Activity_Type], "Baseline")</f>
        <v>0</v>
      </c>
      <c r="G20">
        <f>SUMIFS(tblMaster_Inputs[Baseline_Amount], tblMaster_Inputs[Year], 2027, tblMaster_Inputs[Primary_Line], "13", tblMaster_Inputs[Activity_Type], "Baseline")</f>
        <v>0</v>
      </c>
      <c r="H20">
        <f>SUMIFS(tblMaster_Inputs[Baseline_Amount], tblMaster_Inputs[Year], 2028, tblMaster_Inputs[Primary_Line], "13", tblMaster_Inputs[Activity_Type], "Baseline")</f>
        <v>0</v>
      </c>
      <c r="I20">
        <f>SUMIFS(tblMaster_Inputs[Baseline_Amount], tblMaster_Inputs[Year], 2023, tblMaster_Inputs[Primary_Line], "13", tblMaster_Inputs[Activity_Type], "Strategy")</f>
        <v>0</v>
      </c>
      <c r="J20">
        <f>SUMIFS(tblMaster_Inputs[Baseline_Amount], tblMaster_Inputs[Year], 2024, tblMaster_Inputs[Primary_Line], "13", tblMaster_Inputs[Activity_Type], "Strategy")</f>
        <v>0</v>
      </c>
      <c r="K20">
        <f>SUMIFS(tblMaster_Inputs[Baseline_Amount], tblMaster_Inputs[Year], 2025, tblMaster_Inputs[Primary_Line], "13", tblMaster_Inputs[Activity_Type], "Strategy")</f>
        <v>0</v>
      </c>
      <c r="L20">
        <f>SUMIFS(tblMaster_Inputs[Baseline_Amount], tblMaster_Inputs[Year], 2026, tblMaster_Inputs[Primary_Line], "13", tblMaster_Inputs[Activity_Type], "Strategy")</f>
        <v>0</v>
      </c>
      <c r="M20">
        <f>SUMIFS(tblMaster_Inputs[Baseline_Amount], tblMaster_Inputs[Year], 2027, tblMaster_Inputs[Primary_Line], "13", tblMaster_Inputs[Activity_Type], "Strategy")</f>
        <v>0</v>
      </c>
      <c r="N20">
        <f>SUMIFS(tblMaster_Inputs[Baseline_Amount], tblMaster_Inputs[Year], 2028, tblMaster_Inputs[Primary_Line], "13", tblMaster_Inputs[Activity_Type], "Strategy")</f>
        <v>0</v>
      </c>
      <c r="O20">
        <f>C20+I20</f>
        <v>0</v>
      </c>
      <c r="P20">
        <f>D20+J20</f>
        <v>0</v>
      </c>
      <c r="Q20">
        <f>E20+K20</f>
        <v>0</v>
      </c>
      <c r="R20">
        <f>F20+L20</f>
        <v>0</v>
      </c>
      <c r="S20">
        <f>G20+M20</f>
        <v>0</v>
      </c>
      <c r="T20">
        <f>H20+N20</f>
        <v>0</v>
      </c>
    </row>
    <row r="21" spans="1:20" x14ac:dyDescent="0.35">
      <c r="A21" s="5" t="s">
        <v>85</v>
      </c>
      <c r="B21" s="5" t="s">
        <v>86</v>
      </c>
      <c r="C21" s="5">
        <f t="shared" ref="C21:H21" si="3">C18+C19+C20</f>
        <v>0</v>
      </c>
      <c r="D21" s="5">
        <f t="shared" si="3"/>
        <v>93291</v>
      </c>
      <c r="E21" s="5">
        <f t="shared" si="3"/>
        <v>325500</v>
      </c>
      <c r="F21" s="5">
        <f t="shared" si="3"/>
        <v>0</v>
      </c>
      <c r="G21" s="5">
        <f t="shared" si="3"/>
        <v>0</v>
      </c>
      <c r="H21" s="5">
        <f t="shared" si="3"/>
        <v>0</v>
      </c>
      <c r="I21" s="5">
        <f>I18+I19+I20</f>
        <v>0</v>
      </c>
      <c r="J21" s="5">
        <f>J18+J19+J20</f>
        <v>0</v>
      </c>
      <c r="K21" s="5">
        <f>K18+K19+K20</f>
        <v>-88550</v>
      </c>
      <c r="L21" s="5">
        <f>L18+L19+L20</f>
        <v>0</v>
      </c>
      <c r="M21" s="5">
        <f>M18+M19+M20</f>
        <v>0</v>
      </c>
      <c r="N21" s="5">
        <f>N18+N19+N20</f>
        <v>0</v>
      </c>
      <c r="O21" s="5">
        <f>C21+I21</f>
        <v>0</v>
      </c>
      <c r="P21" s="5">
        <f>D21+J21</f>
        <v>93291</v>
      </c>
      <c r="Q21" s="5">
        <f>E21+K21</f>
        <v>236950</v>
      </c>
      <c r="R21" s="5">
        <f>F21+L21</f>
        <v>0</v>
      </c>
      <c r="S21" s="5">
        <f>G21+M21</f>
        <v>0</v>
      </c>
      <c r="T21" s="5">
        <f>H21+N21</f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8080"/>
  </sheetPr>
  <dimension ref="A1:T1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0" customWidth="1"/>
    <col min="3" max="8" width="14" customWidth="1"/>
  </cols>
  <sheetData>
    <row r="1" spans="1:20" ht="18.5" customHeight="1" x14ac:dyDescent="0.45">
      <c r="A1" s="1" t="s">
        <v>546</v>
      </c>
    </row>
    <row r="2" spans="1:20" x14ac:dyDescent="0.35">
      <c r="A2" s="2" t="s">
        <v>547</v>
      </c>
    </row>
    <row r="3" spans="1:20" x14ac:dyDescent="0.35">
      <c r="I3" s="13" t="s">
        <v>338</v>
      </c>
      <c r="O3" s="13" t="s">
        <v>16</v>
      </c>
    </row>
    <row r="4" spans="1:20" x14ac:dyDescent="0.35">
      <c r="A4" s="3" t="s">
        <v>10</v>
      </c>
      <c r="B4" s="3" t="s">
        <v>11</v>
      </c>
      <c r="C4" s="3" t="s">
        <v>518</v>
      </c>
      <c r="D4" s="3" t="s">
        <v>519</v>
      </c>
      <c r="E4" s="3" t="s">
        <v>520</v>
      </c>
      <c r="F4" s="3" t="s">
        <v>521</v>
      </c>
      <c r="G4" s="3" t="s">
        <v>522</v>
      </c>
      <c r="H4" s="3" t="s">
        <v>523</v>
      </c>
      <c r="I4" s="3">
        <v>2023</v>
      </c>
      <c r="J4" s="3">
        <v>2024</v>
      </c>
      <c r="K4" s="3">
        <v>2025</v>
      </c>
      <c r="L4" s="3">
        <v>2026</v>
      </c>
      <c r="M4" s="3">
        <v>2027</v>
      </c>
      <c r="N4" s="3">
        <v>2028</v>
      </c>
      <c r="O4" s="3">
        <v>2023</v>
      </c>
      <c r="P4" s="3">
        <v>2024</v>
      </c>
      <c r="Q4" s="3">
        <v>2025</v>
      </c>
      <c r="R4" s="3">
        <v>2026</v>
      </c>
      <c r="S4" s="3">
        <v>2027</v>
      </c>
      <c r="T4" s="3">
        <v>2028</v>
      </c>
    </row>
    <row r="5" spans="1:20" x14ac:dyDescent="0.35">
      <c r="A5" t="s">
        <v>21</v>
      </c>
      <c r="B5" t="s">
        <v>24</v>
      </c>
      <c r="C5">
        <f>SUMIFS(tblMaster_Inputs[Baseline_Amount], tblMaster_Inputs[Year], 2023, tblMaster_Inputs[Primary_Line], "1z", tblMaster_Inputs[Activity_Type], "Baseline")</f>
        <v>0</v>
      </c>
      <c r="D5">
        <f>SUMIFS(tblMaster_Inputs[Baseline_Amount], tblMaster_Inputs[Year], 2024, tblMaster_Inputs[Primary_Line], "1z", tblMaster_Inputs[Activity_Type], "Baseline")</f>
        <v>153648</v>
      </c>
      <c r="E5">
        <f>SUMIFS(tblMaster_Inputs[Baseline_Amount], tblMaster_Inputs[Year], 2025, tblMaster_Inputs[Primary_Line], "1z", tblMaster_Inputs[Activity_Type], "Baseline")</f>
        <v>100000</v>
      </c>
      <c r="F5">
        <f>SUMIFS(tblMaster_Inputs[Baseline_Amount], tblMaster_Inputs[Year], 2026, tblMaster_Inputs[Primary_Line], "1z", tblMaster_Inputs[Activity_Type], "Baseline")</f>
        <v>0</v>
      </c>
      <c r="G5">
        <f>SUMIFS(tblMaster_Inputs[Baseline_Amount], tblMaster_Inputs[Year], 2027, tblMaster_Inputs[Primary_Line], "1z", tblMaster_Inputs[Activity_Type], "Baseline")</f>
        <v>0</v>
      </c>
      <c r="H5">
        <f>SUMIFS(tblMaster_Inputs[Baseline_Amount], tblMaster_Inputs[Year], 2028, tblMaster_Inputs[Primary_Line], "1z", tblMaster_Inputs[Activity_Type], "Baseline")</f>
        <v>0</v>
      </c>
      <c r="I5">
        <f>SUMIFS(tblMaster_Inputs[Baseline_Amount], tblMaster_Inputs[Year], 2023, tblMaster_Inputs[Primary_Line], "1z", tblMaster_Inputs[Activity_Type], "Strategy")</f>
        <v>0</v>
      </c>
      <c r="J5">
        <f>SUMIFS(tblMaster_Inputs[Baseline_Amount], tblMaster_Inputs[Year], 2024, tblMaster_Inputs[Primary_Line], "1z", tblMaster_Inputs[Activity_Type], "Strategy")</f>
        <v>0</v>
      </c>
      <c r="K5">
        <f>SUMIFS(tblMaster_Inputs[Baseline_Amount], tblMaster_Inputs[Year], 2025, tblMaster_Inputs[Primary_Line], "1z", tblMaster_Inputs[Activity_Type], "Strategy")</f>
        <v>-25000</v>
      </c>
      <c r="L5">
        <f>SUMIFS(tblMaster_Inputs[Baseline_Amount], tblMaster_Inputs[Year], 2026, tblMaster_Inputs[Primary_Line], "1z", tblMaster_Inputs[Activity_Type], "Strategy")</f>
        <v>0</v>
      </c>
      <c r="M5">
        <f>SUMIFS(tblMaster_Inputs[Baseline_Amount], tblMaster_Inputs[Year], 2027, tblMaster_Inputs[Primary_Line], "1z", tblMaster_Inputs[Activity_Type], "Strategy")</f>
        <v>0</v>
      </c>
      <c r="N5">
        <f>SUMIFS(tblMaster_Inputs[Baseline_Amount], tblMaster_Inputs[Year], 2028, tblMaster_Inputs[Primary_Line], "1z", tblMaster_Inputs[Activity_Type], "Strategy")</f>
        <v>0</v>
      </c>
      <c r="O5">
        <f>C5+I5</f>
        <v>0</v>
      </c>
      <c r="P5">
        <f>D5+J5</f>
        <v>153648</v>
      </c>
      <c r="Q5">
        <f>E5+K5</f>
        <v>75000</v>
      </c>
      <c r="R5">
        <f>F5+L5</f>
        <v>0</v>
      </c>
      <c r="S5">
        <f>G5+M5</f>
        <v>0</v>
      </c>
      <c r="T5">
        <f>H5+N5</f>
        <v>0</v>
      </c>
    </row>
    <row r="6" spans="1:20" x14ac:dyDescent="0.35">
      <c r="A6" t="s">
        <v>28</v>
      </c>
      <c r="B6" s="6" t="s">
        <v>548</v>
      </c>
      <c r="C6">
        <f>SUMIFS(tblMaster_Inputs[Helper_Amount], tblMaster_Inputs[Year], 2023, tblMaster_Inputs[Helper_Treatment], "TAX_EXEMPT", tblMaster_Inputs[Activity_Type], "Baseline")</f>
        <v>0</v>
      </c>
      <c r="D6">
        <f>SUMIFS(tblMaster_Inputs[Helper_Amount], tblMaster_Inputs[Year], 2024, tblMaster_Inputs[Helper_Treatment], "TAX_EXEMPT", tblMaster_Inputs[Activity_Type], "Baseline")</f>
        <v>0</v>
      </c>
      <c r="E6">
        <f>SUMIFS(tblMaster_Inputs[Helper_Amount], tblMaster_Inputs[Year], 2025, tblMaster_Inputs[Helper_Treatment], "TAX_EXEMPT", tblMaster_Inputs[Activity_Type], "Baseline")</f>
        <v>0</v>
      </c>
      <c r="F6">
        <f>SUMIFS(tblMaster_Inputs[Helper_Amount], tblMaster_Inputs[Year], 2026, tblMaster_Inputs[Helper_Treatment], "TAX_EXEMPT", tblMaster_Inputs[Activity_Type], "Baseline")</f>
        <v>0</v>
      </c>
      <c r="G6">
        <f>SUMIFS(tblMaster_Inputs[Helper_Amount], tblMaster_Inputs[Year], 2027, tblMaster_Inputs[Helper_Treatment], "TAX_EXEMPT", tblMaster_Inputs[Activity_Type], "Baseline")</f>
        <v>0</v>
      </c>
      <c r="H6">
        <f>SUMIFS(tblMaster_Inputs[Helper_Amount], tblMaster_Inputs[Year], 2028, tblMaster_Inputs[Helper_Treatment], "TAX_EXEMPT", tblMaster_Inputs[Activity_Type], "Baseline")</f>
        <v>0</v>
      </c>
      <c r="I6">
        <f>SUMIFS(tblMaster_Inputs[Helper_Amount], tblMaster_Inputs[Year], 2023, tblMaster_Inputs[Helper_Treatment], "TAX_EXEMPT", tblMaster_Inputs[Activity_Type], "Strategy")</f>
        <v>0</v>
      </c>
      <c r="J6">
        <f>SUMIFS(tblMaster_Inputs[Helper_Amount], tblMaster_Inputs[Year], 2024, tblMaster_Inputs[Helper_Treatment], "TAX_EXEMPT", tblMaster_Inputs[Activity_Type], "Strategy")</f>
        <v>0</v>
      </c>
      <c r="K6">
        <f>SUMIFS(tblMaster_Inputs[Helper_Amount], tblMaster_Inputs[Year], 2025, tblMaster_Inputs[Helper_Treatment], "TAX_EXEMPT", tblMaster_Inputs[Activity_Type], "Strategy")</f>
        <v>0</v>
      </c>
      <c r="L6">
        <f>SUMIFS(tblMaster_Inputs[Helper_Amount], tblMaster_Inputs[Year], 2026, tblMaster_Inputs[Helper_Treatment], "TAX_EXEMPT", tblMaster_Inputs[Activity_Type], "Strategy")</f>
        <v>0</v>
      </c>
      <c r="M6">
        <f>SUMIFS(tblMaster_Inputs[Helper_Amount], tblMaster_Inputs[Year], 2027, tblMaster_Inputs[Helper_Treatment], "TAX_EXEMPT", tblMaster_Inputs[Activity_Type], "Strategy")</f>
        <v>0</v>
      </c>
      <c r="N6">
        <f>SUMIFS(tblMaster_Inputs[Helper_Amount], tblMaster_Inputs[Year], 2028, tblMaster_Inputs[Helper_Treatment], "TAX_EXEMPT", tblMaster_Inputs[Activity_Type], "Strategy")</f>
        <v>0</v>
      </c>
      <c r="O6">
        <f>C6+I6</f>
        <v>0</v>
      </c>
      <c r="P6">
        <f>D6+J6</f>
        <v>0</v>
      </c>
      <c r="Q6">
        <f>E6+K6</f>
        <v>0</v>
      </c>
      <c r="R6">
        <f>F6+L6</f>
        <v>0</v>
      </c>
      <c r="S6">
        <f>G6+M6</f>
        <v>0</v>
      </c>
      <c r="T6">
        <f>H6+N6</f>
        <v>0</v>
      </c>
    </row>
    <row r="7" spans="1:20" x14ac:dyDescent="0.35">
      <c r="A7" t="s">
        <v>34</v>
      </c>
      <c r="B7" t="s">
        <v>35</v>
      </c>
      <c r="C7">
        <f>SUMIFS(tblMaster_Inputs[Baseline_Amount], tblMaster_Inputs[Year], 2023, tblMaster_Inputs[Primary_Line], "2b", tblMaster_Inputs[Activity_Type], "Baseline")</f>
        <v>0</v>
      </c>
      <c r="D7">
        <f>SUMIFS(tblMaster_Inputs[Baseline_Amount], tblMaster_Inputs[Year], 2024, tblMaster_Inputs[Primary_Line], "2b", tblMaster_Inputs[Activity_Type], "Baseline")</f>
        <v>0</v>
      </c>
      <c r="E7">
        <f>SUMIFS(tblMaster_Inputs[Baseline_Amount], tblMaster_Inputs[Year], 2025, tblMaster_Inputs[Primary_Line], "2b", tblMaster_Inputs[Activity_Type], "Baseline")</f>
        <v>500</v>
      </c>
      <c r="F7">
        <f>SUMIFS(tblMaster_Inputs[Baseline_Amount], tblMaster_Inputs[Year], 2026, tblMaster_Inputs[Primary_Line], "2b", tblMaster_Inputs[Activity_Type], "Baseline")</f>
        <v>0</v>
      </c>
      <c r="G7">
        <f>SUMIFS(tblMaster_Inputs[Baseline_Amount], tblMaster_Inputs[Year], 2027, tblMaster_Inputs[Primary_Line], "2b", tblMaster_Inputs[Activity_Type], "Baseline")</f>
        <v>0</v>
      </c>
      <c r="H7">
        <f>SUMIFS(tblMaster_Inputs[Baseline_Amount], tblMaster_Inputs[Year], 2028, tblMaster_Inputs[Primary_Line], "2b", tblMaster_Inputs[Activity_Type], "Baseline")</f>
        <v>0</v>
      </c>
      <c r="I7">
        <f>SUMIFS(tblMaster_Inputs[Baseline_Amount], tblMaster_Inputs[Year], 2023, tblMaster_Inputs[Primary_Line], "2b", tblMaster_Inputs[Activity_Type], "Strategy")</f>
        <v>0</v>
      </c>
      <c r="J7">
        <f>SUMIFS(tblMaster_Inputs[Baseline_Amount], tblMaster_Inputs[Year], 2024, tblMaster_Inputs[Primary_Line], "2b", tblMaster_Inputs[Activity_Type], "Strategy")</f>
        <v>0</v>
      </c>
      <c r="K7">
        <f>SUMIFS(tblMaster_Inputs[Baseline_Amount], tblMaster_Inputs[Year], 2025, tblMaster_Inputs[Primary_Line], "2b", tblMaster_Inputs[Activity_Type], "Strategy")</f>
        <v>0</v>
      </c>
      <c r="L7">
        <f>SUMIFS(tblMaster_Inputs[Baseline_Amount], tblMaster_Inputs[Year], 2026, tblMaster_Inputs[Primary_Line], "2b", tblMaster_Inputs[Activity_Type], "Strategy")</f>
        <v>0</v>
      </c>
      <c r="M7">
        <f>SUMIFS(tblMaster_Inputs[Baseline_Amount], tblMaster_Inputs[Year], 2027, tblMaster_Inputs[Primary_Line], "2b", tblMaster_Inputs[Activity_Type], "Strategy")</f>
        <v>0</v>
      </c>
      <c r="N7">
        <f>SUMIFS(tblMaster_Inputs[Baseline_Amount], tblMaster_Inputs[Year], 2028, tblMaster_Inputs[Primary_Line], "2b", tblMaster_Inputs[Activity_Type], "Strategy")</f>
        <v>0</v>
      </c>
      <c r="O7">
        <f>C7+I7</f>
        <v>0</v>
      </c>
      <c r="P7">
        <f>D7+J7</f>
        <v>0</v>
      </c>
      <c r="Q7">
        <f>E7+K7</f>
        <v>500</v>
      </c>
      <c r="R7">
        <f>F7+L7</f>
        <v>0</v>
      </c>
      <c r="S7">
        <f>G7+M7</f>
        <v>0</v>
      </c>
      <c r="T7">
        <f>H7+N7</f>
        <v>0</v>
      </c>
    </row>
    <row r="8" spans="1:20" x14ac:dyDescent="0.35">
      <c r="A8" t="s">
        <v>40</v>
      </c>
      <c r="B8" s="6" t="s">
        <v>549</v>
      </c>
      <c r="C8">
        <f>SUMIFS(tblMaster_Inputs[Helper_Amount], tblMaster_Inputs[Year], 2023, tblMaster_Inputs[Helper_Treatment], "QUAL_DIV", tblMaster_Inputs[Activity_Type], "Baseline")</f>
        <v>0</v>
      </c>
      <c r="D8">
        <f>SUMIFS(tblMaster_Inputs[Helper_Amount], tblMaster_Inputs[Year], 2024, tblMaster_Inputs[Helper_Treatment], "QUAL_DIV", tblMaster_Inputs[Activity_Type], "Baseline")</f>
        <v>0</v>
      </c>
      <c r="E8">
        <f>SUMIFS(tblMaster_Inputs[Helper_Amount], tblMaster_Inputs[Year], 2025, tblMaster_Inputs[Helper_Treatment], "QUAL_DIV", tblMaster_Inputs[Activity_Type], "Baseline")</f>
        <v>7000</v>
      </c>
      <c r="F8">
        <f>SUMIFS(tblMaster_Inputs[Helper_Amount], tblMaster_Inputs[Year], 2026, tblMaster_Inputs[Helper_Treatment], "QUAL_DIV", tblMaster_Inputs[Activity_Type], "Baseline")</f>
        <v>0</v>
      </c>
      <c r="G8">
        <f>SUMIFS(tblMaster_Inputs[Helper_Amount], tblMaster_Inputs[Year], 2027, tblMaster_Inputs[Helper_Treatment], "QUAL_DIV", tblMaster_Inputs[Activity_Type], "Baseline")</f>
        <v>0</v>
      </c>
      <c r="H8">
        <f>SUMIFS(tblMaster_Inputs[Helper_Amount], tblMaster_Inputs[Year], 2028, tblMaster_Inputs[Helper_Treatment], "QUAL_DIV", tblMaster_Inputs[Activity_Type], "Baseline")</f>
        <v>0</v>
      </c>
      <c r="I8">
        <f>SUMIFS(tblMaster_Inputs[Helper_Amount], tblMaster_Inputs[Year], 2023, tblMaster_Inputs[Helper_Treatment], "QUAL_DIV", tblMaster_Inputs[Activity_Type], "Strategy")</f>
        <v>0</v>
      </c>
      <c r="J8">
        <f>SUMIFS(tblMaster_Inputs[Helper_Amount], tblMaster_Inputs[Year], 2024, tblMaster_Inputs[Helper_Treatment], "QUAL_DIV", tblMaster_Inputs[Activity_Type], "Strategy")</f>
        <v>0</v>
      </c>
      <c r="K8">
        <f>SUMIFS(tblMaster_Inputs[Helper_Amount], tblMaster_Inputs[Year], 2025, tblMaster_Inputs[Helper_Treatment], "QUAL_DIV", tblMaster_Inputs[Activity_Type], "Strategy")</f>
        <v>0</v>
      </c>
      <c r="L8">
        <f>SUMIFS(tblMaster_Inputs[Helper_Amount], tblMaster_Inputs[Year], 2026, tblMaster_Inputs[Helper_Treatment], "QUAL_DIV", tblMaster_Inputs[Activity_Type], "Strategy")</f>
        <v>0</v>
      </c>
      <c r="M8">
        <f>SUMIFS(tblMaster_Inputs[Helper_Amount], tblMaster_Inputs[Year], 2027, tblMaster_Inputs[Helper_Treatment], "QUAL_DIV", tblMaster_Inputs[Activity_Type], "Strategy")</f>
        <v>0</v>
      </c>
      <c r="N8">
        <f>SUMIFS(tblMaster_Inputs[Helper_Amount], tblMaster_Inputs[Year], 2028, tblMaster_Inputs[Helper_Treatment], "QUAL_DIV", tblMaster_Inputs[Activity_Type], "Strategy")</f>
        <v>0</v>
      </c>
      <c r="O8">
        <f>C8+I8</f>
        <v>0</v>
      </c>
      <c r="P8">
        <f>D8+J8</f>
        <v>0</v>
      </c>
      <c r="Q8">
        <f>E8+K8</f>
        <v>7000</v>
      </c>
      <c r="R8">
        <f>F8+L8</f>
        <v>0</v>
      </c>
      <c r="S8">
        <f>G8+M8</f>
        <v>0</v>
      </c>
      <c r="T8">
        <f>H8+N8</f>
        <v>0</v>
      </c>
    </row>
    <row r="9" spans="1:20" x14ac:dyDescent="0.35">
      <c r="A9" t="s">
        <v>45</v>
      </c>
      <c r="B9" t="s">
        <v>550</v>
      </c>
      <c r="C9">
        <f>SUMIFS(tblMaster_Inputs[Baseline_Amount], tblMaster_Inputs[Year], 2023, tblMaster_Inputs[Primary_Line], "3b", tblMaster_Inputs[Activity_Type], "Baseline")</f>
        <v>0</v>
      </c>
      <c r="D9">
        <f>SUMIFS(tblMaster_Inputs[Baseline_Amount], tblMaster_Inputs[Year], 2024, tblMaster_Inputs[Primary_Line], "3b", tblMaster_Inputs[Activity_Type], "Baseline")</f>
        <v>25922</v>
      </c>
      <c r="E9">
        <f>SUMIFS(tblMaster_Inputs[Baseline_Amount], tblMaster_Inputs[Year], 2025, tblMaster_Inputs[Primary_Line], "3b", tblMaster_Inputs[Activity_Type], "Baseline")</f>
        <v>10000</v>
      </c>
      <c r="F9">
        <f>SUMIFS(tblMaster_Inputs[Baseline_Amount], tblMaster_Inputs[Year], 2026, tblMaster_Inputs[Primary_Line], "3b", tblMaster_Inputs[Activity_Type], "Baseline")</f>
        <v>0</v>
      </c>
      <c r="G9">
        <f>SUMIFS(tblMaster_Inputs[Baseline_Amount], tblMaster_Inputs[Year], 2027, tblMaster_Inputs[Primary_Line], "3b", tblMaster_Inputs[Activity_Type], "Baseline")</f>
        <v>0</v>
      </c>
      <c r="H9">
        <f>SUMIFS(tblMaster_Inputs[Baseline_Amount], tblMaster_Inputs[Year], 2028, tblMaster_Inputs[Primary_Line], "3b", tblMaster_Inputs[Activity_Type], "Baseline")</f>
        <v>0</v>
      </c>
      <c r="I9">
        <f>SUMIFS(tblMaster_Inputs[Baseline_Amount], tblMaster_Inputs[Year], 2023, tblMaster_Inputs[Primary_Line], "3b", tblMaster_Inputs[Activity_Type], "Strategy")</f>
        <v>0</v>
      </c>
      <c r="J9">
        <f>SUMIFS(tblMaster_Inputs[Baseline_Amount], tblMaster_Inputs[Year], 2024, tblMaster_Inputs[Primary_Line], "3b", tblMaster_Inputs[Activity_Type], "Strategy")</f>
        <v>0</v>
      </c>
      <c r="K9">
        <f>SUMIFS(tblMaster_Inputs[Baseline_Amount], tblMaster_Inputs[Year], 2025, tblMaster_Inputs[Primary_Line], "3b", tblMaster_Inputs[Activity_Type], "Strategy")</f>
        <v>0</v>
      </c>
      <c r="L9">
        <f>SUMIFS(tblMaster_Inputs[Baseline_Amount], tblMaster_Inputs[Year], 2026, tblMaster_Inputs[Primary_Line], "3b", tblMaster_Inputs[Activity_Type], "Strategy")</f>
        <v>0</v>
      </c>
      <c r="M9">
        <f>SUMIFS(tblMaster_Inputs[Baseline_Amount], tblMaster_Inputs[Year], 2027, tblMaster_Inputs[Primary_Line], "3b", tblMaster_Inputs[Activity_Type], "Strategy")</f>
        <v>0</v>
      </c>
      <c r="N9">
        <f>SUMIFS(tblMaster_Inputs[Baseline_Amount], tblMaster_Inputs[Year], 2028, tblMaster_Inputs[Primary_Line], "3b", tblMaster_Inputs[Activity_Type], "Strategy")</f>
        <v>0</v>
      </c>
      <c r="O9">
        <f>C9+I9</f>
        <v>0</v>
      </c>
      <c r="P9">
        <f>D9+J9</f>
        <v>25922</v>
      </c>
      <c r="Q9">
        <f>E9+K9</f>
        <v>10000</v>
      </c>
      <c r="R9">
        <f>F9+L9</f>
        <v>0</v>
      </c>
      <c r="S9">
        <f>G9+M9</f>
        <v>0</v>
      </c>
      <c r="T9">
        <f>H9+N9</f>
        <v>0</v>
      </c>
    </row>
    <row r="10" spans="1:20" x14ac:dyDescent="0.35">
      <c r="A10" t="s">
        <v>50</v>
      </c>
      <c r="B10" t="s">
        <v>51</v>
      </c>
      <c r="C10">
        <f>SUMIFS(tblMaster_Inputs[Baseline_Amount], tblMaster_Inputs[Year], 2023, tblMaster_Inputs[Primary_Line], "7", tblMaster_Inputs[Activity_Type], "Baseline")</f>
        <v>0</v>
      </c>
      <c r="D10">
        <f>SUMIFS(tblMaster_Inputs[Baseline_Amount], tblMaster_Inputs[Year], 2024, tblMaster_Inputs[Primary_Line], "7", tblMaster_Inputs[Activity_Type], "Baseline")</f>
        <v>14487</v>
      </c>
      <c r="E10">
        <f>SUMIFS(tblMaster_Inputs[Baseline_Amount], tblMaster_Inputs[Year], 2025, tblMaster_Inputs[Primary_Line], "7", tblMaster_Inputs[Activity_Type], "Baseline")</f>
        <v>25000</v>
      </c>
      <c r="F10">
        <f>SUMIFS(tblMaster_Inputs[Baseline_Amount], tblMaster_Inputs[Year], 2026, tblMaster_Inputs[Primary_Line], "7", tblMaster_Inputs[Activity_Type], "Baseline")</f>
        <v>0</v>
      </c>
      <c r="G10">
        <f>SUMIFS(tblMaster_Inputs[Baseline_Amount], tblMaster_Inputs[Year], 2027, tblMaster_Inputs[Primary_Line], "7", tblMaster_Inputs[Activity_Type], "Baseline")</f>
        <v>0</v>
      </c>
      <c r="H10">
        <f>SUMIFS(tblMaster_Inputs[Baseline_Amount], tblMaster_Inputs[Year], 2028, tblMaster_Inputs[Primary_Line], "7", tblMaster_Inputs[Activity_Type], "Baseline")</f>
        <v>0</v>
      </c>
      <c r="I10">
        <f>SUMIFS(tblMaster_Inputs[Baseline_Amount], tblMaster_Inputs[Year], 2023, tblMaster_Inputs[Primary_Line], "7", tblMaster_Inputs[Activity_Type], "Strategy")</f>
        <v>0</v>
      </c>
      <c r="J10">
        <f>SUMIFS(tblMaster_Inputs[Baseline_Amount], tblMaster_Inputs[Year], 2024, tblMaster_Inputs[Primary_Line], "7", tblMaster_Inputs[Activity_Type], "Strategy")</f>
        <v>0</v>
      </c>
      <c r="K10">
        <f>SUMIFS(tblMaster_Inputs[Baseline_Amount], tblMaster_Inputs[Year], 2025, tblMaster_Inputs[Primary_Line], "7", tblMaster_Inputs[Activity_Type], "Strategy")</f>
        <v>0</v>
      </c>
      <c r="L10">
        <f>SUMIFS(tblMaster_Inputs[Baseline_Amount], tblMaster_Inputs[Year], 2026, tblMaster_Inputs[Primary_Line], "7", tblMaster_Inputs[Activity_Type], "Strategy")</f>
        <v>0</v>
      </c>
      <c r="M10">
        <f>SUMIFS(tblMaster_Inputs[Baseline_Amount], tblMaster_Inputs[Year], 2027, tblMaster_Inputs[Primary_Line], "7", tblMaster_Inputs[Activity_Type], "Strategy")</f>
        <v>0</v>
      </c>
      <c r="N10">
        <f>SUMIFS(tblMaster_Inputs[Baseline_Amount], tblMaster_Inputs[Year], 2028, tblMaster_Inputs[Primary_Line], "7", tblMaster_Inputs[Activity_Type], "Strategy")</f>
        <v>0</v>
      </c>
      <c r="O10">
        <f>C10+I10</f>
        <v>0</v>
      </c>
      <c r="P10">
        <f>D10+J10</f>
        <v>14487</v>
      </c>
      <c r="Q10">
        <f>E10+K10</f>
        <v>25000</v>
      </c>
      <c r="R10">
        <f>F10+L10</f>
        <v>0</v>
      </c>
      <c r="S10">
        <f>G10+M10</f>
        <v>0</v>
      </c>
      <c r="T10">
        <f>H10+N10</f>
        <v>0</v>
      </c>
    </row>
    <row r="11" spans="1:20" x14ac:dyDescent="0.35">
      <c r="A11" t="s">
        <v>55</v>
      </c>
      <c r="B11" t="s">
        <v>551</v>
      </c>
      <c r="C11">
        <f>SUMIFS(tblMaster_Inputs[Baseline_Amount], tblMaster_Inputs[Year], 2023, tblMaster_Inputs[Primary_Line], "8", tblMaster_Inputs[Activity_Type], "Baseline")</f>
        <v>0</v>
      </c>
      <c r="D11">
        <f>SUMIFS(tblMaster_Inputs[Baseline_Amount], tblMaster_Inputs[Year], 2024, tblMaster_Inputs[Primary_Line], "8", tblMaster_Inputs[Activity_Type], "Baseline")</f>
        <v>-100766</v>
      </c>
      <c r="E11">
        <f>SUMIFS(tblMaster_Inputs[Baseline_Amount], tblMaster_Inputs[Year], 2025, tblMaster_Inputs[Primary_Line], "8", tblMaster_Inputs[Activity_Type], "Baseline")</f>
        <v>200000</v>
      </c>
      <c r="F11">
        <f>SUMIFS(tblMaster_Inputs[Baseline_Amount], tblMaster_Inputs[Year], 2026, tblMaster_Inputs[Primary_Line], "8", tblMaster_Inputs[Activity_Type], "Baseline")</f>
        <v>0</v>
      </c>
      <c r="G11">
        <f>SUMIFS(tblMaster_Inputs[Baseline_Amount], tblMaster_Inputs[Year], 2027, tblMaster_Inputs[Primary_Line], "8", tblMaster_Inputs[Activity_Type], "Baseline")</f>
        <v>0</v>
      </c>
      <c r="H11">
        <f>SUMIFS(tblMaster_Inputs[Baseline_Amount], tblMaster_Inputs[Year], 2028, tblMaster_Inputs[Primary_Line], "8", tblMaster_Inputs[Activity_Type], "Baseline")</f>
        <v>0</v>
      </c>
      <c r="I11">
        <f>SUMIFS(tblMaster_Inputs[Baseline_Amount], tblMaster_Inputs[Year], 2023, tblMaster_Inputs[Primary_Line], "8", tblMaster_Inputs[Activity_Type], "Strategy")</f>
        <v>0</v>
      </c>
      <c r="J11">
        <f>SUMIFS(tblMaster_Inputs[Baseline_Amount], tblMaster_Inputs[Year], 2024, tblMaster_Inputs[Primary_Line], "8", tblMaster_Inputs[Activity_Type], "Strategy")</f>
        <v>0</v>
      </c>
      <c r="K11">
        <f>SUMIFS(tblMaster_Inputs[Baseline_Amount], tblMaster_Inputs[Year], 2025, tblMaster_Inputs[Primary_Line], "8", tblMaster_Inputs[Activity_Type], "Strategy")</f>
        <v>-55000</v>
      </c>
      <c r="L11">
        <f>SUMIFS(tblMaster_Inputs[Baseline_Amount], tblMaster_Inputs[Year], 2026, tblMaster_Inputs[Primary_Line], "8", tblMaster_Inputs[Activity_Type], "Strategy")</f>
        <v>0</v>
      </c>
      <c r="M11">
        <f>SUMIFS(tblMaster_Inputs[Baseline_Amount], tblMaster_Inputs[Year], 2027, tblMaster_Inputs[Primary_Line], "8", tblMaster_Inputs[Activity_Type], "Strategy")</f>
        <v>0</v>
      </c>
      <c r="N11">
        <f>SUMIFS(tblMaster_Inputs[Baseline_Amount], tblMaster_Inputs[Year], 2028, tblMaster_Inputs[Primary_Line], "8", tblMaster_Inputs[Activity_Type], "Strategy")</f>
        <v>0</v>
      </c>
      <c r="O11">
        <f>C11+I11</f>
        <v>0</v>
      </c>
      <c r="P11">
        <f>D11+J11</f>
        <v>-100766</v>
      </c>
      <c r="Q11">
        <f>E11+K11</f>
        <v>145000</v>
      </c>
      <c r="R11">
        <f>F11+L11</f>
        <v>0</v>
      </c>
      <c r="S11">
        <f>G11+M11</f>
        <v>0</v>
      </c>
      <c r="T11">
        <f>H11+N11</f>
        <v>0</v>
      </c>
    </row>
    <row r="12" spans="1:20" x14ac:dyDescent="0.35">
      <c r="A12" s="5" t="s">
        <v>60</v>
      </c>
      <c r="B12" s="5" t="s">
        <v>61</v>
      </c>
      <c r="C12" s="5">
        <f t="shared" ref="C12:H12" si="0">C5+C7+C9+C10+C11</f>
        <v>0</v>
      </c>
      <c r="D12" s="5">
        <f t="shared" si="0"/>
        <v>93291</v>
      </c>
      <c r="E12" s="5">
        <f t="shared" si="0"/>
        <v>335500</v>
      </c>
      <c r="F12" s="5">
        <f t="shared" si="0"/>
        <v>0</v>
      </c>
      <c r="G12" s="5">
        <f t="shared" si="0"/>
        <v>0</v>
      </c>
      <c r="H12" s="5">
        <f t="shared" si="0"/>
        <v>0</v>
      </c>
      <c r="I12" s="5">
        <f>I5+I7+I9+I10+I11</f>
        <v>0</v>
      </c>
      <c r="J12" s="5">
        <f>J5+J7+J9+J10+J11</f>
        <v>0</v>
      </c>
      <c r="K12" s="5">
        <f>K5+K7+K9+K10+K11</f>
        <v>-80000</v>
      </c>
      <c r="L12" s="5">
        <f>L5+L7+L9+L10+L11</f>
        <v>0</v>
      </c>
      <c r="M12" s="5">
        <f>M5+M7+M9+M10+M11</f>
        <v>0</v>
      </c>
      <c r="N12" s="5">
        <f>N5+N7+N9+N10+N11</f>
        <v>0</v>
      </c>
      <c r="O12" s="5">
        <f>C12+I12</f>
        <v>0</v>
      </c>
      <c r="P12" s="5">
        <f>D12+J12</f>
        <v>93291</v>
      </c>
      <c r="Q12" s="5">
        <f>E12+K12</f>
        <v>255500</v>
      </c>
      <c r="R12" s="5">
        <f>F12+L12</f>
        <v>0</v>
      </c>
      <c r="S12" s="5">
        <f>G12+M12</f>
        <v>0</v>
      </c>
      <c r="T12" s="5">
        <f>H12+N12</f>
        <v>0</v>
      </c>
    </row>
    <row r="13" spans="1:20" x14ac:dyDescent="0.35">
      <c r="A13" t="s">
        <v>65</v>
      </c>
      <c r="B13" t="s">
        <v>66</v>
      </c>
      <c r="C13">
        <f>SUMIFS(tblMaster_Inputs[Baseline_Amount], tblMaster_Inputs[Year], 2023, tblMaster_Inputs[Primary_Line], "10", tblMaster_Inputs[Activity_Type], "Baseline")</f>
        <v>0</v>
      </c>
      <c r="D13">
        <f>SUMIFS(tblMaster_Inputs[Baseline_Amount], tblMaster_Inputs[Year], 2024, tblMaster_Inputs[Primary_Line], "10", tblMaster_Inputs[Activity_Type], "Baseline")</f>
        <v>0</v>
      </c>
      <c r="E13">
        <f>SUMIFS(tblMaster_Inputs[Baseline_Amount], tblMaster_Inputs[Year], 2025, tblMaster_Inputs[Primary_Line], "10", tblMaster_Inputs[Activity_Type], "Baseline")</f>
        <v>0</v>
      </c>
      <c r="F13">
        <f>SUMIFS(tblMaster_Inputs[Baseline_Amount], tblMaster_Inputs[Year], 2026, tblMaster_Inputs[Primary_Line], "10", tblMaster_Inputs[Activity_Type], "Baseline")</f>
        <v>0</v>
      </c>
      <c r="G13">
        <f>SUMIFS(tblMaster_Inputs[Baseline_Amount], tblMaster_Inputs[Year], 2027, tblMaster_Inputs[Primary_Line], "10", tblMaster_Inputs[Activity_Type], "Baseline")</f>
        <v>0</v>
      </c>
      <c r="H13">
        <f>SUMIFS(tblMaster_Inputs[Baseline_Amount], tblMaster_Inputs[Year], 2028, tblMaster_Inputs[Primary_Line], "10", tblMaster_Inputs[Activity_Type], "Baseline")</f>
        <v>0</v>
      </c>
      <c r="I13">
        <f>SUMIFS(tblMaster_Inputs[Baseline_Amount], tblMaster_Inputs[Year], 2023, tblMaster_Inputs[Primary_Line], "10", tblMaster_Inputs[Activity_Type], "Strategy")</f>
        <v>0</v>
      </c>
      <c r="J13">
        <f>SUMIFS(tblMaster_Inputs[Baseline_Amount], tblMaster_Inputs[Year], 2024, tblMaster_Inputs[Primary_Line], "10", tblMaster_Inputs[Activity_Type], "Strategy")</f>
        <v>0</v>
      </c>
      <c r="K13">
        <f>SUMIFS(tblMaster_Inputs[Baseline_Amount], tblMaster_Inputs[Year], 2025, tblMaster_Inputs[Primary_Line], "10", tblMaster_Inputs[Activity_Type], "Strategy")</f>
        <v>-8550</v>
      </c>
      <c r="L13">
        <f>SUMIFS(tblMaster_Inputs[Baseline_Amount], tblMaster_Inputs[Year], 2026, tblMaster_Inputs[Primary_Line], "10", tblMaster_Inputs[Activity_Type], "Strategy")</f>
        <v>0</v>
      </c>
      <c r="M13">
        <f>SUMIFS(tblMaster_Inputs[Baseline_Amount], tblMaster_Inputs[Year], 2027, tblMaster_Inputs[Primary_Line], "10", tblMaster_Inputs[Activity_Type], "Strategy")</f>
        <v>0</v>
      </c>
      <c r="N13">
        <f>SUMIFS(tblMaster_Inputs[Baseline_Amount], tblMaster_Inputs[Year], 2028, tblMaster_Inputs[Primary_Line], "10", tblMaster_Inputs[Activity_Type], "Strategy")</f>
        <v>0</v>
      </c>
      <c r="O13">
        <f>C13+I13</f>
        <v>0</v>
      </c>
      <c r="P13">
        <f>D13+J13</f>
        <v>0</v>
      </c>
      <c r="Q13">
        <f>E13+K13</f>
        <v>-8550</v>
      </c>
      <c r="R13">
        <f>F13+L13</f>
        <v>0</v>
      </c>
      <c r="S13">
        <f>G13+M13</f>
        <v>0</v>
      </c>
      <c r="T13">
        <f>H13+N13</f>
        <v>0</v>
      </c>
    </row>
    <row r="14" spans="1:20" x14ac:dyDescent="0.35">
      <c r="A14" s="5" t="s">
        <v>70</v>
      </c>
      <c r="B14" s="5" t="s">
        <v>71</v>
      </c>
      <c r="C14" s="5">
        <f t="shared" ref="C14:H14" si="1">C12+C13</f>
        <v>0</v>
      </c>
      <c r="D14" s="5">
        <f t="shared" si="1"/>
        <v>93291</v>
      </c>
      <c r="E14" s="5">
        <f t="shared" si="1"/>
        <v>335500</v>
      </c>
      <c r="F14" s="5">
        <f t="shared" si="1"/>
        <v>0</v>
      </c>
      <c r="G14" s="5">
        <f t="shared" si="1"/>
        <v>0</v>
      </c>
      <c r="H14" s="5">
        <f t="shared" si="1"/>
        <v>0</v>
      </c>
      <c r="I14" s="5">
        <f>I12+I13</f>
        <v>0</v>
      </c>
      <c r="J14" s="5">
        <f>J12+J13</f>
        <v>0</v>
      </c>
      <c r="K14" s="5">
        <f>K12+K13</f>
        <v>-88550</v>
      </c>
      <c r="L14" s="5">
        <f>L12+L13</f>
        <v>0</v>
      </c>
      <c r="M14" s="5">
        <f>M12+M13</f>
        <v>0</v>
      </c>
      <c r="N14" s="5">
        <f>N12+N13</f>
        <v>0</v>
      </c>
      <c r="O14" s="5">
        <f>C14+I14</f>
        <v>0</v>
      </c>
      <c r="P14" s="5">
        <f>D14+J14</f>
        <v>93291</v>
      </c>
      <c r="Q14" s="5">
        <f>E14+K14</f>
        <v>246950</v>
      </c>
      <c r="R14" s="5">
        <f>F14+L14</f>
        <v>0</v>
      </c>
      <c r="S14" s="5">
        <f>G14+M14</f>
        <v>0</v>
      </c>
      <c r="T14" s="5">
        <f>H14+N14</f>
        <v>0</v>
      </c>
    </row>
    <row r="15" spans="1:20" x14ac:dyDescent="0.35">
      <c r="A15" t="s">
        <v>75</v>
      </c>
      <c r="B15" t="s">
        <v>76</v>
      </c>
      <c r="C15">
        <f>SUMIFS(tblMaster_Inputs[Baseline_Amount], tblMaster_Inputs[Year], 2023, tblMaster_Inputs[Primary_Line], "12", tblMaster_Inputs[Activity_Type], "Baseline")</f>
        <v>0</v>
      </c>
      <c r="D15">
        <f>SUMIFS(tblMaster_Inputs[Baseline_Amount], tblMaster_Inputs[Year], 2024, tblMaster_Inputs[Primary_Line], "12", tblMaster_Inputs[Activity_Type], "Baseline")</f>
        <v>0</v>
      </c>
      <c r="E15">
        <f>SUMIFS(tblMaster_Inputs[Baseline_Amount], tblMaster_Inputs[Year], 2025, tblMaster_Inputs[Primary_Line], "12", tblMaster_Inputs[Activity_Type], "Baseline")</f>
        <v>-10000</v>
      </c>
      <c r="F15">
        <f>SUMIFS(tblMaster_Inputs[Baseline_Amount], tblMaster_Inputs[Year], 2026, tblMaster_Inputs[Primary_Line], "12", tblMaster_Inputs[Activity_Type], "Baseline")</f>
        <v>0</v>
      </c>
      <c r="G15">
        <f>SUMIFS(tblMaster_Inputs[Baseline_Amount], tblMaster_Inputs[Year], 2027, tblMaster_Inputs[Primary_Line], "12", tblMaster_Inputs[Activity_Type], "Baseline")</f>
        <v>0</v>
      </c>
      <c r="H15">
        <f>SUMIFS(tblMaster_Inputs[Baseline_Amount], tblMaster_Inputs[Year], 2028, tblMaster_Inputs[Primary_Line], "12", tblMaster_Inputs[Activity_Type], "Baseline")</f>
        <v>0</v>
      </c>
      <c r="I15">
        <f>SUMIFS(tblMaster_Inputs[Baseline_Amount], tblMaster_Inputs[Year], 2023, tblMaster_Inputs[Primary_Line], "12", tblMaster_Inputs[Activity_Type], "Strategy")</f>
        <v>0</v>
      </c>
      <c r="J15">
        <f>SUMIFS(tblMaster_Inputs[Baseline_Amount], tblMaster_Inputs[Year], 2024, tblMaster_Inputs[Primary_Line], "12", tblMaster_Inputs[Activity_Type], "Strategy")</f>
        <v>0</v>
      </c>
      <c r="K15">
        <f>SUMIFS(tblMaster_Inputs[Baseline_Amount], tblMaster_Inputs[Year], 2025, tblMaster_Inputs[Primary_Line], "12", tblMaster_Inputs[Activity_Type], "Strategy")</f>
        <v>0</v>
      </c>
      <c r="L15">
        <f>SUMIFS(tblMaster_Inputs[Baseline_Amount], tblMaster_Inputs[Year], 2026, tblMaster_Inputs[Primary_Line], "12", tblMaster_Inputs[Activity_Type], "Strategy")</f>
        <v>0</v>
      </c>
      <c r="M15">
        <f>SUMIFS(tblMaster_Inputs[Baseline_Amount], tblMaster_Inputs[Year], 2027, tblMaster_Inputs[Primary_Line], "12", tblMaster_Inputs[Activity_Type], "Strategy")</f>
        <v>0</v>
      </c>
      <c r="N15">
        <f>SUMIFS(tblMaster_Inputs[Baseline_Amount], tblMaster_Inputs[Year], 2028, tblMaster_Inputs[Primary_Line], "12", tblMaster_Inputs[Activity_Type], "Strategy")</f>
        <v>0</v>
      </c>
      <c r="O15">
        <f>C15+I15</f>
        <v>0</v>
      </c>
      <c r="P15">
        <f>D15+J15</f>
        <v>0</v>
      </c>
      <c r="Q15">
        <f>E15+K15</f>
        <v>-10000</v>
      </c>
      <c r="R15">
        <f>F15+L15</f>
        <v>0</v>
      </c>
      <c r="S15">
        <f>G15+M15</f>
        <v>0</v>
      </c>
      <c r="T15">
        <f>H15+N15</f>
        <v>0</v>
      </c>
    </row>
    <row r="16" spans="1:20" x14ac:dyDescent="0.35">
      <c r="A16" t="s">
        <v>80</v>
      </c>
      <c r="B16" t="s">
        <v>81</v>
      </c>
      <c r="C16">
        <f>SUMIFS(tblMaster_Inputs[Baseline_Amount], tblMaster_Inputs[Year], 2023, tblMaster_Inputs[Primary_Line], "13", tblMaster_Inputs[Activity_Type], "Baseline")</f>
        <v>0</v>
      </c>
      <c r="D16">
        <f>SUMIFS(tblMaster_Inputs[Baseline_Amount], tblMaster_Inputs[Year], 2024, tblMaster_Inputs[Primary_Line], "13", tblMaster_Inputs[Activity_Type], "Baseline")</f>
        <v>0</v>
      </c>
      <c r="E16">
        <f>SUMIFS(tblMaster_Inputs[Baseline_Amount], tblMaster_Inputs[Year], 2025, tblMaster_Inputs[Primary_Line], "13", tblMaster_Inputs[Activity_Type], "Baseline")</f>
        <v>0</v>
      </c>
      <c r="F16">
        <f>SUMIFS(tblMaster_Inputs[Baseline_Amount], tblMaster_Inputs[Year], 2026, tblMaster_Inputs[Primary_Line], "13", tblMaster_Inputs[Activity_Type], "Baseline")</f>
        <v>0</v>
      </c>
      <c r="G16">
        <f>SUMIFS(tblMaster_Inputs[Baseline_Amount], tblMaster_Inputs[Year], 2027, tblMaster_Inputs[Primary_Line], "13", tblMaster_Inputs[Activity_Type], "Baseline")</f>
        <v>0</v>
      </c>
      <c r="H16">
        <f>SUMIFS(tblMaster_Inputs[Baseline_Amount], tblMaster_Inputs[Year], 2028, tblMaster_Inputs[Primary_Line], "13", tblMaster_Inputs[Activity_Type], "Baseline")</f>
        <v>0</v>
      </c>
      <c r="I16">
        <f>SUMIFS(tblMaster_Inputs[Baseline_Amount], tblMaster_Inputs[Year], 2023, tblMaster_Inputs[Primary_Line], "13", tblMaster_Inputs[Activity_Type], "Strategy")</f>
        <v>0</v>
      </c>
      <c r="J16">
        <f>SUMIFS(tblMaster_Inputs[Baseline_Amount], tblMaster_Inputs[Year], 2024, tblMaster_Inputs[Primary_Line], "13", tblMaster_Inputs[Activity_Type], "Strategy")</f>
        <v>0</v>
      </c>
      <c r="K16">
        <f>SUMIFS(tblMaster_Inputs[Baseline_Amount], tblMaster_Inputs[Year], 2025, tblMaster_Inputs[Primary_Line], "13", tblMaster_Inputs[Activity_Type], "Strategy")</f>
        <v>0</v>
      </c>
      <c r="L16">
        <f>SUMIFS(tblMaster_Inputs[Baseline_Amount], tblMaster_Inputs[Year], 2026, tblMaster_Inputs[Primary_Line], "13", tblMaster_Inputs[Activity_Type], "Strategy")</f>
        <v>0</v>
      </c>
      <c r="M16">
        <f>SUMIFS(tblMaster_Inputs[Baseline_Amount], tblMaster_Inputs[Year], 2027, tblMaster_Inputs[Primary_Line], "13", tblMaster_Inputs[Activity_Type], "Strategy")</f>
        <v>0</v>
      </c>
      <c r="N16">
        <f>SUMIFS(tblMaster_Inputs[Baseline_Amount], tblMaster_Inputs[Year], 2028, tblMaster_Inputs[Primary_Line], "13", tblMaster_Inputs[Activity_Type], "Strategy")</f>
        <v>0</v>
      </c>
      <c r="O16">
        <f>C16+I16</f>
        <v>0</v>
      </c>
      <c r="P16">
        <f>D16+J16</f>
        <v>0</v>
      </c>
      <c r="Q16">
        <f>E16+K16</f>
        <v>0</v>
      </c>
      <c r="R16">
        <f>F16+L16</f>
        <v>0</v>
      </c>
      <c r="S16">
        <f>G16+M16</f>
        <v>0</v>
      </c>
      <c r="T16">
        <f>H16+N16</f>
        <v>0</v>
      </c>
    </row>
    <row r="17" spans="1:20" x14ac:dyDescent="0.35">
      <c r="A17" s="5" t="s">
        <v>85</v>
      </c>
      <c r="B17" s="5" t="s">
        <v>86</v>
      </c>
      <c r="C17" s="5">
        <f t="shared" ref="C17:H17" si="2">C14+C15+C16</f>
        <v>0</v>
      </c>
      <c r="D17" s="5">
        <f t="shared" si="2"/>
        <v>93291</v>
      </c>
      <c r="E17" s="5">
        <f t="shared" si="2"/>
        <v>325500</v>
      </c>
      <c r="F17" s="5">
        <f t="shared" si="2"/>
        <v>0</v>
      </c>
      <c r="G17" s="5">
        <f t="shared" si="2"/>
        <v>0</v>
      </c>
      <c r="H17" s="5">
        <f t="shared" si="2"/>
        <v>0</v>
      </c>
      <c r="I17" s="5">
        <f>I14+I15+I16</f>
        <v>0</v>
      </c>
      <c r="J17" s="5">
        <f>J14+J15+J16</f>
        <v>0</v>
      </c>
      <c r="K17" s="5">
        <f>K14+K15+K16</f>
        <v>-88550</v>
      </c>
      <c r="L17" s="5">
        <f>L14+L15+L16</f>
        <v>0</v>
      </c>
      <c r="M17" s="5">
        <f>M14+M15+M16</f>
        <v>0</v>
      </c>
      <c r="N17" s="5">
        <f>N14+N15+N16</f>
        <v>0</v>
      </c>
      <c r="O17" s="5">
        <f>C17+I17</f>
        <v>0</v>
      </c>
      <c r="P17" s="5">
        <f>D17+J17</f>
        <v>93291</v>
      </c>
      <c r="Q17" s="5">
        <f>E17+K17</f>
        <v>236950</v>
      </c>
      <c r="R17" s="5">
        <f>F17+L17</f>
        <v>0</v>
      </c>
      <c r="S17" s="5">
        <f>G17+M17</f>
        <v>0</v>
      </c>
      <c r="T17" s="5">
        <f>H17+N17</f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8080"/>
  </sheetPr>
  <dimension ref="A1:T1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0" customWidth="1"/>
    <col min="3" max="8" width="14" customWidth="1"/>
  </cols>
  <sheetData>
    <row r="1" spans="1:20" ht="18.5" customHeight="1" x14ac:dyDescent="0.45">
      <c r="A1" s="1" t="s">
        <v>552</v>
      </c>
    </row>
    <row r="2" spans="1:20" x14ac:dyDescent="0.35">
      <c r="A2" s="2" t="s">
        <v>553</v>
      </c>
    </row>
    <row r="3" spans="1:20" x14ac:dyDescent="0.35">
      <c r="I3" s="13" t="s">
        <v>338</v>
      </c>
      <c r="O3" s="13" t="s">
        <v>16</v>
      </c>
    </row>
    <row r="4" spans="1:20" x14ac:dyDescent="0.35">
      <c r="A4" s="3" t="s">
        <v>10</v>
      </c>
      <c r="B4" s="3" t="s">
        <v>11</v>
      </c>
      <c r="C4" s="3" t="s">
        <v>518</v>
      </c>
      <c r="D4" s="3" t="s">
        <v>519</v>
      </c>
      <c r="E4" s="3" t="s">
        <v>520</v>
      </c>
      <c r="F4" s="3" t="s">
        <v>521</v>
      </c>
      <c r="G4" s="3" t="s">
        <v>522</v>
      </c>
      <c r="H4" s="3" t="s">
        <v>523</v>
      </c>
      <c r="I4" s="3">
        <v>2023</v>
      </c>
      <c r="J4" s="3">
        <v>2024</v>
      </c>
      <c r="K4" s="3">
        <v>2025</v>
      </c>
      <c r="L4" s="3">
        <v>2026</v>
      </c>
      <c r="M4" s="3">
        <v>2027</v>
      </c>
      <c r="N4" s="3">
        <v>2028</v>
      </c>
      <c r="O4" s="3">
        <v>2023</v>
      </c>
      <c r="P4" s="3">
        <v>2024</v>
      </c>
      <c r="Q4" s="3">
        <v>2025</v>
      </c>
      <c r="R4" s="3">
        <v>2026</v>
      </c>
      <c r="S4" s="3">
        <v>2027</v>
      </c>
      <c r="T4" s="3">
        <v>2028</v>
      </c>
    </row>
    <row r="5" spans="1:20" x14ac:dyDescent="0.35">
      <c r="A5" t="s">
        <v>554</v>
      </c>
      <c r="B5" t="s">
        <v>555</v>
      </c>
      <c r="C5">
        <f>SUMIFS(tblMaster_Inputs[Baseline_Amount], tblMaster_Inputs[Year], 2023, tblMaster_Inputs[Treatment_Profile], "W2_SCorpOwner", tblMaster_Inputs[Activity_Type], "Baseline")</f>
        <v>0</v>
      </c>
      <c r="D5">
        <f>SUMIFS(tblMaster_Inputs[Baseline_Amount], tblMaster_Inputs[Year], 2024, tblMaster_Inputs[Treatment_Profile], "W2_SCorpOwner", tblMaster_Inputs[Activity_Type], "Baseline")</f>
        <v>153648</v>
      </c>
      <c r="E5">
        <f>SUMIFS(tblMaster_Inputs[Baseline_Amount], tblMaster_Inputs[Year], 2025, tblMaster_Inputs[Treatment_Profile], "W2_SCorpOwner", tblMaster_Inputs[Activity_Type], "Baseline")</f>
        <v>100000</v>
      </c>
      <c r="F5">
        <f>SUMIFS(tblMaster_Inputs[Baseline_Amount], tblMaster_Inputs[Year], 2026, tblMaster_Inputs[Treatment_Profile], "W2_SCorpOwner", tblMaster_Inputs[Activity_Type], "Baseline")</f>
        <v>0</v>
      </c>
      <c r="G5">
        <f>SUMIFS(tblMaster_Inputs[Baseline_Amount], tblMaster_Inputs[Year], 2027, tblMaster_Inputs[Treatment_Profile], "W2_SCorpOwner", tblMaster_Inputs[Activity_Type], "Baseline")</f>
        <v>0</v>
      </c>
      <c r="H5">
        <f>SUMIFS(tblMaster_Inputs[Baseline_Amount], tblMaster_Inputs[Year], 2028, tblMaster_Inputs[Treatment_Profile], "W2_SCorpOwner", tblMaster_Inputs[Activity_Type], "Baseline")</f>
        <v>0</v>
      </c>
      <c r="I5">
        <f>SUMIFS(tblMaster_Inputs[Baseline_Amount], tblMaster_Inputs[Year], 2023, tblMaster_Inputs[Treatment_Profile], "W2_SCorpOwner", tblMaster_Inputs[Activity_Type], "Strategy")</f>
        <v>0</v>
      </c>
      <c r="J5">
        <f>SUMIFS(tblMaster_Inputs[Baseline_Amount], tblMaster_Inputs[Year], 2024, tblMaster_Inputs[Treatment_Profile], "W2_SCorpOwner", tblMaster_Inputs[Activity_Type], "Strategy")</f>
        <v>0</v>
      </c>
      <c r="K5">
        <f>SUMIFS(tblMaster_Inputs[Baseline_Amount], tblMaster_Inputs[Year], 2025, tblMaster_Inputs[Treatment_Profile], "W2_SCorpOwner", tblMaster_Inputs[Activity_Type], "Strategy")</f>
        <v>-25000</v>
      </c>
      <c r="L5">
        <f>SUMIFS(tblMaster_Inputs[Baseline_Amount], tblMaster_Inputs[Year], 2026, tblMaster_Inputs[Treatment_Profile], "W2_SCorpOwner", tblMaster_Inputs[Activity_Type], "Strategy")</f>
        <v>0</v>
      </c>
      <c r="M5">
        <f>SUMIFS(tblMaster_Inputs[Baseline_Amount], tblMaster_Inputs[Year], 2027, tblMaster_Inputs[Treatment_Profile], "W2_SCorpOwner", tblMaster_Inputs[Activity_Type], "Strategy")</f>
        <v>0</v>
      </c>
      <c r="N5">
        <f>SUMIFS(tblMaster_Inputs[Baseline_Amount], tblMaster_Inputs[Year], 2028, tblMaster_Inputs[Treatment_Profile], "W2_SCorpOwner", tblMaster_Inputs[Activity_Type], "Strategy")</f>
        <v>0</v>
      </c>
      <c r="O5">
        <f>C5+I5</f>
        <v>0</v>
      </c>
      <c r="P5">
        <f>D5+J5</f>
        <v>153648</v>
      </c>
      <c r="Q5">
        <f>E5+K5</f>
        <v>75000</v>
      </c>
      <c r="R5">
        <f>F5+L5</f>
        <v>0</v>
      </c>
      <c r="S5">
        <f>G5+M5</f>
        <v>0</v>
      </c>
      <c r="T5">
        <f>H5+N5</f>
        <v>0</v>
      </c>
    </row>
    <row r="6" spans="1:20" x14ac:dyDescent="0.35">
      <c r="A6" t="s">
        <v>556</v>
      </c>
      <c r="B6" t="s">
        <v>101</v>
      </c>
      <c r="C6">
        <f>SUMIFS(tblMaster_Inputs[Baseline_Amount], tblMaster_Inputs[Year], 2023, tblMaster_Inputs[Treatment_Profile], "W2_Employee", tblMaster_Inputs[Activity_Type], "Baseline")</f>
        <v>0</v>
      </c>
      <c r="D6">
        <f>SUMIFS(tblMaster_Inputs[Baseline_Amount], tblMaster_Inputs[Year], 2024, tblMaster_Inputs[Treatment_Profile], "W2_Employee", tblMaster_Inputs[Activity_Type], "Baseline")</f>
        <v>0</v>
      </c>
      <c r="E6">
        <f>SUMIFS(tblMaster_Inputs[Baseline_Amount], tblMaster_Inputs[Year], 2025, tblMaster_Inputs[Treatment_Profile], "W2_Employee", tblMaster_Inputs[Activity_Type], "Baseline")</f>
        <v>0</v>
      </c>
      <c r="F6">
        <f>SUMIFS(tblMaster_Inputs[Baseline_Amount], tblMaster_Inputs[Year], 2026, tblMaster_Inputs[Treatment_Profile], "W2_Employee", tblMaster_Inputs[Activity_Type], "Baseline")</f>
        <v>0</v>
      </c>
      <c r="G6">
        <f>SUMIFS(tblMaster_Inputs[Baseline_Amount], tblMaster_Inputs[Year], 2027, tblMaster_Inputs[Treatment_Profile], "W2_Employee", tblMaster_Inputs[Activity_Type], "Baseline")</f>
        <v>0</v>
      </c>
      <c r="H6">
        <f>SUMIFS(tblMaster_Inputs[Baseline_Amount], tblMaster_Inputs[Year], 2028, tblMaster_Inputs[Treatment_Profile], "W2_Employee", tblMaster_Inputs[Activity_Type], "Baseline")</f>
        <v>0</v>
      </c>
      <c r="I6">
        <f>SUMIFS(tblMaster_Inputs[Baseline_Amount], tblMaster_Inputs[Year], 2023, tblMaster_Inputs[Treatment_Profile], "W2_Employee", tblMaster_Inputs[Activity_Type], "Strategy")</f>
        <v>0</v>
      </c>
      <c r="J6">
        <f>SUMIFS(tblMaster_Inputs[Baseline_Amount], tblMaster_Inputs[Year], 2024, tblMaster_Inputs[Treatment_Profile], "W2_Employee", tblMaster_Inputs[Activity_Type], "Strategy")</f>
        <v>0</v>
      </c>
      <c r="K6">
        <f>SUMIFS(tblMaster_Inputs[Baseline_Amount], tblMaster_Inputs[Year], 2025, tblMaster_Inputs[Treatment_Profile], "W2_Employee", tblMaster_Inputs[Activity_Type], "Strategy")</f>
        <v>0</v>
      </c>
      <c r="L6">
        <f>SUMIFS(tblMaster_Inputs[Baseline_Amount], tblMaster_Inputs[Year], 2026, tblMaster_Inputs[Treatment_Profile], "W2_Employee", tblMaster_Inputs[Activity_Type], "Strategy")</f>
        <v>0</v>
      </c>
      <c r="M6">
        <f>SUMIFS(tblMaster_Inputs[Baseline_Amount], tblMaster_Inputs[Year], 2027, tblMaster_Inputs[Treatment_Profile], "W2_Employee", tblMaster_Inputs[Activity_Type], "Strategy")</f>
        <v>0</v>
      </c>
      <c r="N6">
        <f>SUMIFS(tblMaster_Inputs[Baseline_Amount], tblMaster_Inputs[Year], 2028, tblMaster_Inputs[Treatment_Profile], "W2_Employee", tblMaster_Inputs[Activity_Type], "Strategy")</f>
        <v>0</v>
      </c>
      <c r="O6">
        <f>C6+I6</f>
        <v>0</v>
      </c>
      <c r="P6">
        <f>D6+J6</f>
        <v>0</v>
      </c>
      <c r="Q6">
        <f>E6+K6</f>
        <v>0</v>
      </c>
      <c r="R6">
        <f>F6+L6</f>
        <v>0</v>
      </c>
      <c r="S6">
        <f>G6+M6</f>
        <v>0</v>
      </c>
      <c r="T6">
        <f>H6+N6</f>
        <v>0</v>
      </c>
    </row>
    <row r="7" spans="1:20" x14ac:dyDescent="0.35">
      <c r="A7" s="5" t="s">
        <v>557</v>
      </c>
      <c r="B7" s="5" t="s">
        <v>558</v>
      </c>
      <c r="C7" s="5">
        <f t="shared" ref="C7:H7" si="0">C5+C6</f>
        <v>0</v>
      </c>
      <c r="D7" s="5">
        <f t="shared" si="0"/>
        <v>153648</v>
      </c>
      <c r="E7" s="5">
        <f t="shared" si="0"/>
        <v>100000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>I5+I6</f>
        <v>0</v>
      </c>
      <c r="J7" s="5">
        <f>J5+J6</f>
        <v>0</v>
      </c>
      <c r="K7" s="5">
        <f>K5+K6</f>
        <v>-25000</v>
      </c>
      <c r="L7" s="5">
        <f>L5+L6</f>
        <v>0</v>
      </c>
      <c r="M7" s="5">
        <f>M5+M6</f>
        <v>0</v>
      </c>
      <c r="N7" s="5">
        <f>N5+N6</f>
        <v>0</v>
      </c>
      <c r="O7" s="5">
        <f>C7+I7</f>
        <v>0</v>
      </c>
      <c r="P7" s="5">
        <f>D7+J7</f>
        <v>153648</v>
      </c>
      <c r="Q7" s="5">
        <f>E7+K7</f>
        <v>75000</v>
      </c>
      <c r="R7" s="5">
        <f>F7+L7</f>
        <v>0</v>
      </c>
      <c r="S7" s="5">
        <f>G7+M7</f>
        <v>0</v>
      </c>
      <c r="T7" s="5">
        <f>H7+N7</f>
        <v>0</v>
      </c>
    </row>
    <row r="8" spans="1:20" x14ac:dyDescent="0.35">
      <c r="A8" t="s">
        <v>559</v>
      </c>
      <c r="B8" t="s">
        <v>560</v>
      </c>
      <c r="C8">
        <f>SUMIFS(tblMaster_Inputs[Baseline_Amount], tblMaster_Inputs[Year], 2023, tblMaster_Inputs[Bucket], "Business Income", tblMaster_Inputs[SE_Subject], "Yes", tblMaster_Inputs[Activity_Type], "Baseline")</f>
        <v>0</v>
      </c>
      <c r="D8">
        <f>SUMIFS(tblMaster_Inputs[Baseline_Amount], tblMaster_Inputs[Year], 2024, tblMaster_Inputs[Bucket], "Business Income", tblMaster_Inputs[SE_Subject], "Yes", tblMaster_Inputs[Activity_Type], "Baseline")</f>
        <v>0</v>
      </c>
      <c r="E8">
        <f>SUMIFS(tblMaster_Inputs[Baseline_Amount], tblMaster_Inputs[Year], 2025, tblMaster_Inputs[Bucket], "Business Income", tblMaster_Inputs[SE_Subject], "Yes", tblMaster_Inputs[Activity_Type], "Baseline")</f>
        <v>0</v>
      </c>
      <c r="F8">
        <f>SUMIFS(tblMaster_Inputs[Baseline_Amount], tblMaster_Inputs[Year], 2026, tblMaster_Inputs[Bucket], "Business Income", tblMaster_Inputs[SE_Subject], "Yes", tblMaster_Inputs[Activity_Type], "Baseline")</f>
        <v>0</v>
      </c>
      <c r="G8">
        <f>SUMIFS(tblMaster_Inputs[Baseline_Amount], tblMaster_Inputs[Year], 2027, tblMaster_Inputs[Bucket], "Business Income", tblMaster_Inputs[SE_Subject], "Yes", tblMaster_Inputs[Activity_Type], "Baseline")</f>
        <v>0</v>
      </c>
      <c r="H8">
        <f>SUMIFS(tblMaster_Inputs[Baseline_Amount], tblMaster_Inputs[Year], 2028, tblMaster_Inputs[Bucket], "Business Income", tblMaster_Inputs[SE_Subject], "Yes", tblMaster_Inputs[Activity_Type], "Baseline")</f>
        <v>0</v>
      </c>
      <c r="I8">
        <f>SUMIFS(tblMaster_Inputs[Baseline_Amount], tblMaster_Inputs[Year], 2023, tblMaster_Inputs[Bucket], "Business Income", tblMaster_Inputs[SE_Subject], "Yes", tblMaster_Inputs[Activity_Type], "Strategy")</f>
        <v>0</v>
      </c>
      <c r="J8">
        <f>SUMIFS(tblMaster_Inputs[Baseline_Amount], tblMaster_Inputs[Year], 2024, tblMaster_Inputs[Bucket], "Business Income", tblMaster_Inputs[SE_Subject], "Yes", tblMaster_Inputs[Activity_Type], "Strategy")</f>
        <v>0</v>
      </c>
      <c r="K8">
        <f>SUMIFS(tblMaster_Inputs[Baseline_Amount], tblMaster_Inputs[Year], 2025, tblMaster_Inputs[Bucket], "Business Income", tblMaster_Inputs[SE_Subject], "Yes", tblMaster_Inputs[Activity_Type], "Strategy")</f>
        <v>0</v>
      </c>
      <c r="L8">
        <f>SUMIFS(tblMaster_Inputs[Baseline_Amount], tblMaster_Inputs[Year], 2026, tblMaster_Inputs[Bucket], "Business Income", tblMaster_Inputs[SE_Subject], "Yes", tblMaster_Inputs[Activity_Type], "Strategy")</f>
        <v>0</v>
      </c>
      <c r="M8">
        <f>SUMIFS(tblMaster_Inputs[Baseline_Amount], tblMaster_Inputs[Year], 2027, tblMaster_Inputs[Bucket], "Business Income", tblMaster_Inputs[SE_Subject], "Yes", tblMaster_Inputs[Activity_Type], "Strategy")</f>
        <v>0</v>
      </c>
      <c r="N8">
        <f>SUMIFS(tblMaster_Inputs[Baseline_Amount], tblMaster_Inputs[Year], 2028, tblMaster_Inputs[Bucket], "Business Income", tblMaster_Inputs[SE_Subject], "Yes", tblMaster_Inputs[Activity_Type], "Strategy")</f>
        <v>0</v>
      </c>
      <c r="O8">
        <f>C8+I8</f>
        <v>0</v>
      </c>
      <c r="P8">
        <f>D8+J8</f>
        <v>0</v>
      </c>
      <c r="Q8">
        <f>E8+K8</f>
        <v>0</v>
      </c>
      <c r="R8">
        <f>F8+L8</f>
        <v>0</v>
      </c>
      <c r="S8">
        <f>G8+M8</f>
        <v>0</v>
      </c>
      <c r="T8">
        <f>H8+N8</f>
        <v>0</v>
      </c>
    </row>
    <row r="9" spans="1:20" x14ac:dyDescent="0.35">
      <c r="A9" t="s">
        <v>561</v>
      </c>
      <c r="B9" t="s">
        <v>562</v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>0</v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>0</v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>200000</v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>0</v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>0</v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>0</v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>0</v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>0</v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>25000</v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>0</v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>0</v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>0</v>
      </c>
      <c r="O9">
        <f>C9+I9</f>
        <v>0</v>
      </c>
      <c r="P9">
        <f>D9+J9</f>
        <v>0</v>
      </c>
      <c r="Q9">
        <f>E9+K9</f>
        <v>225000</v>
      </c>
      <c r="R9">
        <f>F9+L9</f>
        <v>0</v>
      </c>
      <c r="S9">
        <f>G9+M9</f>
        <v>0</v>
      </c>
      <c r="T9">
        <f>H9+N9</f>
        <v>0</v>
      </c>
    </row>
    <row r="10" spans="1:20" x14ac:dyDescent="0.35">
      <c r="A10" t="s">
        <v>563</v>
      </c>
      <c r="B10" t="s">
        <v>564</v>
      </c>
      <c r="C10">
        <f>SUMIFS(tblMaster_Inputs[Baseline_Amount], tblMaster_Inputs[Year], 2023, tblMaster_Inputs[Bucket], "Business Income", tblMaster_Inputs[NIIT_Class], "Passive", tblMaster_Inputs[Activity_Type], "Baseline")</f>
        <v>0</v>
      </c>
      <c r="D10">
        <f>SUMIFS(tblMaster_Inputs[Baseline_Amount], tblMaster_Inputs[Year], 2024, tblMaster_Inputs[Bucket], "Business Income", tblMaster_Inputs[NIIT_Class], "Passive", tblMaster_Inputs[Activity_Type], "Baseline")</f>
        <v>-100766</v>
      </c>
      <c r="E10">
        <f>SUMIFS(tblMaster_Inputs[Baseline_Amount], tblMaster_Inputs[Year], 2025, tblMaster_Inputs[Bucket], "Business Income", tblMaster_Inputs[NIIT_Class], "Passive", tblMaster_Inputs[Activity_Type], "Baseline")</f>
        <v>0</v>
      </c>
      <c r="F10">
        <f>SUMIFS(tblMaster_Inputs[Baseline_Amount], tblMaster_Inputs[Year], 2026, tblMaster_Inputs[Bucket], "Business Income", tblMaster_Inputs[NIIT_Class], "Passive", tblMaster_Inputs[Activity_Type], "Baseline")</f>
        <v>0</v>
      </c>
      <c r="G10">
        <f>SUMIFS(tblMaster_Inputs[Baseline_Amount], tblMaster_Inputs[Year], 2027, tblMaster_Inputs[Bucket], "Business Income", tblMaster_Inputs[NIIT_Class], "Passive", tblMaster_Inputs[Activity_Type], "Baseline")</f>
        <v>0</v>
      </c>
      <c r="H10">
        <f>SUMIFS(tblMaster_Inputs[Baseline_Amount], tblMaster_Inputs[Year], 2028, tblMaster_Inputs[Bucket], "Business Income", tblMaster_Inputs[NIIT_Class], "Passive", tblMaster_Inputs[Activity_Type], "Baseline")</f>
        <v>0</v>
      </c>
      <c r="I10">
        <f>SUMIFS(tblMaster_Inputs[Baseline_Amount], tblMaster_Inputs[Year], 2023, tblMaster_Inputs[Bucket], "Business Income", tblMaster_Inputs[NIIT_Class], "Passive", tblMaster_Inputs[Activity_Type], "Strategy")</f>
        <v>0</v>
      </c>
      <c r="J10">
        <f>SUMIFS(tblMaster_Inputs[Baseline_Amount], tblMaster_Inputs[Year], 2024, tblMaster_Inputs[Bucket], "Business Income", tblMaster_Inputs[NIIT_Class], "Passive", tblMaster_Inputs[Activity_Type], "Strategy")</f>
        <v>0</v>
      </c>
      <c r="K10">
        <f>SUMIFS(tblMaster_Inputs[Baseline_Amount], tblMaster_Inputs[Year], 2025, tblMaster_Inputs[Bucket], "Business Income", tblMaster_Inputs[NIIT_Class], "Passive", tblMaster_Inputs[Activity_Type], "Strategy")</f>
        <v>-80000</v>
      </c>
      <c r="L10">
        <f>SUMIFS(tblMaster_Inputs[Baseline_Amount], tblMaster_Inputs[Year], 2026, tblMaster_Inputs[Bucket], "Business Income", tblMaster_Inputs[NIIT_Class], "Passive", tblMaster_Inputs[Activity_Type], "Strategy")</f>
        <v>0</v>
      </c>
      <c r="M10">
        <f>SUMIFS(tblMaster_Inputs[Baseline_Amount], tblMaster_Inputs[Year], 2027, tblMaster_Inputs[Bucket], "Business Income", tblMaster_Inputs[NIIT_Class], "Passive", tblMaster_Inputs[Activity_Type], "Strategy")</f>
        <v>0</v>
      </c>
      <c r="N10">
        <f>SUMIFS(tblMaster_Inputs[Baseline_Amount], tblMaster_Inputs[Year], 2028, tblMaster_Inputs[Bucket], "Business Income", tblMaster_Inputs[NIIT_Class], "Passive", tblMaster_Inputs[Activity_Type], "Strategy")</f>
        <v>0</v>
      </c>
      <c r="O10">
        <f>C10+I10</f>
        <v>0</v>
      </c>
      <c r="P10">
        <f>D10+J10</f>
        <v>-100766</v>
      </c>
      <c r="Q10">
        <f>E10+K10</f>
        <v>-80000</v>
      </c>
      <c r="R10">
        <f>F10+L10</f>
        <v>0</v>
      </c>
      <c r="S10">
        <f>G10+M10</f>
        <v>0</v>
      </c>
      <c r="T10">
        <f>H10+N10</f>
        <v>0</v>
      </c>
    </row>
    <row r="11" spans="1:20" x14ac:dyDescent="0.35">
      <c r="A11" t="s">
        <v>565</v>
      </c>
      <c r="B11" t="s">
        <v>566</v>
      </c>
      <c r="C11">
        <f>SUMIFS(tblMaster_Inputs[Helper_Amount], tblMaster_Inputs[Year], 2023, tblMaster_Inputs[Helper_Treatment], "TAX_EXEMPT", tblMaster_Inputs[Activity_Type], "Baseline")</f>
        <v>0</v>
      </c>
      <c r="D11">
        <f>SUMIFS(tblMaster_Inputs[Helper_Amount], tblMaster_Inputs[Year], 2024, tblMaster_Inputs[Helper_Treatment], "TAX_EXEMPT", tblMaster_Inputs[Activity_Type], "Baseline")</f>
        <v>0</v>
      </c>
      <c r="E11">
        <f>SUMIFS(tblMaster_Inputs[Helper_Amount], tblMaster_Inputs[Year], 2025, tblMaster_Inputs[Helper_Treatment], "TAX_EXEMPT", tblMaster_Inputs[Activity_Type], "Baseline")</f>
        <v>0</v>
      </c>
      <c r="F11">
        <f>SUMIFS(tblMaster_Inputs[Helper_Amount], tblMaster_Inputs[Year], 2026, tblMaster_Inputs[Helper_Treatment], "TAX_EXEMPT", tblMaster_Inputs[Activity_Type], "Baseline")</f>
        <v>0</v>
      </c>
      <c r="G11">
        <f>SUMIFS(tblMaster_Inputs[Helper_Amount], tblMaster_Inputs[Year], 2027, tblMaster_Inputs[Helper_Treatment], "TAX_EXEMPT", tblMaster_Inputs[Activity_Type], "Baseline")</f>
        <v>0</v>
      </c>
      <c r="H11">
        <f>SUMIFS(tblMaster_Inputs[Helper_Amount], tblMaster_Inputs[Year], 2028, tblMaster_Inputs[Helper_Treatment], "TAX_EXEMPT", tblMaster_Inputs[Activity_Type], "Baseline")</f>
        <v>0</v>
      </c>
      <c r="I11">
        <f>SUMIFS(tblMaster_Inputs[Helper_Amount], tblMaster_Inputs[Year], 2023, tblMaster_Inputs[Helper_Treatment], "TAX_EXEMPT", tblMaster_Inputs[Activity_Type], "Strategy")</f>
        <v>0</v>
      </c>
      <c r="J11">
        <f>SUMIFS(tblMaster_Inputs[Helper_Amount], tblMaster_Inputs[Year], 2024, tblMaster_Inputs[Helper_Treatment], "TAX_EXEMPT", tblMaster_Inputs[Activity_Type], "Strategy")</f>
        <v>0</v>
      </c>
      <c r="K11">
        <f>SUMIFS(tblMaster_Inputs[Helper_Amount], tblMaster_Inputs[Year], 2025, tblMaster_Inputs[Helper_Treatment], "TAX_EXEMPT", tblMaster_Inputs[Activity_Type], "Strategy")</f>
        <v>0</v>
      </c>
      <c r="L11">
        <f>SUMIFS(tblMaster_Inputs[Helper_Amount], tblMaster_Inputs[Year], 2026, tblMaster_Inputs[Helper_Treatment], "TAX_EXEMPT", tblMaster_Inputs[Activity_Type], "Strategy")</f>
        <v>0</v>
      </c>
      <c r="M11">
        <f>SUMIFS(tblMaster_Inputs[Helper_Amount], tblMaster_Inputs[Year], 2027, tblMaster_Inputs[Helper_Treatment], "TAX_EXEMPT", tblMaster_Inputs[Activity_Type], "Strategy")</f>
        <v>0</v>
      </c>
      <c r="N11">
        <f>SUMIFS(tblMaster_Inputs[Helper_Amount], tblMaster_Inputs[Year], 2028, tblMaster_Inputs[Helper_Treatment], "TAX_EXEMPT", tblMaster_Inputs[Activity_Type], "Strategy")</f>
        <v>0</v>
      </c>
      <c r="O11">
        <f>C11+I11</f>
        <v>0</v>
      </c>
      <c r="P11">
        <f>D11+J11</f>
        <v>0</v>
      </c>
      <c r="Q11">
        <f>E11+K11</f>
        <v>0</v>
      </c>
      <c r="R11">
        <f>F11+L11</f>
        <v>0</v>
      </c>
      <c r="S11">
        <f>G11+M11</f>
        <v>0</v>
      </c>
      <c r="T11">
        <f>H11+N11</f>
        <v>0</v>
      </c>
    </row>
    <row r="12" spans="1:20" x14ac:dyDescent="0.35">
      <c r="A12" t="s">
        <v>301</v>
      </c>
      <c r="B12" t="s">
        <v>567</v>
      </c>
      <c r="C12">
        <f>SUMIFS(tblMaster_Inputs[Helper_Amount], tblMaster_Inputs[Year], 2023, tblMaster_Inputs[Helper_Treatment], "QUAL_DIV", tblMaster_Inputs[Activity_Type], "Baseline")</f>
        <v>0</v>
      </c>
      <c r="D12">
        <f>SUMIFS(tblMaster_Inputs[Helper_Amount], tblMaster_Inputs[Year], 2024, tblMaster_Inputs[Helper_Treatment], "QUAL_DIV", tblMaster_Inputs[Activity_Type], "Baseline")</f>
        <v>0</v>
      </c>
      <c r="E12">
        <f>SUMIFS(tblMaster_Inputs[Helper_Amount], tblMaster_Inputs[Year], 2025, tblMaster_Inputs[Helper_Treatment], "QUAL_DIV", tblMaster_Inputs[Activity_Type], "Baseline")</f>
        <v>7000</v>
      </c>
      <c r="F12">
        <f>SUMIFS(tblMaster_Inputs[Helper_Amount], tblMaster_Inputs[Year], 2026, tblMaster_Inputs[Helper_Treatment], "QUAL_DIV", tblMaster_Inputs[Activity_Type], "Baseline")</f>
        <v>0</v>
      </c>
      <c r="G12">
        <f>SUMIFS(tblMaster_Inputs[Helper_Amount], tblMaster_Inputs[Year], 2027, tblMaster_Inputs[Helper_Treatment], "QUAL_DIV", tblMaster_Inputs[Activity_Type], "Baseline")</f>
        <v>0</v>
      </c>
      <c r="H12">
        <f>SUMIFS(tblMaster_Inputs[Helper_Amount], tblMaster_Inputs[Year], 2028, tblMaster_Inputs[Helper_Treatment], "QUAL_DIV", tblMaster_Inputs[Activity_Type], "Baseline")</f>
        <v>0</v>
      </c>
      <c r="I12">
        <f>SUMIFS(tblMaster_Inputs[Helper_Amount], tblMaster_Inputs[Year], 2023, tblMaster_Inputs[Helper_Treatment], "QUAL_DIV", tblMaster_Inputs[Activity_Type], "Strategy")</f>
        <v>0</v>
      </c>
      <c r="J12">
        <f>SUMIFS(tblMaster_Inputs[Helper_Amount], tblMaster_Inputs[Year], 2024, tblMaster_Inputs[Helper_Treatment], "QUAL_DIV", tblMaster_Inputs[Activity_Type], "Strategy")</f>
        <v>0</v>
      </c>
      <c r="K12">
        <f>SUMIFS(tblMaster_Inputs[Helper_Amount], tblMaster_Inputs[Year], 2025, tblMaster_Inputs[Helper_Treatment], "QUAL_DIV", tblMaster_Inputs[Activity_Type], "Strategy")</f>
        <v>0</v>
      </c>
      <c r="L12">
        <f>SUMIFS(tblMaster_Inputs[Helper_Amount], tblMaster_Inputs[Year], 2026, tblMaster_Inputs[Helper_Treatment], "QUAL_DIV", tblMaster_Inputs[Activity_Type], "Strategy")</f>
        <v>0</v>
      </c>
      <c r="M12">
        <f>SUMIFS(tblMaster_Inputs[Helper_Amount], tblMaster_Inputs[Year], 2027, tblMaster_Inputs[Helper_Treatment], "QUAL_DIV", tblMaster_Inputs[Activity_Type], "Strategy")</f>
        <v>0</v>
      </c>
      <c r="N12">
        <f>SUMIFS(tblMaster_Inputs[Helper_Amount], tblMaster_Inputs[Year], 2028, tblMaster_Inputs[Helper_Treatment], "QUAL_DIV", tblMaster_Inputs[Activity_Type], "Strategy")</f>
        <v>0</v>
      </c>
      <c r="O12">
        <f>C12+I12</f>
        <v>0</v>
      </c>
      <c r="P12">
        <f>D12+J12</f>
        <v>0</v>
      </c>
      <c r="Q12">
        <f>E12+K12</f>
        <v>7000</v>
      </c>
      <c r="R12">
        <f>F12+L12</f>
        <v>0</v>
      </c>
      <c r="S12">
        <f>G12+M12</f>
        <v>0</v>
      </c>
      <c r="T12">
        <f>H12+N12</f>
        <v>0</v>
      </c>
    </row>
    <row r="13" spans="1:20" x14ac:dyDescent="0.35">
      <c r="A13" t="s">
        <v>568</v>
      </c>
      <c r="B13" t="s">
        <v>569</v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>0</v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>14487</v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>25000</v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>0</v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>0</v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>0</v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>0</v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>0</v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>0</v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>0</v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>0</v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>0</v>
      </c>
      <c r="O13">
        <f>C13+I13</f>
        <v>0</v>
      </c>
      <c r="P13">
        <f>D13+J13</f>
        <v>14487</v>
      </c>
      <c r="Q13">
        <f>E13+K13</f>
        <v>25000</v>
      </c>
      <c r="R13">
        <f>F13+L13</f>
        <v>0</v>
      </c>
      <c r="S13">
        <f>G13+M13</f>
        <v>0</v>
      </c>
      <c r="T13">
        <f>H13+N13</f>
        <v>0</v>
      </c>
    </row>
    <row r="14" spans="1:20" x14ac:dyDescent="0.35">
      <c r="A14" t="s">
        <v>570</v>
      </c>
      <c r="B14" t="s">
        <v>571</v>
      </c>
      <c r="C14">
        <f>SUMIFS(tblMaster_Inputs[Baseline_Amount], tblMaster_Inputs[Year], 2023, tblMaster_Inputs[Treatment_Profile], "STCG_Stock", tblMaster_Inputs[Activity_Type], "Baseline")</f>
        <v>0</v>
      </c>
      <c r="D14">
        <f>SUMIFS(tblMaster_Inputs[Baseline_Amount], tblMaster_Inputs[Year], 2024, tblMaster_Inputs[Treatment_Profile], "STCG_Stock", tblMaster_Inputs[Activity_Type], "Baseline")</f>
        <v>0</v>
      </c>
      <c r="E14">
        <f>SUMIFS(tblMaster_Inputs[Baseline_Amount], tblMaster_Inputs[Year], 2025, tblMaster_Inputs[Treatment_Profile], "STCG_Stock", tblMaster_Inputs[Activity_Type], "Baseline")</f>
        <v>0</v>
      </c>
      <c r="F14">
        <f>SUMIFS(tblMaster_Inputs[Baseline_Amount], tblMaster_Inputs[Year], 2026, tblMaster_Inputs[Treatment_Profile], "STCG_Stock", tblMaster_Inputs[Activity_Type], "Baseline")</f>
        <v>0</v>
      </c>
      <c r="G14">
        <f>SUMIFS(tblMaster_Inputs[Baseline_Amount], tblMaster_Inputs[Year], 2027, tblMaster_Inputs[Treatment_Profile], "STCG_Stock", tblMaster_Inputs[Activity_Type], "Baseline")</f>
        <v>0</v>
      </c>
      <c r="H14">
        <f>SUMIFS(tblMaster_Inputs[Baseline_Amount], tblMaster_Inputs[Year], 2028, tblMaster_Inputs[Treatment_Profile], "STCG_Stock", tblMaster_Inputs[Activity_Type], "Baseline")</f>
        <v>0</v>
      </c>
      <c r="I14">
        <f>SUMIFS(tblMaster_Inputs[Baseline_Amount], tblMaster_Inputs[Year], 2023, tblMaster_Inputs[Treatment_Profile], "STCG_Stock", tblMaster_Inputs[Activity_Type], "Strategy")</f>
        <v>0</v>
      </c>
      <c r="J14">
        <f>SUMIFS(tblMaster_Inputs[Baseline_Amount], tblMaster_Inputs[Year], 2024, tblMaster_Inputs[Treatment_Profile], "STCG_Stock", tblMaster_Inputs[Activity_Type], "Strategy")</f>
        <v>0</v>
      </c>
      <c r="K14">
        <f>SUMIFS(tblMaster_Inputs[Baseline_Amount], tblMaster_Inputs[Year], 2025, tblMaster_Inputs[Treatment_Profile], "STCG_Stock", tblMaster_Inputs[Activity_Type], "Strategy")</f>
        <v>0</v>
      </c>
      <c r="L14">
        <f>SUMIFS(tblMaster_Inputs[Baseline_Amount], tblMaster_Inputs[Year], 2026, tblMaster_Inputs[Treatment_Profile], "STCG_Stock", tblMaster_Inputs[Activity_Type], "Strategy")</f>
        <v>0</v>
      </c>
      <c r="M14">
        <f>SUMIFS(tblMaster_Inputs[Baseline_Amount], tblMaster_Inputs[Year], 2027, tblMaster_Inputs[Treatment_Profile], "STCG_Stock", tblMaster_Inputs[Activity_Type], "Strategy")</f>
        <v>0</v>
      </c>
      <c r="N14">
        <f>SUMIFS(tblMaster_Inputs[Baseline_Amount], tblMaster_Inputs[Year], 2028, tblMaster_Inputs[Treatment_Profile], "STCG_Stock", tblMaster_Inputs[Activity_Type], "Strategy")</f>
        <v>0</v>
      </c>
      <c r="O14">
        <f>C14+I14</f>
        <v>0</v>
      </c>
      <c r="P14">
        <f>D14+J14</f>
        <v>0</v>
      </c>
      <c r="Q14">
        <f>E14+K14</f>
        <v>0</v>
      </c>
      <c r="R14">
        <f>F14+L14</f>
        <v>0</v>
      </c>
      <c r="S14">
        <f>G14+M14</f>
        <v>0</v>
      </c>
      <c r="T14">
        <f>H14+N14</f>
        <v>0</v>
      </c>
    </row>
    <row r="15" spans="1:20" x14ac:dyDescent="0.35">
      <c r="A15" t="s">
        <v>572</v>
      </c>
      <c r="B15" t="s">
        <v>573</v>
      </c>
      <c r="C15">
        <f>SUMIFS(tblMaster_Inputs[Helper_Amount], tblMaster_Inputs[Year], 2023, tblMaster_Inputs[Helper_Treatment], "SEC1250", tblMaster_Inputs[Activity_Type], "Baseline")</f>
        <v>0</v>
      </c>
      <c r="D15">
        <f>SUMIFS(tblMaster_Inputs[Helper_Amount], tblMaster_Inputs[Year], 2024, tblMaster_Inputs[Helper_Treatment], "SEC1250", tblMaster_Inputs[Activity_Type], "Baseline")</f>
        <v>0</v>
      </c>
      <c r="E15">
        <f>SUMIFS(tblMaster_Inputs[Helper_Amount], tblMaster_Inputs[Year], 2025, tblMaster_Inputs[Helper_Treatment], "SEC1250", tblMaster_Inputs[Activity_Type], "Baseline")</f>
        <v>0</v>
      </c>
      <c r="F15">
        <f>SUMIFS(tblMaster_Inputs[Helper_Amount], tblMaster_Inputs[Year], 2026, tblMaster_Inputs[Helper_Treatment], "SEC1250", tblMaster_Inputs[Activity_Type], "Baseline")</f>
        <v>0</v>
      </c>
      <c r="G15">
        <f>SUMIFS(tblMaster_Inputs[Helper_Amount], tblMaster_Inputs[Year], 2027, tblMaster_Inputs[Helper_Treatment], "SEC1250", tblMaster_Inputs[Activity_Type], "Baseline")</f>
        <v>0</v>
      </c>
      <c r="H15">
        <f>SUMIFS(tblMaster_Inputs[Helper_Amount], tblMaster_Inputs[Year], 2028, tblMaster_Inputs[Helper_Treatment], "SEC1250", tblMaster_Inputs[Activity_Type], "Baseline")</f>
        <v>0</v>
      </c>
      <c r="I15">
        <f>SUMIFS(tblMaster_Inputs[Helper_Amount], tblMaster_Inputs[Year], 2023, tblMaster_Inputs[Helper_Treatment], "SEC1250", tblMaster_Inputs[Activity_Type], "Strategy")</f>
        <v>0</v>
      </c>
      <c r="J15">
        <f>SUMIFS(tblMaster_Inputs[Helper_Amount], tblMaster_Inputs[Year], 2024, tblMaster_Inputs[Helper_Treatment], "SEC1250", tblMaster_Inputs[Activity_Type], "Strategy")</f>
        <v>0</v>
      </c>
      <c r="K15">
        <f>SUMIFS(tblMaster_Inputs[Helper_Amount], tblMaster_Inputs[Year], 2025, tblMaster_Inputs[Helper_Treatment], "SEC1250", tblMaster_Inputs[Activity_Type], "Strategy")</f>
        <v>0</v>
      </c>
      <c r="L15">
        <f>SUMIFS(tblMaster_Inputs[Helper_Amount], tblMaster_Inputs[Year], 2026, tblMaster_Inputs[Helper_Treatment], "SEC1250", tblMaster_Inputs[Activity_Type], "Strategy")</f>
        <v>0</v>
      </c>
      <c r="M15">
        <f>SUMIFS(tblMaster_Inputs[Helper_Amount], tblMaster_Inputs[Year], 2027, tblMaster_Inputs[Helper_Treatment], "SEC1250", tblMaster_Inputs[Activity_Type], "Strategy")</f>
        <v>0</v>
      </c>
      <c r="N15">
        <f>SUMIFS(tblMaster_Inputs[Helper_Amount], tblMaster_Inputs[Year], 2028, tblMaster_Inputs[Helper_Treatment], "SEC1250", tblMaster_Inputs[Activity_Type], "Strategy")</f>
        <v>0</v>
      </c>
      <c r="O15">
        <f>C15+I15</f>
        <v>0</v>
      </c>
      <c r="P15">
        <f>D15+J15</f>
        <v>0</v>
      </c>
      <c r="Q15">
        <f>E15+K15</f>
        <v>0</v>
      </c>
      <c r="R15">
        <f>F15+L15</f>
        <v>0</v>
      </c>
      <c r="S15">
        <f>G15+M15</f>
        <v>0</v>
      </c>
      <c r="T15">
        <f>H15+N15</f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B1:E15"/>
  <sheetViews>
    <sheetView workbookViewId="0">
      <selection activeCell="T18" sqref="T18"/>
    </sheetView>
  </sheetViews>
  <sheetFormatPr defaultRowHeight="14.5" x14ac:dyDescent="0.35"/>
  <cols>
    <col min="2" max="2" width="22.08984375" bestFit="1" customWidth="1"/>
    <col min="3" max="4" width="7.90625" bestFit="1" customWidth="1"/>
    <col min="5" max="5" width="10.7265625" bestFit="1" customWidth="1"/>
  </cols>
  <sheetData>
    <row r="1" spans="2:5" ht="18.5" customHeight="1" x14ac:dyDescent="0.45">
      <c r="B1" s="14" t="s">
        <v>574</v>
      </c>
    </row>
    <row r="3" spans="2:5" x14ac:dyDescent="0.35">
      <c r="B3" s="11" t="s">
        <v>269</v>
      </c>
      <c r="C3" t="s">
        <v>575</v>
      </c>
    </row>
    <row r="5" spans="2:5" x14ac:dyDescent="0.35">
      <c r="B5" s="11" t="s">
        <v>576</v>
      </c>
      <c r="C5" s="11" t="s">
        <v>265</v>
      </c>
    </row>
    <row r="6" spans="2:5" x14ac:dyDescent="0.35">
      <c r="B6" s="11" t="s">
        <v>275</v>
      </c>
      <c r="C6">
        <v>2024</v>
      </c>
      <c r="D6">
        <v>2025</v>
      </c>
      <c r="E6" t="s">
        <v>437</v>
      </c>
    </row>
    <row r="7" spans="2:5" x14ac:dyDescent="0.35">
      <c r="B7" t="s">
        <v>75</v>
      </c>
      <c r="C7" s="12"/>
      <c r="D7" s="12">
        <v>-10000</v>
      </c>
      <c r="E7" s="12">
        <v>-10000</v>
      </c>
    </row>
    <row r="8" spans="2:5" x14ac:dyDescent="0.35">
      <c r="B8" t="s">
        <v>21</v>
      </c>
      <c r="C8" s="12">
        <v>153648</v>
      </c>
      <c r="D8" s="12">
        <v>75000</v>
      </c>
      <c r="E8" s="12">
        <v>228648</v>
      </c>
    </row>
    <row r="9" spans="2:5" x14ac:dyDescent="0.35">
      <c r="B9" t="s">
        <v>34</v>
      </c>
      <c r="C9" s="12"/>
      <c r="D9" s="12">
        <v>500</v>
      </c>
      <c r="E9" s="12">
        <v>500</v>
      </c>
    </row>
    <row r="10" spans="2:5" x14ac:dyDescent="0.35">
      <c r="B10" t="s">
        <v>45</v>
      </c>
      <c r="C10" s="12">
        <v>25922</v>
      </c>
      <c r="D10" s="12">
        <v>10000</v>
      </c>
      <c r="E10" s="12">
        <v>35922</v>
      </c>
    </row>
    <row r="11" spans="2:5" x14ac:dyDescent="0.35">
      <c r="B11" t="s">
        <v>50</v>
      </c>
      <c r="C11" s="12">
        <v>14487</v>
      </c>
      <c r="D11" s="12">
        <v>25000</v>
      </c>
      <c r="E11" s="12">
        <v>39487</v>
      </c>
    </row>
    <row r="12" spans="2:5" x14ac:dyDescent="0.35">
      <c r="B12" t="s">
        <v>55</v>
      </c>
      <c r="C12" s="12">
        <v>-100766</v>
      </c>
      <c r="D12" s="12">
        <v>200000</v>
      </c>
      <c r="E12" s="12">
        <v>99234</v>
      </c>
    </row>
    <row r="13" spans="2:5" x14ac:dyDescent="0.35">
      <c r="B13">
        <v>8</v>
      </c>
      <c r="C13" s="12"/>
      <c r="D13" s="12">
        <v>-55000</v>
      </c>
      <c r="E13" s="12">
        <v>-55000</v>
      </c>
    </row>
    <row r="14" spans="2:5" x14ac:dyDescent="0.35">
      <c r="B14">
        <v>10</v>
      </c>
      <c r="C14" s="12"/>
      <c r="D14" s="12">
        <v>-8550</v>
      </c>
      <c r="E14" s="12">
        <v>-8550</v>
      </c>
    </row>
    <row r="15" spans="2:5" x14ac:dyDescent="0.35">
      <c r="B15" t="s">
        <v>437</v>
      </c>
      <c r="C15" s="12">
        <v>93291</v>
      </c>
      <c r="D15" s="12">
        <v>236950</v>
      </c>
      <c r="E15" s="12">
        <v>330241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B1:F10"/>
  <sheetViews>
    <sheetView workbookViewId="0">
      <selection activeCell="H18" sqref="H18"/>
    </sheetView>
  </sheetViews>
  <sheetFormatPr defaultRowHeight="14.5" x14ac:dyDescent="0.35"/>
  <cols>
    <col min="2" max="2" width="22.6328125" bestFit="1" customWidth="1"/>
    <col min="3" max="3" width="19.08984375" bestFit="1" customWidth="1"/>
    <col min="4" max="4" width="8" customWidth="1"/>
    <col min="5" max="5" width="10.6328125" bestFit="1" customWidth="1"/>
    <col min="6" max="6" width="10.7265625" customWidth="1"/>
  </cols>
  <sheetData>
    <row r="1" spans="2:6" ht="18.5" customHeight="1" x14ac:dyDescent="0.45">
      <c r="B1" s="14" t="s">
        <v>577</v>
      </c>
    </row>
    <row r="2" spans="2:6" x14ac:dyDescent="0.35">
      <c r="B2" s="11" t="s">
        <v>146</v>
      </c>
      <c r="C2" t="s">
        <v>578</v>
      </c>
    </row>
    <row r="3" spans="2:6" x14ac:dyDescent="0.35">
      <c r="B3" s="11" t="s">
        <v>269</v>
      </c>
      <c r="C3" t="s">
        <v>575</v>
      </c>
    </row>
    <row r="5" spans="2:6" x14ac:dyDescent="0.35">
      <c r="B5" s="11" t="s">
        <v>576</v>
      </c>
      <c r="D5" s="11" t="s">
        <v>265</v>
      </c>
    </row>
    <row r="6" spans="2:6" x14ac:dyDescent="0.35">
      <c r="B6" s="11" t="s">
        <v>148</v>
      </c>
      <c r="C6" s="11" t="s">
        <v>147</v>
      </c>
      <c r="D6">
        <v>2024</v>
      </c>
      <c r="E6">
        <v>2025</v>
      </c>
      <c r="F6" t="s">
        <v>437</v>
      </c>
    </row>
    <row r="7" spans="2:6" x14ac:dyDescent="0.35">
      <c r="B7" t="s">
        <v>351</v>
      </c>
      <c r="C7" t="s">
        <v>350</v>
      </c>
      <c r="D7" s="12"/>
      <c r="E7" s="12">
        <v>-80000</v>
      </c>
      <c r="F7" s="12">
        <v>-80000</v>
      </c>
    </row>
    <row r="8" spans="2:6" x14ac:dyDescent="0.35">
      <c r="B8" t="s">
        <v>291</v>
      </c>
      <c r="C8" t="s">
        <v>289</v>
      </c>
      <c r="D8" s="12">
        <v>-100766</v>
      </c>
      <c r="E8" s="12"/>
      <c r="F8" s="12">
        <v>-100766</v>
      </c>
    </row>
    <row r="9" spans="2:6" x14ac:dyDescent="0.35">
      <c r="B9" t="s">
        <v>317</v>
      </c>
      <c r="C9" t="s">
        <v>315</v>
      </c>
      <c r="D9" s="12"/>
      <c r="E9" s="12">
        <v>225000</v>
      </c>
      <c r="F9" s="12">
        <v>225000</v>
      </c>
    </row>
    <row r="10" spans="2:6" x14ac:dyDescent="0.35">
      <c r="B10" t="s">
        <v>437</v>
      </c>
      <c r="D10" s="12">
        <v>-100766</v>
      </c>
      <c r="E10" s="12">
        <v>145000</v>
      </c>
      <c r="F10" s="12">
        <v>44234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B1:K19"/>
  <sheetViews>
    <sheetView workbookViewId="0">
      <selection activeCell="K14" sqref="K14:K15"/>
    </sheetView>
  </sheetViews>
  <sheetFormatPr defaultRowHeight="14.5" x14ac:dyDescent="0.35"/>
  <cols>
    <col min="2" max="2" width="22.6328125" bestFit="1" customWidth="1"/>
    <col min="3" max="3" width="18.54296875" bestFit="1" customWidth="1"/>
    <col min="4" max="4" width="14.26953125" bestFit="1" customWidth="1"/>
    <col min="5" max="6" width="7.90625" bestFit="1" customWidth="1"/>
    <col min="7" max="7" width="10.7265625" bestFit="1" customWidth="1"/>
  </cols>
  <sheetData>
    <row r="1" spans="2:11" ht="18.5" customHeight="1" x14ac:dyDescent="0.45">
      <c r="B1" s="14" t="s">
        <v>579</v>
      </c>
    </row>
    <row r="3" spans="2:11" x14ac:dyDescent="0.35">
      <c r="B3" s="11" t="s">
        <v>269</v>
      </c>
      <c r="C3" t="s">
        <v>575</v>
      </c>
    </row>
    <row r="5" spans="2:11" x14ac:dyDescent="0.35">
      <c r="B5" s="11" t="s">
        <v>576</v>
      </c>
      <c r="E5" s="11" t="s">
        <v>265</v>
      </c>
      <c r="I5" s="17" t="s">
        <v>148</v>
      </c>
      <c r="J5" s="17">
        <v>2024</v>
      </c>
      <c r="K5" s="17">
        <v>2025</v>
      </c>
    </row>
    <row r="6" spans="2:11" x14ac:dyDescent="0.35">
      <c r="B6" s="11" t="s">
        <v>148</v>
      </c>
      <c r="C6" s="11" t="s">
        <v>147</v>
      </c>
      <c r="D6" s="11" t="s">
        <v>275</v>
      </c>
      <c r="E6">
        <v>2024</v>
      </c>
      <c r="F6">
        <v>2025</v>
      </c>
      <c r="G6" t="s">
        <v>437</v>
      </c>
      <c r="I6" t="s">
        <v>283</v>
      </c>
      <c r="J6" s="12">
        <f>SUMIFS(tblMaster_Inputs[Baseline_Amount],tblMaster_Inputs[Payor],"Acme S-Corp",tblMaster_Inputs[Year],2024)</f>
        <v>153648</v>
      </c>
      <c r="K6" s="12">
        <f>SUMIFS(tblMaster_Inputs[Baseline_Amount],tblMaster_Inputs[Payor],"Acme S-Corp",tblMaster_Inputs[Year],2025)</f>
        <v>0</v>
      </c>
    </row>
    <row r="7" spans="2:11" x14ac:dyDescent="0.35">
      <c r="B7" t="s">
        <v>283</v>
      </c>
      <c r="C7" t="s">
        <v>280</v>
      </c>
      <c r="D7" t="s">
        <v>21</v>
      </c>
      <c r="E7" s="12">
        <v>153648</v>
      </c>
      <c r="F7" s="12"/>
      <c r="G7" s="12">
        <v>153648</v>
      </c>
      <c r="I7" t="s">
        <v>300</v>
      </c>
      <c r="J7" s="12">
        <f>SUMIFS(tblMaster_Inputs[Baseline_Amount],tblMaster_Inputs[Payor],"Brokerage",tblMaster_Inputs[Year],2024)</f>
        <v>40409</v>
      </c>
      <c r="K7" s="12">
        <f>SUMIFS(tblMaster_Inputs[Baseline_Amount],tblMaster_Inputs[Payor],"Brokerage",tblMaster_Inputs[Year],2025)</f>
        <v>35500</v>
      </c>
    </row>
    <row r="8" spans="2:11" x14ac:dyDescent="0.35">
      <c r="B8" t="s">
        <v>300</v>
      </c>
      <c r="C8" t="s">
        <v>298</v>
      </c>
      <c r="D8" t="s">
        <v>45</v>
      </c>
      <c r="E8" s="12">
        <v>25922</v>
      </c>
      <c r="F8" s="12"/>
      <c r="G8" s="12">
        <v>25922</v>
      </c>
      <c r="I8" t="s">
        <v>291</v>
      </c>
      <c r="J8" s="12">
        <f>SUMIFS(tblMaster_Inputs[Baseline_Amount],tblMaster_Inputs[Payor],"Cedillo Partnership",tblMaster_Inputs[Year],2024)</f>
        <v>-100766</v>
      </c>
      <c r="K8" s="12">
        <f>SUMIFS(tblMaster_Inputs[Baseline_Amount],tblMaster_Inputs[Payor],"Cedillo Partnership",tblMaster_Inputs[Year],2025)</f>
        <v>0</v>
      </c>
    </row>
    <row r="9" spans="2:11" x14ac:dyDescent="0.35">
      <c r="C9" t="s">
        <v>320</v>
      </c>
      <c r="D9" t="s">
        <v>45</v>
      </c>
      <c r="E9" s="12"/>
      <c r="F9" s="12">
        <v>10000</v>
      </c>
      <c r="G9" s="12">
        <v>10000</v>
      </c>
      <c r="I9" t="s">
        <v>313</v>
      </c>
      <c r="J9" s="12">
        <f>SUMIFS(tblMaster_Inputs[Baseline_Amount],tblMaster_Inputs[Payor],"SampleCo S-Corp",tblMaster_Inputs[Year],2024)</f>
        <v>0</v>
      </c>
      <c r="K9" s="12">
        <f>SUMIFS(tblMaster_Inputs[Baseline_Amount],tblMaster_Inputs[Payor],"SampleCo S-Corp",tblMaster_Inputs[Year],2025)</f>
        <v>75000</v>
      </c>
    </row>
    <row r="10" spans="2:11" x14ac:dyDescent="0.35">
      <c r="C10" t="s">
        <v>324</v>
      </c>
      <c r="D10" t="s">
        <v>34</v>
      </c>
      <c r="E10" s="12"/>
      <c r="F10" s="12">
        <v>500</v>
      </c>
      <c r="G10" s="12">
        <v>500</v>
      </c>
      <c r="I10" t="s">
        <v>1803</v>
      </c>
      <c r="J10" s="12">
        <f>SUMIFS(tblMaster_Inputs[Baseline_Amount],tblMaster_Inputs[Payor],"SampleCo S-Corp K-1",tblMaster_Inputs[Year],2024)</f>
        <v>0</v>
      </c>
      <c r="K10" s="12">
        <f>SUMIFS(tblMaster_Inputs[Baseline_Amount],tblMaster_Inputs[Payor],"SampleCo S-Corp K-1",tblMaster_Inputs[Year],2025)</f>
        <v>225000</v>
      </c>
    </row>
    <row r="11" spans="2:11" x14ac:dyDescent="0.35">
      <c r="C11" t="s">
        <v>306</v>
      </c>
      <c r="D11" t="s">
        <v>50</v>
      </c>
      <c r="E11" s="12">
        <v>14487</v>
      </c>
      <c r="F11" s="12">
        <v>25000</v>
      </c>
      <c r="G11" s="12">
        <v>39487</v>
      </c>
      <c r="I11" t="s">
        <v>1804</v>
      </c>
      <c r="J11" s="12">
        <f>SUMIFS(tblMaster_Inputs[Baseline_Amount],tblMaster_Inputs[Payor],"123 Main St, Salt Lake City",tblMaster_Inputs[Year],2024)</f>
        <v>0</v>
      </c>
      <c r="K11" s="12">
        <f>SUMIFS(tblMaster_Inputs[Baseline_Amount],tblMaster_Inputs[Payor],"123 Main St, Salt Lake City",tblMaster_Inputs[Year],2025)</f>
        <v>-80000</v>
      </c>
    </row>
    <row r="12" spans="2:11" x14ac:dyDescent="0.35">
      <c r="B12" t="s">
        <v>291</v>
      </c>
      <c r="C12" t="s">
        <v>289</v>
      </c>
      <c r="D12" t="s">
        <v>55</v>
      </c>
      <c r="E12" s="12">
        <v>-100766</v>
      </c>
      <c r="F12" s="12"/>
      <c r="G12" s="12">
        <v>-100766</v>
      </c>
    </row>
    <row r="13" spans="2:11" x14ac:dyDescent="0.35">
      <c r="B13" t="s">
        <v>313</v>
      </c>
      <c r="C13" t="s">
        <v>280</v>
      </c>
      <c r="D13" t="s">
        <v>21</v>
      </c>
      <c r="E13" s="12"/>
      <c r="F13" s="12">
        <v>75000</v>
      </c>
      <c r="G13" s="12">
        <v>75000</v>
      </c>
    </row>
    <row r="14" spans="2:11" x14ac:dyDescent="0.35">
      <c r="B14" t="s">
        <v>317</v>
      </c>
      <c r="C14" t="s">
        <v>315</v>
      </c>
      <c r="D14">
        <v>8</v>
      </c>
      <c r="E14" s="12"/>
      <c r="F14" s="12">
        <v>25000</v>
      </c>
      <c r="G14" s="12">
        <v>25000</v>
      </c>
    </row>
    <row r="15" spans="2:11" x14ac:dyDescent="0.35">
      <c r="D15" t="s">
        <v>55</v>
      </c>
      <c r="E15" s="12"/>
      <c r="F15" s="12">
        <v>200000</v>
      </c>
      <c r="G15" s="12">
        <v>200000</v>
      </c>
    </row>
    <row r="16" spans="2:11" x14ac:dyDescent="0.35">
      <c r="B16" t="s">
        <v>580</v>
      </c>
      <c r="C16" t="s">
        <v>332</v>
      </c>
      <c r="D16" t="s">
        <v>75</v>
      </c>
      <c r="E16" s="12"/>
      <c r="F16" s="12">
        <v>-10000</v>
      </c>
      <c r="G16" s="12">
        <v>-10000</v>
      </c>
    </row>
    <row r="17" spans="2:7" x14ac:dyDescent="0.35">
      <c r="C17" t="s">
        <v>346</v>
      </c>
      <c r="D17">
        <v>10</v>
      </c>
      <c r="E17" s="12"/>
      <c r="F17" s="12">
        <v>-8550</v>
      </c>
      <c r="G17" s="12">
        <v>-8550</v>
      </c>
    </row>
    <row r="18" spans="2:7" x14ac:dyDescent="0.35">
      <c r="B18" t="s">
        <v>351</v>
      </c>
      <c r="C18" t="s">
        <v>350</v>
      </c>
      <c r="D18">
        <v>8</v>
      </c>
      <c r="E18" s="12"/>
      <c r="F18" s="12">
        <v>-80000</v>
      </c>
      <c r="G18" s="12">
        <v>-80000</v>
      </c>
    </row>
    <row r="19" spans="2:7" x14ac:dyDescent="0.35">
      <c r="B19" t="s">
        <v>437</v>
      </c>
      <c r="E19" s="12">
        <v>93291</v>
      </c>
      <c r="F19" s="12">
        <v>236950</v>
      </c>
      <c r="G19" s="12">
        <v>330241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B1:E9"/>
  <sheetViews>
    <sheetView workbookViewId="0"/>
  </sheetViews>
  <sheetFormatPr defaultRowHeight="14.5" x14ac:dyDescent="0.35"/>
  <cols>
    <col min="2" max="2" width="21.08984375" bestFit="1" customWidth="1"/>
    <col min="3" max="4" width="7.36328125" bestFit="1" customWidth="1"/>
    <col min="5" max="5" width="10.7265625" bestFit="1" customWidth="1"/>
  </cols>
  <sheetData>
    <row r="1" spans="2:5" ht="18.5" customHeight="1" x14ac:dyDescent="0.45">
      <c r="B1" s="14" t="s">
        <v>581</v>
      </c>
    </row>
    <row r="3" spans="2:5" x14ac:dyDescent="0.35">
      <c r="B3" s="11" t="s">
        <v>269</v>
      </c>
      <c r="C3" t="s">
        <v>575</v>
      </c>
    </row>
    <row r="5" spans="2:5" x14ac:dyDescent="0.35">
      <c r="B5" s="11" t="s">
        <v>582</v>
      </c>
      <c r="C5" s="11" t="s">
        <v>265</v>
      </c>
    </row>
    <row r="6" spans="2:5" x14ac:dyDescent="0.35">
      <c r="B6" s="11" t="s">
        <v>271</v>
      </c>
      <c r="C6">
        <v>2024</v>
      </c>
      <c r="D6">
        <v>2025</v>
      </c>
      <c r="E6" t="s">
        <v>437</v>
      </c>
    </row>
    <row r="7" spans="2:5" x14ac:dyDescent="0.35">
      <c r="B7" t="s">
        <v>284</v>
      </c>
      <c r="C7" s="12">
        <v>0</v>
      </c>
      <c r="D7" s="12">
        <v>100000</v>
      </c>
      <c r="E7" s="12">
        <v>100000</v>
      </c>
    </row>
    <row r="8" spans="2:5" x14ac:dyDescent="0.35">
      <c r="B8" t="s">
        <v>301</v>
      </c>
      <c r="C8" s="12">
        <v>0</v>
      </c>
      <c r="D8" s="12">
        <v>7000</v>
      </c>
      <c r="E8" s="12">
        <v>7000</v>
      </c>
    </row>
    <row r="9" spans="2:5" x14ac:dyDescent="0.35">
      <c r="B9" t="s">
        <v>437</v>
      </c>
      <c r="C9" s="12">
        <v>0</v>
      </c>
      <c r="D9" s="12">
        <v>107000</v>
      </c>
      <c r="E9" s="12">
        <v>107000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00000"/>
  </sheetPr>
  <dimension ref="B2:J612"/>
  <sheetViews>
    <sheetView workbookViewId="0">
      <selection activeCell="C26" sqref="C26"/>
    </sheetView>
  </sheetViews>
  <sheetFormatPr defaultRowHeight="14.5" x14ac:dyDescent="0.35"/>
  <cols>
    <col min="1" max="1" width="3.6328125" customWidth="1"/>
    <col min="2" max="2" width="10.90625" customWidth="1"/>
    <col min="3" max="3" width="16.36328125" customWidth="1"/>
    <col min="4" max="5" width="18.1796875" customWidth="1"/>
    <col min="6" max="6" width="12.7265625" customWidth="1"/>
    <col min="7" max="7" width="18.1796875" customWidth="1"/>
    <col min="8" max="10" width="10.36328125" customWidth="1"/>
  </cols>
  <sheetData>
    <row r="2" spans="2:7" ht="18.5" customHeight="1" x14ac:dyDescent="0.45">
      <c r="B2" s="15" t="s">
        <v>583</v>
      </c>
    </row>
    <row r="3" spans="2:7" x14ac:dyDescent="0.35">
      <c r="B3" s="16" t="s">
        <v>584</v>
      </c>
    </row>
    <row r="5" spans="2:7" ht="15" customHeight="1" thickBot="1" x14ac:dyDescent="0.4">
      <c r="B5" s="18" t="s">
        <v>585</v>
      </c>
    </row>
    <row r="6" spans="2:7" x14ac:dyDescent="0.35">
      <c r="B6" s="33" t="s">
        <v>586</v>
      </c>
    </row>
    <row r="8" spans="2:7" x14ac:dyDescent="0.35">
      <c r="B8" t="s">
        <v>265</v>
      </c>
      <c r="C8" t="s">
        <v>587</v>
      </c>
      <c r="D8" t="s">
        <v>588</v>
      </c>
      <c r="E8" t="s">
        <v>589</v>
      </c>
      <c r="F8" t="s">
        <v>590</v>
      </c>
      <c r="G8" t="s">
        <v>591</v>
      </c>
    </row>
    <row r="9" spans="2:7" x14ac:dyDescent="0.35">
      <c r="B9" s="20">
        <v>2023</v>
      </c>
      <c r="C9" s="21" t="s">
        <v>220</v>
      </c>
      <c r="D9" s="22">
        <v>0</v>
      </c>
      <c r="E9" s="22">
        <v>22000</v>
      </c>
      <c r="F9" s="23">
        <v>0.1</v>
      </c>
      <c r="G9" s="24">
        <v>0</v>
      </c>
    </row>
    <row r="10" spans="2:7" x14ac:dyDescent="0.35">
      <c r="B10" s="20">
        <v>2023</v>
      </c>
      <c r="C10" s="21" t="s">
        <v>220</v>
      </c>
      <c r="D10" s="22">
        <v>22000</v>
      </c>
      <c r="E10" s="22">
        <v>89450</v>
      </c>
      <c r="F10" s="23">
        <v>0.12</v>
      </c>
      <c r="G10" s="24">
        <v>2200</v>
      </c>
    </row>
    <row r="11" spans="2:7" x14ac:dyDescent="0.35">
      <c r="B11" s="20">
        <v>2023</v>
      </c>
      <c r="C11" s="21" t="s">
        <v>220</v>
      </c>
      <c r="D11" s="22">
        <v>89450</v>
      </c>
      <c r="E11" s="22">
        <v>190750</v>
      </c>
      <c r="F11" s="23">
        <v>0.22</v>
      </c>
      <c r="G11" s="24">
        <v>10294</v>
      </c>
    </row>
    <row r="12" spans="2:7" x14ac:dyDescent="0.35">
      <c r="B12" s="20">
        <v>2023</v>
      </c>
      <c r="C12" s="21" t="s">
        <v>220</v>
      </c>
      <c r="D12" s="22">
        <v>190750</v>
      </c>
      <c r="E12" s="22">
        <v>364200</v>
      </c>
      <c r="F12" s="23">
        <v>0.24</v>
      </c>
      <c r="G12" s="24">
        <v>32580</v>
      </c>
    </row>
    <row r="13" spans="2:7" x14ac:dyDescent="0.35">
      <c r="B13" s="20">
        <v>2023</v>
      </c>
      <c r="C13" s="21" t="s">
        <v>220</v>
      </c>
      <c r="D13" s="22">
        <v>364200</v>
      </c>
      <c r="E13" s="22">
        <v>462500</v>
      </c>
      <c r="F13" s="23">
        <v>0.32</v>
      </c>
      <c r="G13" s="24">
        <v>74208</v>
      </c>
    </row>
    <row r="14" spans="2:7" x14ac:dyDescent="0.35">
      <c r="B14" s="20">
        <v>2023</v>
      </c>
      <c r="C14" s="21" t="s">
        <v>220</v>
      </c>
      <c r="D14" s="22">
        <v>462500</v>
      </c>
      <c r="E14" s="22">
        <v>693750</v>
      </c>
      <c r="F14" s="23">
        <v>0.35</v>
      </c>
      <c r="G14" s="24">
        <v>105664</v>
      </c>
    </row>
    <row r="15" spans="2:7" x14ac:dyDescent="0.35">
      <c r="B15" s="20">
        <v>2023</v>
      </c>
      <c r="C15" s="21" t="s">
        <v>220</v>
      </c>
      <c r="D15" s="22">
        <v>693750</v>
      </c>
      <c r="E15" s="22">
        <v>9999999</v>
      </c>
      <c r="F15" s="23">
        <v>0.37</v>
      </c>
      <c r="G15" s="24">
        <v>186601.5</v>
      </c>
    </row>
    <row r="16" spans="2:7" x14ac:dyDescent="0.35">
      <c r="B16" s="20">
        <v>2023</v>
      </c>
      <c r="C16" s="21" t="s">
        <v>592</v>
      </c>
      <c r="D16" s="22">
        <v>0</v>
      </c>
      <c r="E16" s="22">
        <v>11000</v>
      </c>
      <c r="F16" s="23">
        <v>0.1</v>
      </c>
      <c r="G16" s="24">
        <v>0</v>
      </c>
    </row>
    <row r="17" spans="2:7" x14ac:dyDescent="0.35">
      <c r="B17" s="20">
        <v>2023</v>
      </c>
      <c r="C17" s="21" t="s">
        <v>592</v>
      </c>
      <c r="D17" s="22">
        <v>11000</v>
      </c>
      <c r="E17" s="22">
        <v>44725</v>
      </c>
      <c r="F17" s="23">
        <v>0.12</v>
      </c>
      <c r="G17" s="24">
        <v>1100</v>
      </c>
    </row>
    <row r="18" spans="2:7" x14ac:dyDescent="0.35">
      <c r="B18" s="20">
        <v>2023</v>
      </c>
      <c r="C18" s="21" t="s">
        <v>592</v>
      </c>
      <c r="D18" s="22">
        <v>44725</v>
      </c>
      <c r="E18" s="22">
        <v>95375</v>
      </c>
      <c r="F18" s="23">
        <v>0.22</v>
      </c>
      <c r="G18" s="24">
        <v>5147</v>
      </c>
    </row>
    <row r="19" spans="2:7" x14ac:dyDescent="0.35">
      <c r="B19" s="20">
        <v>2023</v>
      </c>
      <c r="C19" s="21" t="s">
        <v>592</v>
      </c>
      <c r="D19" s="22">
        <v>95375</v>
      </c>
      <c r="E19" s="22">
        <v>182100</v>
      </c>
      <c r="F19" s="23">
        <v>0.24</v>
      </c>
      <c r="G19" s="24">
        <v>16290</v>
      </c>
    </row>
    <row r="20" spans="2:7" x14ac:dyDescent="0.35">
      <c r="B20" s="20">
        <v>2023</v>
      </c>
      <c r="C20" s="21" t="s">
        <v>592</v>
      </c>
      <c r="D20" s="22">
        <v>182100</v>
      </c>
      <c r="E20" s="22">
        <v>231250</v>
      </c>
      <c r="F20" s="23">
        <v>0.32</v>
      </c>
      <c r="G20" s="24">
        <v>37104</v>
      </c>
    </row>
    <row r="21" spans="2:7" x14ac:dyDescent="0.35">
      <c r="B21" s="20">
        <v>2023</v>
      </c>
      <c r="C21" s="21" t="s">
        <v>592</v>
      </c>
      <c r="D21" s="22">
        <v>231250</v>
      </c>
      <c r="E21" s="22">
        <v>578125</v>
      </c>
      <c r="F21" s="23">
        <v>0.35</v>
      </c>
      <c r="G21" s="24">
        <v>52832</v>
      </c>
    </row>
    <row r="22" spans="2:7" x14ac:dyDescent="0.35">
      <c r="B22" s="20">
        <v>2023</v>
      </c>
      <c r="C22" s="21" t="s">
        <v>592</v>
      </c>
      <c r="D22" s="22">
        <v>578125</v>
      </c>
      <c r="E22" s="22">
        <v>9999999</v>
      </c>
      <c r="F22" s="23">
        <v>0.37</v>
      </c>
      <c r="G22" s="24">
        <v>174238.25</v>
      </c>
    </row>
    <row r="23" spans="2:7" x14ac:dyDescent="0.35">
      <c r="B23" s="20">
        <v>2024</v>
      </c>
      <c r="C23" s="21" t="s">
        <v>220</v>
      </c>
      <c r="D23" s="22">
        <v>0</v>
      </c>
      <c r="E23" s="22">
        <v>23200</v>
      </c>
      <c r="F23" s="23">
        <v>0.1</v>
      </c>
      <c r="G23" s="24">
        <v>0</v>
      </c>
    </row>
    <row r="24" spans="2:7" x14ac:dyDescent="0.35">
      <c r="B24" s="20">
        <v>2024</v>
      </c>
      <c r="C24" s="21" t="s">
        <v>220</v>
      </c>
      <c r="D24" s="22">
        <v>23200</v>
      </c>
      <c r="E24" s="22">
        <v>94300</v>
      </c>
      <c r="F24" s="23">
        <v>0.12</v>
      </c>
      <c r="G24" s="24">
        <v>2320</v>
      </c>
    </row>
    <row r="25" spans="2:7" x14ac:dyDescent="0.35">
      <c r="B25" s="20">
        <v>2024</v>
      </c>
      <c r="C25" s="21" t="s">
        <v>220</v>
      </c>
      <c r="D25" s="22">
        <v>94300</v>
      </c>
      <c r="E25" s="22">
        <v>201050</v>
      </c>
      <c r="F25" s="23">
        <v>0.22</v>
      </c>
      <c r="G25" s="24">
        <v>10852</v>
      </c>
    </row>
    <row r="26" spans="2:7" x14ac:dyDescent="0.35">
      <c r="B26" s="20">
        <v>2024</v>
      </c>
      <c r="C26" s="21" t="s">
        <v>220</v>
      </c>
      <c r="D26" s="22">
        <v>201050</v>
      </c>
      <c r="E26" s="22">
        <v>383900</v>
      </c>
      <c r="F26" s="23">
        <v>0.24</v>
      </c>
      <c r="G26" s="24">
        <v>34337</v>
      </c>
    </row>
    <row r="27" spans="2:7" x14ac:dyDescent="0.35">
      <c r="B27" s="20">
        <v>2024</v>
      </c>
      <c r="C27" s="21" t="s">
        <v>220</v>
      </c>
      <c r="D27" s="22">
        <v>383900</v>
      </c>
      <c r="E27" s="22">
        <v>487450</v>
      </c>
      <c r="F27" s="23">
        <v>0.32</v>
      </c>
      <c r="G27" s="24">
        <v>78221</v>
      </c>
    </row>
    <row r="28" spans="2:7" x14ac:dyDescent="0.35">
      <c r="B28" s="20">
        <v>2024</v>
      </c>
      <c r="C28" s="21" t="s">
        <v>220</v>
      </c>
      <c r="D28" s="22">
        <v>487450</v>
      </c>
      <c r="E28" s="22">
        <v>731200</v>
      </c>
      <c r="F28" s="23">
        <v>0.35</v>
      </c>
      <c r="G28" s="24">
        <v>111357</v>
      </c>
    </row>
    <row r="29" spans="2:7" x14ac:dyDescent="0.35">
      <c r="B29" s="20">
        <v>2024</v>
      </c>
      <c r="C29" s="21" t="s">
        <v>220</v>
      </c>
      <c r="D29" s="22">
        <v>731200</v>
      </c>
      <c r="E29" s="22">
        <v>9999999</v>
      </c>
      <c r="F29" s="23">
        <v>0.37</v>
      </c>
      <c r="G29" s="24">
        <v>196669.5</v>
      </c>
    </row>
    <row r="30" spans="2:7" x14ac:dyDescent="0.35">
      <c r="B30" s="20">
        <v>2024</v>
      </c>
      <c r="C30" s="21" t="s">
        <v>592</v>
      </c>
      <c r="D30" s="22">
        <v>0</v>
      </c>
      <c r="E30" s="22">
        <v>11600</v>
      </c>
      <c r="F30" s="23">
        <v>0.1</v>
      </c>
      <c r="G30" s="24">
        <v>0</v>
      </c>
    </row>
    <row r="31" spans="2:7" x14ac:dyDescent="0.35">
      <c r="B31" s="20">
        <v>2024</v>
      </c>
      <c r="C31" s="21" t="s">
        <v>592</v>
      </c>
      <c r="D31" s="22">
        <v>11600</v>
      </c>
      <c r="E31" s="22">
        <v>47150</v>
      </c>
      <c r="F31" s="23">
        <v>0.12</v>
      </c>
      <c r="G31" s="24">
        <v>1160</v>
      </c>
    </row>
    <row r="32" spans="2:7" x14ac:dyDescent="0.35">
      <c r="B32" s="20">
        <v>2024</v>
      </c>
      <c r="C32" s="21" t="s">
        <v>592</v>
      </c>
      <c r="D32" s="22">
        <v>47150</v>
      </c>
      <c r="E32" s="22">
        <v>100525</v>
      </c>
      <c r="F32" s="23">
        <v>0.22</v>
      </c>
      <c r="G32" s="24">
        <v>5426</v>
      </c>
    </row>
    <row r="33" spans="2:7" x14ac:dyDescent="0.35">
      <c r="B33" s="20">
        <v>2024</v>
      </c>
      <c r="C33" s="21" t="s">
        <v>592</v>
      </c>
      <c r="D33" s="22">
        <v>100525</v>
      </c>
      <c r="E33" s="22">
        <v>191950</v>
      </c>
      <c r="F33" s="23">
        <v>0.24</v>
      </c>
      <c r="G33" s="24">
        <v>17168.5</v>
      </c>
    </row>
    <row r="34" spans="2:7" x14ac:dyDescent="0.35">
      <c r="B34" s="20">
        <v>2024</v>
      </c>
      <c r="C34" s="21" t="s">
        <v>592</v>
      </c>
      <c r="D34" s="22">
        <v>191950</v>
      </c>
      <c r="E34" s="22">
        <v>243725</v>
      </c>
      <c r="F34" s="23">
        <v>0.32</v>
      </c>
      <c r="G34" s="24">
        <v>39110.5</v>
      </c>
    </row>
    <row r="35" spans="2:7" x14ac:dyDescent="0.35">
      <c r="B35" s="20">
        <v>2024</v>
      </c>
      <c r="C35" s="21" t="s">
        <v>592</v>
      </c>
      <c r="D35" s="22">
        <v>243725</v>
      </c>
      <c r="E35" s="22">
        <v>609350</v>
      </c>
      <c r="F35" s="23">
        <v>0.35</v>
      </c>
      <c r="G35" s="24">
        <v>55678.5</v>
      </c>
    </row>
    <row r="36" spans="2:7" x14ac:dyDescent="0.35">
      <c r="B36" s="20">
        <v>2024</v>
      </c>
      <c r="C36" s="21" t="s">
        <v>592</v>
      </c>
      <c r="D36" s="22">
        <v>609350</v>
      </c>
      <c r="E36" s="22">
        <v>9999999</v>
      </c>
      <c r="F36" s="23">
        <v>0.37</v>
      </c>
      <c r="G36" s="24">
        <v>183647.25</v>
      </c>
    </row>
    <row r="37" spans="2:7" x14ac:dyDescent="0.35">
      <c r="B37" s="20">
        <v>2025</v>
      </c>
      <c r="C37" s="21" t="s">
        <v>220</v>
      </c>
      <c r="D37" s="22">
        <v>0</v>
      </c>
      <c r="E37" s="22">
        <v>23850</v>
      </c>
      <c r="F37" s="23">
        <v>0.1</v>
      </c>
      <c r="G37" s="24">
        <v>0</v>
      </c>
    </row>
    <row r="38" spans="2:7" ht="15" customHeight="1" thickBot="1" x14ac:dyDescent="0.4">
      <c r="B38" s="34">
        <v>2025</v>
      </c>
      <c r="C38" s="21" t="s">
        <v>220</v>
      </c>
      <c r="D38" s="22">
        <v>23850</v>
      </c>
      <c r="E38" s="22">
        <v>96950</v>
      </c>
      <c r="F38" s="23">
        <v>0.12</v>
      </c>
      <c r="G38" s="24">
        <v>2385</v>
      </c>
    </row>
    <row r="39" spans="2:7" x14ac:dyDescent="0.35">
      <c r="B39" s="20">
        <v>2025</v>
      </c>
      <c r="C39" s="21" t="s">
        <v>220</v>
      </c>
      <c r="D39" s="22">
        <v>96950</v>
      </c>
      <c r="E39" s="22">
        <v>206700</v>
      </c>
      <c r="F39" s="23">
        <v>0.22</v>
      </c>
      <c r="G39" s="24">
        <v>11157</v>
      </c>
    </row>
    <row r="40" spans="2:7" x14ac:dyDescent="0.35">
      <c r="B40" s="20">
        <v>2025</v>
      </c>
      <c r="C40" s="21" t="s">
        <v>220</v>
      </c>
      <c r="D40" s="22">
        <v>206700</v>
      </c>
      <c r="E40" s="22">
        <v>394600</v>
      </c>
      <c r="F40" s="23">
        <v>0.24</v>
      </c>
      <c r="G40" s="24">
        <v>35302</v>
      </c>
    </row>
    <row r="41" spans="2:7" x14ac:dyDescent="0.35">
      <c r="B41" s="20">
        <v>2025</v>
      </c>
      <c r="C41" s="21" t="s">
        <v>220</v>
      </c>
      <c r="D41" s="22">
        <v>394600</v>
      </c>
      <c r="E41" s="22">
        <v>501050</v>
      </c>
      <c r="F41" s="23">
        <v>0.32</v>
      </c>
      <c r="G41" s="24">
        <v>80398</v>
      </c>
    </row>
    <row r="42" spans="2:7" x14ac:dyDescent="0.35">
      <c r="B42" s="20">
        <v>2025</v>
      </c>
      <c r="C42" s="21" t="s">
        <v>220</v>
      </c>
      <c r="D42" s="22">
        <v>501050</v>
      </c>
      <c r="E42" s="22">
        <v>751600</v>
      </c>
      <c r="F42" s="23">
        <v>0.35</v>
      </c>
      <c r="G42" s="24">
        <v>114462</v>
      </c>
    </row>
    <row r="43" spans="2:7" x14ac:dyDescent="0.35">
      <c r="B43" s="20">
        <v>2025</v>
      </c>
      <c r="C43" s="21" t="s">
        <v>220</v>
      </c>
      <c r="D43" s="22">
        <v>751600</v>
      </c>
      <c r="E43" s="22">
        <v>9999999</v>
      </c>
      <c r="F43" s="23">
        <v>0.37</v>
      </c>
      <c r="G43" s="24">
        <v>202154.5</v>
      </c>
    </row>
    <row r="44" spans="2:7" x14ac:dyDescent="0.35">
      <c r="B44" s="20">
        <v>2025</v>
      </c>
      <c r="C44" s="21" t="s">
        <v>592</v>
      </c>
      <c r="D44" s="22">
        <v>0</v>
      </c>
      <c r="E44" s="22">
        <v>11925</v>
      </c>
      <c r="F44" s="23">
        <v>0.1</v>
      </c>
      <c r="G44" s="24">
        <v>0</v>
      </c>
    </row>
    <row r="45" spans="2:7" x14ac:dyDescent="0.35">
      <c r="B45" s="20">
        <v>2025</v>
      </c>
      <c r="C45" s="21" t="s">
        <v>592</v>
      </c>
      <c r="D45" s="22">
        <v>11925</v>
      </c>
      <c r="E45" s="22">
        <v>48475</v>
      </c>
      <c r="F45" s="23">
        <v>0.12</v>
      </c>
      <c r="G45" s="24">
        <v>1192.5</v>
      </c>
    </row>
    <row r="46" spans="2:7" x14ac:dyDescent="0.35">
      <c r="B46" s="20">
        <v>2025</v>
      </c>
      <c r="C46" s="21" t="s">
        <v>592</v>
      </c>
      <c r="D46" s="22">
        <v>48475</v>
      </c>
      <c r="E46" s="22">
        <v>103350</v>
      </c>
      <c r="F46" s="23">
        <v>0.22</v>
      </c>
      <c r="G46" s="24">
        <v>5578.5</v>
      </c>
    </row>
    <row r="47" spans="2:7" x14ac:dyDescent="0.35">
      <c r="B47" s="20">
        <v>2025</v>
      </c>
      <c r="C47" s="21" t="s">
        <v>592</v>
      </c>
      <c r="D47" s="22">
        <v>103350</v>
      </c>
      <c r="E47" s="22">
        <v>197300</v>
      </c>
      <c r="F47" s="23">
        <v>0.24</v>
      </c>
      <c r="G47" s="24">
        <v>17651</v>
      </c>
    </row>
    <row r="48" spans="2:7" x14ac:dyDescent="0.35">
      <c r="B48" s="20">
        <v>2025</v>
      </c>
      <c r="C48" s="21" t="s">
        <v>592</v>
      </c>
      <c r="D48" s="22">
        <v>197300</v>
      </c>
      <c r="E48" s="22">
        <v>250525</v>
      </c>
      <c r="F48" s="23">
        <v>0.32</v>
      </c>
      <c r="G48" s="24">
        <v>40199</v>
      </c>
    </row>
    <row r="49" spans="2:7" x14ac:dyDescent="0.35">
      <c r="B49" s="20">
        <v>2025</v>
      </c>
      <c r="C49" s="21" t="s">
        <v>592</v>
      </c>
      <c r="D49" s="22">
        <v>250525</v>
      </c>
      <c r="E49" s="22">
        <v>626350</v>
      </c>
      <c r="F49" s="23">
        <v>0.35</v>
      </c>
      <c r="G49" s="24">
        <v>57231</v>
      </c>
    </row>
    <row r="50" spans="2:7" x14ac:dyDescent="0.35">
      <c r="B50" s="20">
        <v>2025</v>
      </c>
      <c r="C50" s="21" t="s">
        <v>592</v>
      </c>
      <c r="D50" s="22">
        <v>626350</v>
      </c>
      <c r="E50" s="22">
        <v>9999999</v>
      </c>
      <c r="F50" s="23">
        <v>0.37</v>
      </c>
      <c r="G50" s="24">
        <v>188769.75</v>
      </c>
    </row>
    <row r="51" spans="2:7" x14ac:dyDescent="0.35">
      <c r="B51" s="20">
        <v>2026</v>
      </c>
      <c r="C51" s="21" t="s">
        <v>220</v>
      </c>
      <c r="D51" s="22">
        <v>0</v>
      </c>
      <c r="E51" s="22">
        <v>23850</v>
      </c>
      <c r="F51" s="23">
        <v>0.1</v>
      </c>
      <c r="G51" s="24">
        <v>0</v>
      </c>
    </row>
    <row r="52" spans="2:7" x14ac:dyDescent="0.35">
      <c r="B52" s="20">
        <v>2026</v>
      </c>
      <c r="C52" s="21" t="s">
        <v>220</v>
      </c>
      <c r="D52" s="22">
        <v>23850</v>
      </c>
      <c r="E52" s="22">
        <v>96950</v>
      </c>
      <c r="F52" s="23">
        <v>0.12</v>
      </c>
      <c r="G52" s="24">
        <v>2385</v>
      </c>
    </row>
    <row r="53" spans="2:7" x14ac:dyDescent="0.35">
      <c r="B53" s="20">
        <v>2026</v>
      </c>
      <c r="C53" s="21" t="s">
        <v>220</v>
      </c>
      <c r="D53" s="22">
        <v>96950</v>
      </c>
      <c r="E53" s="22">
        <v>206700</v>
      </c>
      <c r="F53" s="23">
        <v>0.22</v>
      </c>
      <c r="G53" s="24">
        <v>11157</v>
      </c>
    </row>
    <row r="54" spans="2:7" x14ac:dyDescent="0.35">
      <c r="B54" s="20">
        <v>2026</v>
      </c>
      <c r="C54" s="21" t="s">
        <v>220</v>
      </c>
      <c r="D54" s="22">
        <v>206700</v>
      </c>
      <c r="E54" s="22">
        <v>394600</v>
      </c>
      <c r="F54" s="23">
        <v>0.24</v>
      </c>
      <c r="G54" s="24">
        <v>35302</v>
      </c>
    </row>
    <row r="55" spans="2:7" x14ac:dyDescent="0.35">
      <c r="B55" s="20">
        <v>2026</v>
      </c>
      <c r="C55" s="21" t="s">
        <v>220</v>
      </c>
      <c r="D55" s="22">
        <v>394600</v>
      </c>
      <c r="E55" s="22">
        <v>501050</v>
      </c>
      <c r="F55" s="23">
        <v>0.32</v>
      </c>
      <c r="G55" s="24">
        <v>80398</v>
      </c>
    </row>
    <row r="56" spans="2:7" x14ac:dyDescent="0.35">
      <c r="B56" s="20">
        <v>2026</v>
      </c>
      <c r="C56" s="21" t="s">
        <v>220</v>
      </c>
      <c r="D56" s="22">
        <v>501050</v>
      </c>
      <c r="E56" s="22">
        <v>751600</v>
      </c>
      <c r="F56" s="23">
        <v>0.35</v>
      </c>
      <c r="G56" s="24">
        <v>114462</v>
      </c>
    </row>
    <row r="57" spans="2:7" x14ac:dyDescent="0.35">
      <c r="B57" s="20">
        <v>2026</v>
      </c>
      <c r="C57" s="21" t="s">
        <v>220</v>
      </c>
      <c r="D57" s="22">
        <v>751600</v>
      </c>
      <c r="E57" s="22">
        <v>9999999</v>
      </c>
      <c r="F57" s="23">
        <v>0.37</v>
      </c>
      <c r="G57" s="24">
        <v>202154.5</v>
      </c>
    </row>
    <row r="58" spans="2:7" x14ac:dyDescent="0.35">
      <c r="B58" s="20">
        <v>2026</v>
      </c>
      <c r="C58" s="21" t="s">
        <v>592</v>
      </c>
      <c r="D58" s="22">
        <v>0</v>
      </c>
      <c r="E58" s="22">
        <v>11925</v>
      </c>
      <c r="F58" s="23">
        <v>0.1</v>
      </c>
      <c r="G58" s="24">
        <v>0</v>
      </c>
    </row>
    <row r="59" spans="2:7" x14ac:dyDescent="0.35">
      <c r="B59" s="20">
        <v>2026</v>
      </c>
      <c r="C59" s="21" t="s">
        <v>592</v>
      </c>
      <c r="D59" s="22">
        <v>11925</v>
      </c>
      <c r="E59" s="22">
        <v>48475</v>
      </c>
      <c r="F59" s="23">
        <v>0.12</v>
      </c>
      <c r="G59" s="24">
        <v>1192.5</v>
      </c>
    </row>
    <row r="60" spans="2:7" x14ac:dyDescent="0.35">
      <c r="B60" s="20">
        <v>2026</v>
      </c>
      <c r="C60" s="21" t="s">
        <v>592</v>
      </c>
      <c r="D60" s="22">
        <v>48475</v>
      </c>
      <c r="E60" s="22">
        <v>103350</v>
      </c>
      <c r="F60" s="23">
        <v>0.22</v>
      </c>
      <c r="G60" s="24">
        <v>5578.5</v>
      </c>
    </row>
    <row r="61" spans="2:7" x14ac:dyDescent="0.35">
      <c r="B61" s="20">
        <v>2026</v>
      </c>
      <c r="C61" s="21" t="s">
        <v>592</v>
      </c>
      <c r="D61" s="22">
        <v>103350</v>
      </c>
      <c r="E61" s="22">
        <v>197300</v>
      </c>
      <c r="F61" s="23">
        <v>0.24</v>
      </c>
      <c r="G61" s="24">
        <v>17651</v>
      </c>
    </row>
    <row r="62" spans="2:7" x14ac:dyDescent="0.35">
      <c r="B62" s="20">
        <v>2026</v>
      </c>
      <c r="C62" s="21" t="s">
        <v>592</v>
      </c>
      <c r="D62" s="22">
        <v>197300</v>
      </c>
      <c r="E62" s="22">
        <v>250525</v>
      </c>
      <c r="F62" s="23">
        <v>0.32</v>
      </c>
      <c r="G62" s="24">
        <v>40199</v>
      </c>
    </row>
    <row r="63" spans="2:7" x14ac:dyDescent="0.35">
      <c r="B63" s="20">
        <v>2026</v>
      </c>
      <c r="C63" s="21" t="s">
        <v>592</v>
      </c>
      <c r="D63" s="22">
        <v>250525</v>
      </c>
      <c r="E63" s="22">
        <v>626350</v>
      </c>
      <c r="F63" s="23">
        <v>0.35</v>
      </c>
      <c r="G63" s="24">
        <v>57231</v>
      </c>
    </row>
    <row r="64" spans="2:7" x14ac:dyDescent="0.35">
      <c r="B64" s="20">
        <v>2026</v>
      </c>
      <c r="C64" s="21" t="s">
        <v>592</v>
      </c>
      <c r="D64" s="22">
        <v>626350</v>
      </c>
      <c r="E64" s="22">
        <v>9999999</v>
      </c>
      <c r="F64" s="23">
        <v>0.37</v>
      </c>
      <c r="G64" s="24">
        <v>188769.75</v>
      </c>
    </row>
    <row r="65" spans="2:7" x14ac:dyDescent="0.35">
      <c r="B65" s="20">
        <v>2027</v>
      </c>
      <c r="C65" s="21" t="s">
        <v>220</v>
      </c>
      <c r="D65" s="22">
        <v>0</v>
      </c>
      <c r="E65" s="22">
        <v>23850</v>
      </c>
      <c r="F65" s="23">
        <v>0.1</v>
      </c>
      <c r="G65" s="24">
        <v>0</v>
      </c>
    </row>
    <row r="66" spans="2:7" x14ac:dyDescent="0.35">
      <c r="B66" s="20">
        <v>2027</v>
      </c>
      <c r="C66" s="21" t="s">
        <v>220</v>
      </c>
      <c r="D66" s="22">
        <v>23850</v>
      </c>
      <c r="E66" s="22">
        <v>96950</v>
      </c>
      <c r="F66" s="23">
        <v>0.12</v>
      </c>
      <c r="G66" s="24">
        <v>2385</v>
      </c>
    </row>
    <row r="67" spans="2:7" x14ac:dyDescent="0.35">
      <c r="B67" s="20">
        <v>2027</v>
      </c>
      <c r="C67" s="21" t="s">
        <v>220</v>
      </c>
      <c r="D67" s="22">
        <v>96950</v>
      </c>
      <c r="E67" s="22">
        <v>206700</v>
      </c>
      <c r="F67" s="23">
        <v>0.22</v>
      </c>
      <c r="G67" s="24">
        <v>11157</v>
      </c>
    </row>
    <row r="68" spans="2:7" x14ac:dyDescent="0.35">
      <c r="B68" s="20">
        <v>2027</v>
      </c>
      <c r="C68" s="21" t="s">
        <v>220</v>
      </c>
      <c r="D68" s="22">
        <v>206700</v>
      </c>
      <c r="E68" s="22">
        <v>394600</v>
      </c>
      <c r="F68" s="23">
        <v>0.24</v>
      </c>
      <c r="G68" s="24">
        <v>35302</v>
      </c>
    </row>
    <row r="69" spans="2:7" x14ac:dyDescent="0.35">
      <c r="B69" s="20">
        <v>2027</v>
      </c>
      <c r="C69" s="21" t="s">
        <v>220</v>
      </c>
      <c r="D69" s="22">
        <v>394600</v>
      </c>
      <c r="E69" s="22">
        <v>501050</v>
      </c>
      <c r="F69" s="23">
        <v>0.32</v>
      </c>
      <c r="G69" s="24">
        <v>80398</v>
      </c>
    </row>
    <row r="70" spans="2:7" x14ac:dyDescent="0.35">
      <c r="B70" s="20">
        <v>2027</v>
      </c>
      <c r="C70" s="21" t="s">
        <v>220</v>
      </c>
      <c r="D70" s="22">
        <v>501050</v>
      </c>
      <c r="E70" s="22">
        <v>751600</v>
      </c>
      <c r="F70" s="23">
        <v>0.35</v>
      </c>
      <c r="G70" s="24">
        <v>114462</v>
      </c>
    </row>
    <row r="71" spans="2:7" x14ac:dyDescent="0.35">
      <c r="B71" s="20">
        <v>2027</v>
      </c>
      <c r="C71" s="21" t="s">
        <v>220</v>
      </c>
      <c r="D71" s="22">
        <v>751600</v>
      </c>
      <c r="E71" s="22">
        <v>9999999</v>
      </c>
      <c r="F71" s="23">
        <v>0.37</v>
      </c>
      <c r="G71" s="24">
        <v>202154.5</v>
      </c>
    </row>
    <row r="72" spans="2:7" x14ac:dyDescent="0.35">
      <c r="B72" s="20">
        <v>2027</v>
      </c>
      <c r="C72" s="21" t="s">
        <v>592</v>
      </c>
      <c r="D72" s="22">
        <v>0</v>
      </c>
      <c r="E72" s="22">
        <v>11925</v>
      </c>
      <c r="F72" s="23">
        <v>0.1</v>
      </c>
      <c r="G72" s="24">
        <v>0</v>
      </c>
    </row>
    <row r="73" spans="2:7" x14ac:dyDescent="0.35">
      <c r="B73" s="20">
        <v>2027</v>
      </c>
      <c r="C73" s="21" t="s">
        <v>592</v>
      </c>
      <c r="D73" s="22">
        <v>11925</v>
      </c>
      <c r="E73" s="22">
        <v>48475</v>
      </c>
      <c r="F73" s="23">
        <v>0.12</v>
      </c>
      <c r="G73" s="24">
        <v>1192.5</v>
      </c>
    </row>
    <row r="74" spans="2:7" x14ac:dyDescent="0.35">
      <c r="B74" s="20">
        <v>2027</v>
      </c>
      <c r="C74" s="21" t="s">
        <v>592</v>
      </c>
      <c r="D74" s="22">
        <v>48475</v>
      </c>
      <c r="E74" s="22">
        <v>103350</v>
      </c>
      <c r="F74" s="23">
        <v>0.22</v>
      </c>
      <c r="G74" s="24">
        <v>5578.5</v>
      </c>
    </row>
    <row r="75" spans="2:7" x14ac:dyDescent="0.35">
      <c r="B75" s="20">
        <v>2027</v>
      </c>
      <c r="C75" s="21" t="s">
        <v>592</v>
      </c>
      <c r="D75" s="22">
        <v>103350</v>
      </c>
      <c r="E75" s="22">
        <v>197300</v>
      </c>
      <c r="F75" s="23">
        <v>0.24</v>
      </c>
      <c r="G75" s="24">
        <v>17651</v>
      </c>
    </row>
    <row r="76" spans="2:7" x14ac:dyDescent="0.35">
      <c r="B76" s="20">
        <v>2027</v>
      </c>
      <c r="C76" s="21" t="s">
        <v>592</v>
      </c>
      <c r="D76" s="22">
        <v>197300</v>
      </c>
      <c r="E76" s="22">
        <v>250525</v>
      </c>
      <c r="F76" s="23">
        <v>0.32</v>
      </c>
      <c r="G76" s="24">
        <v>40199</v>
      </c>
    </row>
    <row r="77" spans="2:7" x14ac:dyDescent="0.35">
      <c r="B77" s="20">
        <v>2027</v>
      </c>
      <c r="C77" s="21" t="s">
        <v>592</v>
      </c>
      <c r="D77" s="22">
        <v>250525</v>
      </c>
      <c r="E77" s="22">
        <v>626350</v>
      </c>
      <c r="F77" s="23">
        <v>0.35</v>
      </c>
      <c r="G77" s="24">
        <v>57231</v>
      </c>
    </row>
    <row r="78" spans="2:7" x14ac:dyDescent="0.35">
      <c r="B78" s="20">
        <v>2027</v>
      </c>
      <c r="C78" s="21" t="s">
        <v>592</v>
      </c>
      <c r="D78" s="22">
        <v>626350</v>
      </c>
      <c r="E78" s="22">
        <v>9999999</v>
      </c>
      <c r="F78" s="23">
        <v>0.37</v>
      </c>
      <c r="G78" s="24">
        <v>188769.75</v>
      </c>
    </row>
    <row r="79" spans="2:7" x14ac:dyDescent="0.35">
      <c r="B79" s="20">
        <v>2028</v>
      </c>
      <c r="C79" s="21" t="s">
        <v>220</v>
      </c>
      <c r="D79" s="22">
        <v>0</v>
      </c>
      <c r="E79" s="22">
        <v>23850</v>
      </c>
      <c r="F79" s="23">
        <v>0.1</v>
      </c>
      <c r="G79" s="24">
        <v>0</v>
      </c>
    </row>
    <row r="80" spans="2:7" x14ac:dyDescent="0.35">
      <c r="B80" s="20">
        <v>2028</v>
      </c>
      <c r="C80" s="21" t="s">
        <v>220</v>
      </c>
      <c r="D80" s="22">
        <v>23850</v>
      </c>
      <c r="E80" s="22">
        <v>96950</v>
      </c>
      <c r="F80" s="23">
        <v>0.12</v>
      </c>
      <c r="G80" s="24">
        <v>2385</v>
      </c>
    </row>
    <row r="81" spans="2:7" x14ac:dyDescent="0.35">
      <c r="B81" s="20">
        <v>2028</v>
      </c>
      <c r="C81" s="21" t="s">
        <v>220</v>
      </c>
      <c r="D81" s="22">
        <v>96950</v>
      </c>
      <c r="E81" s="22">
        <v>206700</v>
      </c>
      <c r="F81" s="23">
        <v>0.22</v>
      </c>
      <c r="G81" s="24">
        <v>11157</v>
      </c>
    </row>
    <row r="82" spans="2:7" x14ac:dyDescent="0.35">
      <c r="B82" s="20">
        <v>2028</v>
      </c>
      <c r="C82" s="21" t="s">
        <v>220</v>
      </c>
      <c r="D82" s="22">
        <v>206700</v>
      </c>
      <c r="E82" s="22">
        <v>394600</v>
      </c>
      <c r="F82" s="23">
        <v>0.24</v>
      </c>
      <c r="G82" s="24">
        <v>35302</v>
      </c>
    </row>
    <row r="83" spans="2:7" x14ac:dyDescent="0.35">
      <c r="B83" s="20">
        <v>2028</v>
      </c>
      <c r="C83" s="21" t="s">
        <v>220</v>
      </c>
      <c r="D83" s="22">
        <v>394600</v>
      </c>
      <c r="E83" s="22">
        <v>501050</v>
      </c>
      <c r="F83" s="23">
        <v>0.32</v>
      </c>
      <c r="G83" s="24">
        <v>80398</v>
      </c>
    </row>
    <row r="84" spans="2:7" x14ac:dyDescent="0.35">
      <c r="B84" s="20">
        <v>2028</v>
      </c>
      <c r="C84" s="21" t="s">
        <v>220</v>
      </c>
      <c r="D84" s="22">
        <v>501050</v>
      </c>
      <c r="E84" s="22">
        <v>751600</v>
      </c>
      <c r="F84" s="23">
        <v>0.35</v>
      </c>
      <c r="G84" s="24">
        <v>114462</v>
      </c>
    </row>
    <row r="85" spans="2:7" x14ac:dyDescent="0.35">
      <c r="B85" s="20">
        <v>2028</v>
      </c>
      <c r="C85" s="21" t="s">
        <v>220</v>
      </c>
      <c r="D85" s="22">
        <v>751600</v>
      </c>
      <c r="E85" s="22">
        <v>9999999</v>
      </c>
      <c r="F85" s="23">
        <v>0.37</v>
      </c>
      <c r="G85" s="24">
        <v>202154.5</v>
      </c>
    </row>
    <row r="86" spans="2:7" x14ac:dyDescent="0.35">
      <c r="B86" s="20">
        <v>2028</v>
      </c>
      <c r="C86" s="21" t="s">
        <v>592</v>
      </c>
      <c r="D86" s="22">
        <v>0</v>
      </c>
      <c r="E86" s="22">
        <v>11925</v>
      </c>
      <c r="F86" s="23">
        <v>0.1</v>
      </c>
      <c r="G86" s="24">
        <v>0</v>
      </c>
    </row>
    <row r="87" spans="2:7" x14ac:dyDescent="0.35">
      <c r="B87" s="20">
        <v>2028</v>
      </c>
      <c r="C87" s="21" t="s">
        <v>592</v>
      </c>
      <c r="D87" s="22">
        <v>11925</v>
      </c>
      <c r="E87" s="22">
        <v>48475</v>
      </c>
      <c r="F87" s="23">
        <v>0.12</v>
      </c>
      <c r="G87" s="24">
        <v>1192.5</v>
      </c>
    </row>
    <row r="88" spans="2:7" x14ac:dyDescent="0.35">
      <c r="B88" s="20">
        <v>2028</v>
      </c>
      <c r="C88" s="21" t="s">
        <v>592</v>
      </c>
      <c r="D88" s="22">
        <v>48475</v>
      </c>
      <c r="E88" s="22">
        <v>103350</v>
      </c>
      <c r="F88" s="23">
        <v>0.22</v>
      </c>
      <c r="G88" s="24">
        <v>5578.5</v>
      </c>
    </row>
    <row r="89" spans="2:7" x14ac:dyDescent="0.35">
      <c r="B89" s="20">
        <v>2028</v>
      </c>
      <c r="C89" s="21" t="s">
        <v>592</v>
      </c>
      <c r="D89" s="22">
        <v>103350</v>
      </c>
      <c r="E89" s="22">
        <v>197300</v>
      </c>
      <c r="F89" s="23">
        <v>0.24</v>
      </c>
      <c r="G89" s="24">
        <v>17651</v>
      </c>
    </row>
    <row r="90" spans="2:7" x14ac:dyDescent="0.35">
      <c r="B90" s="20">
        <v>2028</v>
      </c>
      <c r="C90" s="21" t="s">
        <v>592</v>
      </c>
      <c r="D90" s="22">
        <v>197300</v>
      </c>
      <c r="E90" s="22">
        <v>250525</v>
      </c>
      <c r="F90" s="23">
        <v>0.32</v>
      </c>
      <c r="G90" s="24">
        <v>40199</v>
      </c>
    </row>
    <row r="91" spans="2:7" x14ac:dyDescent="0.35">
      <c r="B91" s="20">
        <v>2028</v>
      </c>
      <c r="C91" s="21" t="s">
        <v>592</v>
      </c>
      <c r="D91" s="22">
        <v>250525</v>
      </c>
      <c r="E91" s="22">
        <v>626350</v>
      </c>
      <c r="F91" s="23">
        <v>0.35</v>
      </c>
      <c r="G91" s="24">
        <v>57231</v>
      </c>
    </row>
    <row r="92" spans="2:7" x14ac:dyDescent="0.35">
      <c r="B92" s="20">
        <v>2028</v>
      </c>
      <c r="C92" s="21" t="s">
        <v>592</v>
      </c>
      <c r="D92" s="22">
        <v>626350</v>
      </c>
      <c r="E92" s="22">
        <v>9999999</v>
      </c>
      <c r="F92" s="23">
        <v>0.37</v>
      </c>
      <c r="G92" s="24">
        <v>188769.75</v>
      </c>
    </row>
    <row r="93" spans="2:7" x14ac:dyDescent="0.35">
      <c r="B93" s="20">
        <v>2023</v>
      </c>
      <c r="C93" s="21" t="s">
        <v>593</v>
      </c>
      <c r="D93" s="22">
        <v>0</v>
      </c>
      <c r="E93" s="22">
        <v>17000</v>
      </c>
      <c r="F93" s="23">
        <v>0.1</v>
      </c>
      <c r="G93" s="24">
        <v>0</v>
      </c>
    </row>
    <row r="94" spans="2:7" x14ac:dyDescent="0.35">
      <c r="B94" s="20">
        <v>2023</v>
      </c>
      <c r="C94" s="21" t="s">
        <v>593</v>
      </c>
      <c r="D94" s="22">
        <v>17000</v>
      </c>
      <c r="E94" s="22">
        <v>64850</v>
      </c>
      <c r="F94" s="23">
        <v>0.12</v>
      </c>
      <c r="G94" s="24">
        <v>1700</v>
      </c>
    </row>
    <row r="95" spans="2:7" x14ac:dyDescent="0.35">
      <c r="B95" s="20">
        <v>2023</v>
      </c>
      <c r="C95" s="21" t="s">
        <v>593</v>
      </c>
      <c r="D95" s="22">
        <v>64850</v>
      </c>
      <c r="E95" s="22">
        <v>103350</v>
      </c>
      <c r="F95" s="23">
        <v>0.22</v>
      </c>
      <c r="G95" s="24">
        <v>7442</v>
      </c>
    </row>
    <row r="96" spans="2:7" x14ac:dyDescent="0.35">
      <c r="B96" s="20">
        <v>2023</v>
      </c>
      <c r="C96" s="21" t="s">
        <v>593</v>
      </c>
      <c r="D96" s="22">
        <v>103350</v>
      </c>
      <c r="E96" s="22">
        <v>197300</v>
      </c>
      <c r="F96" s="23">
        <v>0.24</v>
      </c>
      <c r="G96" s="24">
        <v>14902</v>
      </c>
    </row>
    <row r="97" spans="2:7" x14ac:dyDescent="0.35">
      <c r="B97" s="20">
        <v>2023</v>
      </c>
      <c r="C97" s="21" t="s">
        <v>593</v>
      </c>
      <c r="D97" s="22">
        <v>197300</v>
      </c>
      <c r="E97" s="22">
        <v>250500</v>
      </c>
      <c r="F97" s="23">
        <v>0.32</v>
      </c>
      <c r="G97" s="24">
        <v>37450</v>
      </c>
    </row>
    <row r="98" spans="2:7" x14ac:dyDescent="0.35">
      <c r="B98" s="20">
        <v>2023</v>
      </c>
      <c r="C98" s="21" t="s">
        <v>593</v>
      </c>
      <c r="D98" s="22">
        <v>250500</v>
      </c>
      <c r="E98" s="22">
        <v>626350</v>
      </c>
      <c r="F98" s="23">
        <v>0.35</v>
      </c>
      <c r="G98" s="24">
        <v>54474</v>
      </c>
    </row>
    <row r="99" spans="2:7" x14ac:dyDescent="0.35">
      <c r="B99" s="20">
        <v>2023</v>
      </c>
      <c r="C99" s="21" t="s">
        <v>593</v>
      </c>
      <c r="D99" s="22">
        <v>626350</v>
      </c>
      <c r="E99" s="22">
        <v>9999999</v>
      </c>
      <c r="F99" s="23">
        <v>0.37</v>
      </c>
      <c r="G99" s="24">
        <v>185921.5</v>
      </c>
    </row>
    <row r="100" spans="2:7" x14ac:dyDescent="0.35">
      <c r="B100" s="20">
        <v>2023</v>
      </c>
      <c r="C100" s="21" t="s">
        <v>594</v>
      </c>
      <c r="D100" s="22">
        <v>0</v>
      </c>
      <c r="E100" s="22">
        <v>11925</v>
      </c>
      <c r="F100" s="23">
        <v>0.1</v>
      </c>
      <c r="G100" s="24">
        <v>0</v>
      </c>
    </row>
    <row r="101" spans="2:7" x14ac:dyDescent="0.35">
      <c r="B101" s="20">
        <v>2023</v>
      </c>
      <c r="C101" s="21" t="s">
        <v>594</v>
      </c>
      <c r="D101" s="22">
        <v>11925</v>
      </c>
      <c r="E101" s="22">
        <v>48475</v>
      </c>
      <c r="F101" s="23">
        <v>0.12</v>
      </c>
      <c r="G101" s="24">
        <v>1192.5</v>
      </c>
    </row>
    <row r="102" spans="2:7" x14ac:dyDescent="0.35">
      <c r="B102" s="20">
        <v>2023</v>
      </c>
      <c r="C102" s="21" t="s">
        <v>594</v>
      </c>
      <c r="D102" s="22">
        <v>48475</v>
      </c>
      <c r="E102" s="22">
        <v>103350</v>
      </c>
      <c r="F102" s="23">
        <v>0.22</v>
      </c>
      <c r="G102" s="24">
        <v>5578.5</v>
      </c>
    </row>
    <row r="103" spans="2:7" x14ac:dyDescent="0.35">
      <c r="B103" s="20">
        <v>2023</v>
      </c>
      <c r="C103" s="21" t="s">
        <v>594</v>
      </c>
      <c r="D103" s="22">
        <v>103350</v>
      </c>
      <c r="E103" s="22">
        <v>197300</v>
      </c>
      <c r="F103" s="23">
        <v>0.24</v>
      </c>
      <c r="G103" s="24">
        <v>17651</v>
      </c>
    </row>
    <row r="104" spans="2:7" x14ac:dyDescent="0.35">
      <c r="B104" s="20">
        <v>2023</v>
      </c>
      <c r="C104" s="21" t="s">
        <v>594</v>
      </c>
      <c r="D104" s="22">
        <v>197300</v>
      </c>
      <c r="E104" s="22">
        <v>250525</v>
      </c>
      <c r="F104" s="23">
        <v>0.32</v>
      </c>
      <c r="G104" s="24">
        <v>40199</v>
      </c>
    </row>
    <row r="105" spans="2:7" x14ac:dyDescent="0.35">
      <c r="B105" s="20">
        <v>2023</v>
      </c>
      <c r="C105" s="21" t="s">
        <v>594</v>
      </c>
      <c r="D105" s="22">
        <v>250525</v>
      </c>
      <c r="E105" s="22">
        <v>375800</v>
      </c>
      <c r="F105" s="23">
        <v>0.35</v>
      </c>
      <c r="G105" s="24">
        <v>57231</v>
      </c>
    </row>
    <row r="106" spans="2:7" x14ac:dyDescent="0.35">
      <c r="B106" s="20">
        <v>2023</v>
      </c>
      <c r="C106" s="21" t="s">
        <v>594</v>
      </c>
      <c r="D106" s="22">
        <v>375800</v>
      </c>
      <c r="E106" s="22">
        <v>9999999</v>
      </c>
      <c r="F106" s="23">
        <v>0.37</v>
      </c>
      <c r="G106" s="24">
        <v>101078.25</v>
      </c>
    </row>
    <row r="107" spans="2:7" x14ac:dyDescent="0.35">
      <c r="B107" s="20">
        <v>2024</v>
      </c>
      <c r="C107" s="21" t="s">
        <v>593</v>
      </c>
      <c r="D107" s="22">
        <v>0</v>
      </c>
      <c r="E107" s="22">
        <v>17000</v>
      </c>
      <c r="F107" s="23">
        <v>0.1</v>
      </c>
      <c r="G107" s="24">
        <v>0</v>
      </c>
    </row>
    <row r="108" spans="2:7" x14ac:dyDescent="0.35">
      <c r="B108" s="20">
        <v>2024</v>
      </c>
      <c r="C108" s="21" t="s">
        <v>593</v>
      </c>
      <c r="D108" s="22">
        <v>17000</v>
      </c>
      <c r="E108" s="22">
        <v>64850</v>
      </c>
      <c r="F108" s="23">
        <v>0.12</v>
      </c>
      <c r="G108" s="24">
        <v>1700</v>
      </c>
    </row>
    <row r="109" spans="2:7" x14ac:dyDescent="0.35">
      <c r="B109" s="20">
        <v>2024</v>
      </c>
      <c r="C109" s="21" t="s">
        <v>593</v>
      </c>
      <c r="D109" s="22">
        <v>64850</v>
      </c>
      <c r="E109" s="22">
        <v>103350</v>
      </c>
      <c r="F109" s="23">
        <v>0.22</v>
      </c>
      <c r="G109" s="24">
        <v>7442</v>
      </c>
    </row>
    <row r="110" spans="2:7" x14ac:dyDescent="0.35">
      <c r="B110" s="20">
        <v>2024</v>
      </c>
      <c r="C110" s="21" t="s">
        <v>593</v>
      </c>
      <c r="D110" s="22">
        <v>103350</v>
      </c>
      <c r="E110" s="22">
        <v>197300</v>
      </c>
      <c r="F110" s="23">
        <v>0.24</v>
      </c>
      <c r="G110" s="24">
        <v>14902</v>
      </c>
    </row>
    <row r="111" spans="2:7" x14ac:dyDescent="0.35">
      <c r="B111" s="20">
        <v>2024</v>
      </c>
      <c r="C111" s="21" t="s">
        <v>593</v>
      </c>
      <c r="D111" s="22">
        <v>197300</v>
      </c>
      <c r="E111" s="22">
        <v>250500</v>
      </c>
      <c r="F111" s="23">
        <v>0.32</v>
      </c>
      <c r="G111" s="24">
        <v>37450</v>
      </c>
    </row>
    <row r="112" spans="2:7" x14ac:dyDescent="0.35">
      <c r="B112" s="20">
        <v>2024</v>
      </c>
      <c r="C112" s="21" t="s">
        <v>593</v>
      </c>
      <c r="D112" s="22">
        <v>250500</v>
      </c>
      <c r="E112" s="22">
        <v>626350</v>
      </c>
      <c r="F112" s="23">
        <v>0.35</v>
      </c>
      <c r="G112" s="24">
        <v>54474</v>
      </c>
    </row>
    <row r="113" spans="2:7" x14ac:dyDescent="0.35">
      <c r="B113" s="20">
        <v>2024</v>
      </c>
      <c r="C113" s="21" t="s">
        <v>593</v>
      </c>
      <c r="D113" s="22">
        <v>626350</v>
      </c>
      <c r="E113" s="22">
        <v>9999999</v>
      </c>
      <c r="F113" s="23">
        <v>0.37</v>
      </c>
      <c r="G113" s="24">
        <v>185921.5</v>
      </c>
    </row>
    <row r="114" spans="2:7" x14ac:dyDescent="0.35">
      <c r="B114" s="20">
        <v>2024</v>
      </c>
      <c r="C114" s="21" t="s">
        <v>594</v>
      </c>
      <c r="D114" s="22">
        <v>0</v>
      </c>
      <c r="E114" s="22">
        <v>11925</v>
      </c>
      <c r="F114" s="23">
        <v>0.1</v>
      </c>
      <c r="G114" s="24">
        <v>0</v>
      </c>
    </row>
    <row r="115" spans="2:7" x14ac:dyDescent="0.35">
      <c r="B115" s="20">
        <v>2024</v>
      </c>
      <c r="C115" s="21" t="s">
        <v>594</v>
      </c>
      <c r="D115" s="22">
        <v>11925</v>
      </c>
      <c r="E115" s="22">
        <v>48475</v>
      </c>
      <c r="F115" s="23">
        <v>0.12</v>
      </c>
      <c r="G115" s="24">
        <v>1192.5</v>
      </c>
    </row>
    <row r="116" spans="2:7" x14ac:dyDescent="0.35">
      <c r="B116" s="20">
        <v>2024</v>
      </c>
      <c r="C116" s="21" t="s">
        <v>594</v>
      </c>
      <c r="D116" s="22">
        <v>48475</v>
      </c>
      <c r="E116" s="22">
        <v>103350</v>
      </c>
      <c r="F116" s="23">
        <v>0.22</v>
      </c>
      <c r="G116" s="24">
        <v>5578.5</v>
      </c>
    </row>
    <row r="117" spans="2:7" x14ac:dyDescent="0.35">
      <c r="B117" s="20">
        <v>2024</v>
      </c>
      <c r="C117" s="21" t="s">
        <v>594</v>
      </c>
      <c r="D117" s="22">
        <v>103350</v>
      </c>
      <c r="E117" s="22">
        <v>197300</v>
      </c>
      <c r="F117" s="23">
        <v>0.24</v>
      </c>
      <c r="G117" s="24">
        <v>17651</v>
      </c>
    </row>
    <row r="118" spans="2:7" x14ac:dyDescent="0.35">
      <c r="B118" s="20">
        <v>2024</v>
      </c>
      <c r="C118" s="21" t="s">
        <v>594</v>
      </c>
      <c r="D118" s="22">
        <v>197300</v>
      </c>
      <c r="E118" s="22">
        <v>250525</v>
      </c>
      <c r="F118" s="23">
        <v>0.32</v>
      </c>
      <c r="G118" s="24">
        <v>40199</v>
      </c>
    </row>
    <row r="119" spans="2:7" x14ac:dyDescent="0.35">
      <c r="B119" s="20">
        <v>2024</v>
      </c>
      <c r="C119" s="21" t="s">
        <v>594</v>
      </c>
      <c r="D119" s="22">
        <v>250525</v>
      </c>
      <c r="E119" s="22">
        <v>375800</v>
      </c>
      <c r="F119" s="23">
        <v>0.35</v>
      </c>
      <c r="G119" s="24">
        <v>57231</v>
      </c>
    </row>
    <row r="120" spans="2:7" x14ac:dyDescent="0.35">
      <c r="B120" s="20">
        <v>2024</v>
      </c>
      <c r="C120" s="21" t="s">
        <v>594</v>
      </c>
      <c r="D120" s="22">
        <v>375800</v>
      </c>
      <c r="E120" s="22">
        <v>9999999</v>
      </c>
      <c r="F120" s="23">
        <v>0.37</v>
      </c>
      <c r="G120" s="24">
        <v>101078.25</v>
      </c>
    </row>
    <row r="121" spans="2:7" x14ac:dyDescent="0.35">
      <c r="B121" s="20">
        <v>2025</v>
      </c>
      <c r="C121" s="21" t="s">
        <v>593</v>
      </c>
      <c r="D121" s="22">
        <v>0</v>
      </c>
      <c r="E121" s="22">
        <v>17000</v>
      </c>
      <c r="F121" s="23">
        <v>0.1</v>
      </c>
      <c r="G121" s="24">
        <v>0</v>
      </c>
    </row>
    <row r="122" spans="2:7" x14ac:dyDescent="0.35">
      <c r="B122" s="20">
        <v>2025</v>
      </c>
      <c r="C122" s="21" t="s">
        <v>593</v>
      </c>
      <c r="D122" s="22">
        <v>17000</v>
      </c>
      <c r="E122" s="22">
        <v>64850</v>
      </c>
      <c r="F122" s="23">
        <v>0.12</v>
      </c>
      <c r="G122" s="24">
        <v>1700</v>
      </c>
    </row>
    <row r="123" spans="2:7" x14ac:dyDescent="0.35">
      <c r="B123" s="20">
        <v>2025</v>
      </c>
      <c r="C123" s="21" t="s">
        <v>593</v>
      </c>
      <c r="D123" s="22">
        <v>64850</v>
      </c>
      <c r="E123" s="22">
        <v>103350</v>
      </c>
      <c r="F123" s="23">
        <v>0.22</v>
      </c>
      <c r="G123" s="24">
        <v>7442</v>
      </c>
    </row>
    <row r="124" spans="2:7" x14ac:dyDescent="0.35">
      <c r="B124" s="20">
        <v>2025</v>
      </c>
      <c r="C124" s="21" t="s">
        <v>593</v>
      </c>
      <c r="D124" s="22">
        <v>103350</v>
      </c>
      <c r="E124" s="22">
        <v>197300</v>
      </c>
      <c r="F124" s="23">
        <v>0.24</v>
      </c>
      <c r="G124" s="24">
        <v>14902</v>
      </c>
    </row>
    <row r="125" spans="2:7" x14ac:dyDescent="0.35">
      <c r="B125" s="20">
        <v>2025</v>
      </c>
      <c r="C125" s="21" t="s">
        <v>593</v>
      </c>
      <c r="D125" s="22">
        <v>197300</v>
      </c>
      <c r="E125" s="22">
        <v>250500</v>
      </c>
      <c r="F125" s="23">
        <v>0.32</v>
      </c>
      <c r="G125" s="24">
        <v>37450</v>
      </c>
    </row>
    <row r="126" spans="2:7" x14ac:dyDescent="0.35">
      <c r="B126" s="20">
        <v>2025</v>
      </c>
      <c r="C126" s="21" t="s">
        <v>593</v>
      </c>
      <c r="D126" s="22">
        <v>250500</v>
      </c>
      <c r="E126" s="22">
        <v>626350</v>
      </c>
      <c r="F126" s="23">
        <v>0.35</v>
      </c>
      <c r="G126" s="24">
        <v>54474</v>
      </c>
    </row>
    <row r="127" spans="2:7" x14ac:dyDescent="0.35">
      <c r="B127" s="20">
        <v>2025</v>
      </c>
      <c r="C127" s="21" t="s">
        <v>593</v>
      </c>
      <c r="D127" s="22">
        <v>626350</v>
      </c>
      <c r="E127" s="22">
        <v>9999999</v>
      </c>
      <c r="F127" s="23">
        <v>0.37</v>
      </c>
      <c r="G127" s="24">
        <v>185921.5</v>
      </c>
    </row>
    <row r="128" spans="2:7" x14ac:dyDescent="0.35">
      <c r="B128" s="20">
        <v>2025</v>
      </c>
      <c r="C128" s="21" t="s">
        <v>594</v>
      </c>
      <c r="D128" s="22">
        <v>0</v>
      </c>
      <c r="E128" s="22">
        <v>11925</v>
      </c>
      <c r="F128" s="23">
        <v>0.1</v>
      </c>
      <c r="G128" s="24">
        <v>0</v>
      </c>
    </row>
    <row r="129" spans="2:7" x14ac:dyDescent="0.35">
      <c r="B129" s="20">
        <v>2025</v>
      </c>
      <c r="C129" s="21" t="s">
        <v>594</v>
      </c>
      <c r="D129" s="22">
        <v>11925</v>
      </c>
      <c r="E129" s="22">
        <v>48475</v>
      </c>
      <c r="F129" s="23">
        <v>0.12</v>
      </c>
      <c r="G129" s="24">
        <v>1192.5</v>
      </c>
    </row>
    <row r="130" spans="2:7" x14ac:dyDescent="0.35">
      <c r="B130" s="20">
        <v>2025</v>
      </c>
      <c r="C130" s="21" t="s">
        <v>594</v>
      </c>
      <c r="D130" s="22">
        <v>48475</v>
      </c>
      <c r="E130" s="22">
        <v>103350</v>
      </c>
      <c r="F130" s="23">
        <v>0.22</v>
      </c>
      <c r="G130" s="24">
        <v>5578.5</v>
      </c>
    </row>
    <row r="131" spans="2:7" x14ac:dyDescent="0.35">
      <c r="B131" s="20">
        <v>2025</v>
      </c>
      <c r="C131" s="21" t="s">
        <v>594</v>
      </c>
      <c r="D131" s="22">
        <v>103350</v>
      </c>
      <c r="E131" s="22">
        <v>197300</v>
      </c>
      <c r="F131" s="23">
        <v>0.24</v>
      </c>
      <c r="G131" s="24">
        <v>17651</v>
      </c>
    </row>
    <row r="132" spans="2:7" x14ac:dyDescent="0.35">
      <c r="B132" s="20">
        <v>2025</v>
      </c>
      <c r="C132" s="21" t="s">
        <v>594</v>
      </c>
      <c r="D132" s="22">
        <v>197300</v>
      </c>
      <c r="E132" s="22">
        <v>250525</v>
      </c>
      <c r="F132" s="23">
        <v>0.32</v>
      </c>
      <c r="G132" s="24">
        <v>40199</v>
      </c>
    </row>
    <row r="133" spans="2:7" x14ac:dyDescent="0.35">
      <c r="B133" s="20">
        <v>2025</v>
      </c>
      <c r="C133" s="21" t="s">
        <v>594</v>
      </c>
      <c r="D133" s="22">
        <v>250525</v>
      </c>
      <c r="E133" s="22">
        <v>375800</v>
      </c>
      <c r="F133" s="23">
        <v>0.35</v>
      </c>
      <c r="G133" s="24">
        <v>57231</v>
      </c>
    </row>
    <row r="134" spans="2:7" x14ac:dyDescent="0.35">
      <c r="B134" s="20">
        <v>2025</v>
      </c>
      <c r="C134" s="21" t="s">
        <v>594</v>
      </c>
      <c r="D134" s="22">
        <v>375800</v>
      </c>
      <c r="E134" s="22">
        <v>9999999</v>
      </c>
      <c r="F134" s="23">
        <v>0.37</v>
      </c>
      <c r="G134" s="24">
        <v>101078.25</v>
      </c>
    </row>
    <row r="135" spans="2:7" x14ac:dyDescent="0.35">
      <c r="B135" s="20">
        <v>2026</v>
      </c>
      <c r="C135" s="21" t="s">
        <v>593</v>
      </c>
      <c r="D135" s="22">
        <v>0</v>
      </c>
      <c r="E135" s="22">
        <v>17000</v>
      </c>
      <c r="F135" s="23">
        <v>0.1</v>
      </c>
      <c r="G135" s="24">
        <v>0</v>
      </c>
    </row>
    <row r="136" spans="2:7" x14ac:dyDescent="0.35">
      <c r="B136" s="20">
        <v>2026</v>
      </c>
      <c r="C136" s="21" t="s">
        <v>593</v>
      </c>
      <c r="D136" s="22">
        <v>17000</v>
      </c>
      <c r="E136" s="22">
        <v>64850</v>
      </c>
      <c r="F136" s="23">
        <v>0.12</v>
      </c>
      <c r="G136" s="24">
        <v>1700</v>
      </c>
    </row>
    <row r="137" spans="2:7" x14ac:dyDescent="0.35">
      <c r="B137" s="20">
        <v>2026</v>
      </c>
      <c r="C137" s="21" t="s">
        <v>593</v>
      </c>
      <c r="D137" s="22">
        <v>64850</v>
      </c>
      <c r="E137" s="22">
        <v>103350</v>
      </c>
      <c r="F137" s="23">
        <v>0.22</v>
      </c>
      <c r="G137" s="24">
        <v>7442</v>
      </c>
    </row>
    <row r="138" spans="2:7" x14ac:dyDescent="0.35">
      <c r="B138" s="20">
        <v>2026</v>
      </c>
      <c r="C138" s="21" t="s">
        <v>593</v>
      </c>
      <c r="D138" s="22">
        <v>103350</v>
      </c>
      <c r="E138" s="22">
        <v>197300</v>
      </c>
      <c r="F138" s="23">
        <v>0.24</v>
      </c>
      <c r="G138" s="24">
        <v>14902</v>
      </c>
    </row>
    <row r="139" spans="2:7" x14ac:dyDescent="0.35">
      <c r="B139" s="20">
        <v>2026</v>
      </c>
      <c r="C139" s="21" t="s">
        <v>593</v>
      </c>
      <c r="D139" s="22">
        <v>197300</v>
      </c>
      <c r="E139" s="22">
        <v>250500</v>
      </c>
      <c r="F139" s="23">
        <v>0.32</v>
      </c>
      <c r="G139" s="24">
        <v>37450</v>
      </c>
    </row>
    <row r="140" spans="2:7" x14ac:dyDescent="0.35">
      <c r="B140" s="20">
        <v>2026</v>
      </c>
      <c r="C140" s="21" t="s">
        <v>593</v>
      </c>
      <c r="D140" s="22">
        <v>250500</v>
      </c>
      <c r="E140" s="22">
        <v>626350</v>
      </c>
      <c r="F140" s="23">
        <v>0.35</v>
      </c>
      <c r="G140" s="24">
        <v>54474</v>
      </c>
    </row>
    <row r="141" spans="2:7" x14ac:dyDescent="0.35">
      <c r="B141" s="20">
        <v>2026</v>
      </c>
      <c r="C141" s="21" t="s">
        <v>593</v>
      </c>
      <c r="D141" s="22">
        <v>626350</v>
      </c>
      <c r="E141" s="22">
        <v>9999999</v>
      </c>
      <c r="F141" s="23">
        <v>0.37</v>
      </c>
      <c r="G141" s="24">
        <v>185921.5</v>
      </c>
    </row>
    <row r="142" spans="2:7" x14ac:dyDescent="0.35">
      <c r="B142" s="20">
        <v>2026</v>
      </c>
      <c r="C142" s="21" t="s">
        <v>594</v>
      </c>
      <c r="D142" s="22">
        <v>0</v>
      </c>
      <c r="E142" s="22">
        <v>11925</v>
      </c>
      <c r="F142" s="23">
        <v>0.1</v>
      </c>
      <c r="G142" s="24">
        <v>0</v>
      </c>
    </row>
    <row r="143" spans="2:7" x14ac:dyDescent="0.35">
      <c r="B143" s="20">
        <v>2026</v>
      </c>
      <c r="C143" s="21" t="s">
        <v>594</v>
      </c>
      <c r="D143" s="22">
        <v>11925</v>
      </c>
      <c r="E143" s="22">
        <v>48475</v>
      </c>
      <c r="F143" s="23">
        <v>0.12</v>
      </c>
      <c r="G143" s="24">
        <v>1192.5</v>
      </c>
    </row>
    <row r="144" spans="2:7" x14ac:dyDescent="0.35">
      <c r="B144" s="20">
        <v>2026</v>
      </c>
      <c r="C144" s="21" t="s">
        <v>594</v>
      </c>
      <c r="D144" s="22">
        <v>48475</v>
      </c>
      <c r="E144" s="22">
        <v>103350</v>
      </c>
      <c r="F144" s="23">
        <v>0.22</v>
      </c>
      <c r="G144" s="24">
        <v>5578.5</v>
      </c>
    </row>
    <row r="145" spans="2:7" x14ac:dyDescent="0.35">
      <c r="B145" s="20">
        <v>2026</v>
      </c>
      <c r="C145" s="21" t="s">
        <v>594</v>
      </c>
      <c r="D145" s="22">
        <v>103350</v>
      </c>
      <c r="E145" s="22">
        <v>197300</v>
      </c>
      <c r="F145" s="23">
        <v>0.24</v>
      </c>
      <c r="G145" s="24">
        <v>17651</v>
      </c>
    </row>
    <row r="146" spans="2:7" x14ac:dyDescent="0.35">
      <c r="B146" s="20">
        <v>2026</v>
      </c>
      <c r="C146" s="21" t="s">
        <v>594</v>
      </c>
      <c r="D146" s="22">
        <v>197300</v>
      </c>
      <c r="E146" s="22">
        <v>250525</v>
      </c>
      <c r="F146" s="23">
        <v>0.32</v>
      </c>
      <c r="G146" s="24">
        <v>40199</v>
      </c>
    </row>
    <row r="147" spans="2:7" x14ac:dyDescent="0.35">
      <c r="B147" s="20">
        <v>2026</v>
      </c>
      <c r="C147" s="21" t="s">
        <v>594</v>
      </c>
      <c r="D147" s="22">
        <v>250525</v>
      </c>
      <c r="E147" s="22">
        <v>375800</v>
      </c>
      <c r="F147" s="23">
        <v>0.35</v>
      </c>
      <c r="G147" s="24">
        <v>57231</v>
      </c>
    </row>
    <row r="148" spans="2:7" x14ac:dyDescent="0.35">
      <c r="B148" s="20">
        <v>2026</v>
      </c>
      <c r="C148" s="21" t="s">
        <v>594</v>
      </c>
      <c r="D148" s="22">
        <v>375800</v>
      </c>
      <c r="E148" s="22">
        <v>9999999</v>
      </c>
      <c r="F148" s="23">
        <v>0.37</v>
      </c>
      <c r="G148" s="24">
        <v>101078.25</v>
      </c>
    </row>
    <row r="149" spans="2:7" x14ac:dyDescent="0.35">
      <c r="B149" s="20">
        <v>2027</v>
      </c>
      <c r="C149" s="21" t="s">
        <v>593</v>
      </c>
      <c r="D149" s="22">
        <v>0</v>
      </c>
      <c r="E149" s="22">
        <v>17000</v>
      </c>
      <c r="F149" s="23">
        <v>0.1</v>
      </c>
      <c r="G149" s="24">
        <v>0</v>
      </c>
    </row>
    <row r="150" spans="2:7" x14ac:dyDescent="0.35">
      <c r="B150" s="20">
        <v>2027</v>
      </c>
      <c r="C150" s="21" t="s">
        <v>593</v>
      </c>
      <c r="D150" s="22">
        <v>17000</v>
      </c>
      <c r="E150" s="22">
        <v>64850</v>
      </c>
      <c r="F150" s="23">
        <v>0.12</v>
      </c>
      <c r="G150" s="24">
        <v>1700</v>
      </c>
    </row>
    <row r="151" spans="2:7" x14ac:dyDescent="0.35">
      <c r="B151" s="20">
        <v>2027</v>
      </c>
      <c r="C151" s="21" t="s">
        <v>593</v>
      </c>
      <c r="D151" s="22">
        <v>64850</v>
      </c>
      <c r="E151" s="22">
        <v>103350</v>
      </c>
      <c r="F151" s="23">
        <v>0.22</v>
      </c>
      <c r="G151" s="24">
        <v>7442</v>
      </c>
    </row>
    <row r="152" spans="2:7" x14ac:dyDescent="0.35">
      <c r="B152" s="20">
        <v>2027</v>
      </c>
      <c r="C152" s="21" t="s">
        <v>593</v>
      </c>
      <c r="D152" s="22">
        <v>103350</v>
      </c>
      <c r="E152" s="22">
        <v>197300</v>
      </c>
      <c r="F152" s="23">
        <v>0.24</v>
      </c>
      <c r="G152" s="24">
        <v>14902</v>
      </c>
    </row>
    <row r="153" spans="2:7" x14ac:dyDescent="0.35">
      <c r="B153" s="20">
        <v>2027</v>
      </c>
      <c r="C153" s="21" t="s">
        <v>593</v>
      </c>
      <c r="D153" s="22">
        <v>197300</v>
      </c>
      <c r="E153" s="22">
        <v>250500</v>
      </c>
      <c r="F153" s="23">
        <v>0.32</v>
      </c>
      <c r="G153" s="24">
        <v>37450</v>
      </c>
    </row>
    <row r="154" spans="2:7" x14ac:dyDescent="0.35">
      <c r="B154" s="20">
        <v>2027</v>
      </c>
      <c r="C154" s="21" t="s">
        <v>593</v>
      </c>
      <c r="D154" s="22">
        <v>250500</v>
      </c>
      <c r="E154" s="22">
        <v>626350</v>
      </c>
      <c r="F154" s="23">
        <v>0.35</v>
      </c>
      <c r="G154" s="24">
        <v>54474</v>
      </c>
    </row>
    <row r="155" spans="2:7" x14ac:dyDescent="0.35">
      <c r="B155" s="20">
        <v>2027</v>
      </c>
      <c r="C155" s="21" t="s">
        <v>593</v>
      </c>
      <c r="D155" s="22">
        <v>626350</v>
      </c>
      <c r="E155" s="22">
        <v>9999999</v>
      </c>
      <c r="F155" s="23">
        <v>0.37</v>
      </c>
      <c r="G155" s="24">
        <v>185921.5</v>
      </c>
    </row>
    <row r="156" spans="2:7" x14ac:dyDescent="0.35">
      <c r="B156" s="20">
        <v>2027</v>
      </c>
      <c r="C156" s="21" t="s">
        <v>594</v>
      </c>
      <c r="D156" s="22">
        <v>0</v>
      </c>
      <c r="E156" s="22">
        <v>11925</v>
      </c>
      <c r="F156" s="23">
        <v>0.1</v>
      </c>
      <c r="G156" s="24">
        <v>0</v>
      </c>
    </row>
    <row r="157" spans="2:7" x14ac:dyDescent="0.35">
      <c r="B157" s="20">
        <v>2027</v>
      </c>
      <c r="C157" s="21" t="s">
        <v>594</v>
      </c>
      <c r="D157" s="22">
        <v>11925</v>
      </c>
      <c r="E157" s="22">
        <v>48475</v>
      </c>
      <c r="F157" s="23">
        <v>0.12</v>
      </c>
      <c r="G157" s="24">
        <v>1192.5</v>
      </c>
    </row>
    <row r="158" spans="2:7" x14ac:dyDescent="0.35">
      <c r="B158" s="20">
        <v>2027</v>
      </c>
      <c r="C158" s="21" t="s">
        <v>594</v>
      </c>
      <c r="D158" s="22">
        <v>48475</v>
      </c>
      <c r="E158" s="22">
        <v>103350</v>
      </c>
      <c r="F158" s="23">
        <v>0.22</v>
      </c>
      <c r="G158" s="24">
        <v>5578.5</v>
      </c>
    </row>
    <row r="159" spans="2:7" x14ac:dyDescent="0.35">
      <c r="B159" s="20">
        <v>2027</v>
      </c>
      <c r="C159" s="21" t="s">
        <v>594</v>
      </c>
      <c r="D159" s="22">
        <v>103350</v>
      </c>
      <c r="E159" s="22">
        <v>197300</v>
      </c>
      <c r="F159" s="23">
        <v>0.24</v>
      </c>
      <c r="G159" s="24">
        <v>17651</v>
      </c>
    </row>
    <row r="160" spans="2:7" x14ac:dyDescent="0.35">
      <c r="B160" s="20">
        <v>2027</v>
      </c>
      <c r="C160" s="21" t="s">
        <v>594</v>
      </c>
      <c r="D160" s="22">
        <v>197300</v>
      </c>
      <c r="E160" s="22">
        <v>250525</v>
      </c>
      <c r="F160" s="23">
        <v>0.32</v>
      </c>
      <c r="G160" s="24">
        <v>40199</v>
      </c>
    </row>
    <row r="161" spans="2:7" x14ac:dyDescent="0.35">
      <c r="B161" s="20">
        <v>2027</v>
      </c>
      <c r="C161" s="21" t="s">
        <v>594</v>
      </c>
      <c r="D161" s="22">
        <v>250525</v>
      </c>
      <c r="E161" s="22">
        <v>375800</v>
      </c>
      <c r="F161" s="23">
        <v>0.35</v>
      </c>
      <c r="G161" s="24">
        <v>57231</v>
      </c>
    </row>
    <row r="162" spans="2:7" x14ac:dyDescent="0.35">
      <c r="B162" s="20">
        <v>2027</v>
      </c>
      <c r="C162" s="21" t="s">
        <v>594</v>
      </c>
      <c r="D162" s="22">
        <v>375800</v>
      </c>
      <c r="E162" s="22">
        <v>9999999</v>
      </c>
      <c r="F162" s="23">
        <v>0.37</v>
      </c>
      <c r="G162" s="24">
        <v>101078.25</v>
      </c>
    </row>
    <row r="163" spans="2:7" x14ac:dyDescent="0.35">
      <c r="B163" s="20">
        <v>2028</v>
      </c>
      <c r="C163" s="21" t="s">
        <v>593</v>
      </c>
      <c r="D163" s="22">
        <v>0</v>
      </c>
      <c r="E163" s="22">
        <v>17000</v>
      </c>
      <c r="F163" s="23">
        <v>0.1</v>
      </c>
      <c r="G163" s="24">
        <v>0</v>
      </c>
    </row>
    <row r="164" spans="2:7" x14ac:dyDescent="0.35">
      <c r="B164" s="20">
        <v>2028</v>
      </c>
      <c r="C164" s="21" t="s">
        <v>593</v>
      </c>
      <c r="D164" s="22">
        <v>17000</v>
      </c>
      <c r="E164" s="22">
        <v>64850</v>
      </c>
      <c r="F164" s="23">
        <v>0.12</v>
      </c>
      <c r="G164" s="24">
        <v>1700</v>
      </c>
    </row>
    <row r="165" spans="2:7" x14ac:dyDescent="0.35">
      <c r="B165" s="20">
        <v>2028</v>
      </c>
      <c r="C165" s="21" t="s">
        <v>593</v>
      </c>
      <c r="D165" s="22">
        <v>64850</v>
      </c>
      <c r="E165" s="22">
        <v>103350</v>
      </c>
      <c r="F165" s="23">
        <v>0.22</v>
      </c>
      <c r="G165" s="24">
        <v>7442</v>
      </c>
    </row>
    <row r="166" spans="2:7" x14ac:dyDescent="0.35">
      <c r="B166" s="20">
        <v>2028</v>
      </c>
      <c r="C166" s="21" t="s">
        <v>593</v>
      </c>
      <c r="D166" s="22">
        <v>103350</v>
      </c>
      <c r="E166" s="22">
        <v>197300</v>
      </c>
      <c r="F166" s="23">
        <v>0.24</v>
      </c>
      <c r="G166" s="24">
        <v>14902</v>
      </c>
    </row>
    <row r="167" spans="2:7" x14ac:dyDescent="0.35">
      <c r="B167" s="20">
        <v>2028</v>
      </c>
      <c r="C167" s="21" t="s">
        <v>593</v>
      </c>
      <c r="D167" s="22">
        <v>197300</v>
      </c>
      <c r="E167" s="22">
        <v>250500</v>
      </c>
      <c r="F167" s="23">
        <v>0.32</v>
      </c>
      <c r="G167" s="24">
        <v>37450</v>
      </c>
    </row>
    <row r="168" spans="2:7" x14ac:dyDescent="0.35">
      <c r="B168" s="20">
        <v>2028</v>
      </c>
      <c r="C168" s="21" t="s">
        <v>593</v>
      </c>
      <c r="D168" s="22">
        <v>250500</v>
      </c>
      <c r="E168" s="22">
        <v>626350</v>
      </c>
      <c r="F168" s="23">
        <v>0.35</v>
      </c>
      <c r="G168" s="24">
        <v>54474</v>
      </c>
    </row>
    <row r="169" spans="2:7" x14ac:dyDescent="0.35">
      <c r="B169" s="20">
        <v>2028</v>
      </c>
      <c r="C169" s="21" t="s">
        <v>593</v>
      </c>
      <c r="D169" s="22">
        <v>626350</v>
      </c>
      <c r="E169" s="22">
        <v>9999999</v>
      </c>
      <c r="F169" s="23">
        <v>0.37</v>
      </c>
      <c r="G169" s="24">
        <v>185921.5</v>
      </c>
    </row>
    <row r="170" spans="2:7" x14ac:dyDescent="0.35">
      <c r="B170" s="20">
        <v>2028</v>
      </c>
      <c r="C170" s="21" t="s">
        <v>594</v>
      </c>
      <c r="D170" s="22">
        <v>0</v>
      </c>
      <c r="E170" s="22">
        <v>11925</v>
      </c>
      <c r="F170" s="23">
        <v>0.1</v>
      </c>
      <c r="G170" s="24">
        <v>0</v>
      </c>
    </row>
    <row r="171" spans="2:7" x14ac:dyDescent="0.35">
      <c r="B171" s="20">
        <v>2028</v>
      </c>
      <c r="C171" s="21" t="s">
        <v>594</v>
      </c>
      <c r="D171" s="22">
        <v>11925</v>
      </c>
      <c r="E171" s="22">
        <v>48475</v>
      </c>
      <c r="F171" s="23">
        <v>0.12</v>
      </c>
      <c r="G171" s="24">
        <v>1192.5</v>
      </c>
    </row>
    <row r="172" spans="2:7" x14ac:dyDescent="0.35">
      <c r="B172" s="20">
        <v>2028</v>
      </c>
      <c r="C172" s="21" t="s">
        <v>594</v>
      </c>
      <c r="D172" s="22">
        <v>48475</v>
      </c>
      <c r="E172" s="22">
        <v>103350</v>
      </c>
      <c r="F172" s="23">
        <v>0.22</v>
      </c>
      <c r="G172" s="24">
        <v>5578.5</v>
      </c>
    </row>
    <row r="173" spans="2:7" x14ac:dyDescent="0.35">
      <c r="B173" s="20">
        <v>2028</v>
      </c>
      <c r="C173" s="21" t="s">
        <v>594</v>
      </c>
      <c r="D173" s="22">
        <v>103350</v>
      </c>
      <c r="E173" s="22">
        <v>197300</v>
      </c>
      <c r="F173" s="23">
        <v>0.24</v>
      </c>
      <c r="G173" s="24">
        <v>17651</v>
      </c>
    </row>
    <row r="174" spans="2:7" x14ac:dyDescent="0.35">
      <c r="B174" s="20">
        <v>2028</v>
      </c>
      <c r="C174" s="21" t="s">
        <v>594</v>
      </c>
      <c r="D174" s="22">
        <v>197300</v>
      </c>
      <c r="E174" s="22">
        <v>250525</v>
      </c>
      <c r="F174" s="23">
        <v>0.32</v>
      </c>
      <c r="G174" s="24">
        <v>40199</v>
      </c>
    </row>
    <row r="175" spans="2:7" x14ac:dyDescent="0.35">
      <c r="B175" s="20">
        <v>2028</v>
      </c>
      <c r="C175" s="21" t="s">
        <v>594</v>
      </c>
      <c r="D175" s="22">
        <v>250525</v>
      </c>
      <c r="E175" s="22">
        <v>375800</v>
      </c>
      <c r="F175" s="23">
        <v>0.35</v>
      </c>
      <c r="G175" s="24">
        <v>57231</v>
      </c>
    </row>
    <row r="176" spans="2:7" x14ac:dyDescent="0.35">
      <c r="B176" s="20">
        <v>2028</v>
      </c>
      <c r="C176" s="21" t="s">
        <v>594</v>
      </c>
      <c r="D176" s="22">
        <v>375800</v>
      </c>
      <c r="E176" s="22">
        <v>9999999</v>
      </c>
      <c r="F176" s="23">
        <v>0.37</v>
      </c>
      <c r="G176" s="24">
        <v>101078.25</v>
      </c>
    </row>
    <row r="177" spans="2:7" x14ac:dyDescent="0.35">
      <c r="B177" s="12"/>
      <c r="C177" s="21"/>
      <c r="D177" s="22"/>
      <c r="E177" s="22"/>
      <c r="F177" s="23"/>
      <c r="G177" s="24"/>
    </row>
    <row r="178" spans="2:7" x14ac:dyDescent="0.35">
      <c r="B178" s="19" t="s">
        <v>595</v>
      </c>
      <c r="C178" s="21"/>
      <c r="D178" s="22"/>
      <c r="E178" s="22"/>
      <c r="F178" s="23"/>
      <c r="G178" s="24"/>
    </row>
    <row r="179" spans="2:7" ht="15" customHeight="1" thickBot="1" x14ac:dyDescent="0.4">
      <c r="B179" s="42"/>
      <c r="C179" s="21"/>
      <c r="D179" s="22"/>
      <c r="E179" s="22"/>
      <c r="F179" s="23"/>
      <c r="G179" s="24"/>
    </row>
    <row r="180" spans="2:7" x14ac:dyDescent="0.35">
      <c r="B180" s="12"/>
      <c r="C180" s="21"/>
      <c r="D180" s="22"/>
      <c r="E180" s="22"/>
      <c r="F180" s="23"/>
      <c r="G180" s="24"/>
    </row>
    <row r="181" spans="2:7" x14ac:dyDescent="0.35">
      <c r="B181" s="12" t="s">
        <v>265</v>
      </c>
      <c r="C181" s="21" t="s">
        <v>587</v>
      </c>
      <c r="D181" s="22" t="s">
        <v>6</v>
      </c>
      <c r="E181" s="22"/>
      <c r="F181" s="23"/>
      <c r="G181" s="24"/>
    </row>
    <row r="182" spans="2:7" x14ac:dyDescent="0.35">
      <c r="B182" s="20">
        <v>2023</v>
      </c>
      <c r="C182" s="21" t="s">
        <v>220</v>
      </c>
      <c r="D182" s="22">
        <v>31500</v>
      </c>
      <c r="E182" s="22"/>
      <c r="F182" s="23"/>
      <c r="G182" s="24"/>
    </row>
    <row r="183" spans="2:7" x14ac:dyDescent="0.35">
      <c r="B183" s="20">
        <v>2023</v>
      </c>
      <c r="C183" s="21" t="s">
        <v>592</v>
      </c>
      <c r="D183" s="22">
        <v>15750</v>
      </c>
      <c r="E183" s="22"/>
      <c r="F183" s="23"/>
      <c r="G183" s="24"/>
    </row>
    <row r="184" spans="2:7" x14ac:dyDescent="0.35">
      <c r="B184" s="20">
        <v>2023</v>
      </c>
      <c r="C184" s="21" t="s">
        <v>593</v>
      </c>
      <c r="D184" s="22">
        <v>22500</v>
      </c>
      <c r="E184" s="22"/>
      <c r="F184" s="23"/>
      <c r="G184" s="24"/>
    </row>
    <row r="185" spans="2:7" x14ac:dyDescent="0.35">
      <c r="B185" s="20">
        <v>2023</v>
      </c>
      <c r="C185" s="21" t="s">
        <v>594</v>
      </c>
      <c r="D185" s="22">
        <v>15750</v>
      </c>
      <c r="E185" s="22"/>
      <c r="F185" s="23"/>
      <c r="G185" s="24"/>
    </row>
    <row r="186" spans="2:7" x14ac:dyDescent="0.35">
      <c r="B186" s="20">
        <v>2024</v>
      </c>
      <c r="C186" s="21" t="s">
        <v>220</v>
      </c>
      <c r="D186" s="22">
        <v>31500</v>
      </c>
      <c r="E186" s="22"/>
      <c r="F186" s="23"/>
      <c r="G186" s="24"/>
    </row>
    <row r="187" spans="2:7" x14ac:dyDescent="0.35">
      <c r="B187" s="20">
        <v>2024</v>
      </c>
      <c r="C187" s="21" t="s">
        <v>592</v>
      </c>
      <c r="D187" s="22">
        <v>15750</v>
      </c>
      <c r="E187" s="22"/>
      <c r="F187" s="23"/>
      <c r="G187" s="24"/>
    </row>
    <row r="188" spans="2:7" x14ac:dyDescent="0.35">
      <c r="B188" s="20">
        <v>2024</v>
      </c>
      <c r="C188" s="21" t="s">
        <v>593</v>
      </c>
      <c r="D188" s="22">
        <v>22500</v>
      </c>
      <c r="E188" s="22"/>
      <c r="F188" s="23"/>
      <c r="G188" s="24"/>
    </row>
    <row r="189" spans="2:7" x14ac:dyDescent="0.35">
      <c r="B189" s="20">
        <v>2024</v>
      </c>
      <c r="C189" s="21" t="s">
        <v>594</v>
      </c>
      <c r="D189" s="22">
        <v>15750</v>
      </c>
      <c r="E189" s="22"/>
      <c r="F189" s="23"/>
      <c r="G189" s="24"/>
    </row>
    <row r="190" spans="2:7" x14ac:dyDescent="0.35">
      <c r="B190" s="20">
        <v>2025</v>
      </c>
      <c r="C190" s="21" t="s">
        <v>220</v>
      </c>
      <c r="D190" s="22">
        <v>31500</v>
      </c>
      <c r="E190" s="22"/>
      <c r="F190" s="23"/>
      <c r="G190" s="24"/>
    </row>
    <row r="191" spans="2:7" x14ac:dyDescent="0.35">
      <c r="B191" s="20">
        <v>2025</v>
      </c>
      <c r="C191" s="21" t="s">
        <v>592</v>
      </c>
      <c r="D191" s="22">
        <v>15750</v>
      </c>
      <c r="E191" s="22"/>
      <c r="F191" s="23"/>
      <c r="G191" s="24"/>
    </row>
    <row r="192" spans="2:7" x14ac:dyDescent="0.35">
      <c r="B192" s="20">
        <v>2025</v>
      </c>
      <c r="C192" s="21" t="s">
        <v>593</v>
      </c>
      <c r="D192" s="22">
        <v>22500</v>
      </c>
      <c r="E192" s="22"/>
      <c r="F192" s="23"/>
      <c r="G192" s="24"/>
    </row>
    <row r="193" spans="2:7" x14ac:dyDescent="0.35">
      <c r="B193" s="20">
        <v>2025</v>
      </c>
      <c r="C193" s="21" t="s">
        <v>594</v>
      </c>
      <c r="D193" s="22">
        <v>15750</v>
      </c>
      <c r="E193" s="22"/>
      <c r="F193" s="23"/>
      <c r="G193" s="24"/>
    </row>
    <row r="194" spans="2:7" x14ac:dyDescent="0.35">
      <c r="B194" s="20">
        <v>2026</v>
      </c>
      <c r="C194" s="21" t="s">
        <v>220</v>
      </c>
      <c r="D194" s="22">
        <v>31500</v>
      </c>
      <c r="E194" s="22"/>
      <c r="F194" s="23"/>
      <c r="G194" s="24"/>
    </row>
    <row r="195" spans="2:7" x14ac:dyDescent="0.35">
      <c r="B195" s="20">
        <v>2026</v>
      </c>
      <c r="C195" s="21" t="s">
        <v>592</v>
      </c>
      <c r="D195" s="22">
        <v>15750</v>
      </c>
      <c r="E195" s="22"/>
      <c r="F195" s="23"/>
      <c r="G195" s="24"/>
    </row>
    <row r="196" spans="2:7" x14ac:dyDescent="0.35">
      <c r="B196" s="20">
        <v>2026</v>
      </c>
      <c r="C196" s="21" t="s">
        <v>593</v>
      </c>
      <c r="D196" s="22">
        <v>22500</v>
      </c>
      <c r="E196" s="22"/>
      <c r="F196" s="23"/>
      <c r="G196" s="24"/>
    </row>
    <row r="197" spans="2:7" x14ac:dyDescent="0.35">
      <c r="B197" s="20">
        <v>2026</v>
      </c>
      <c r="C197" s="21" t="s">
        <v>594</v>
      </c>
      <c r="D197" s="22">
        <v>15750</v>
      </c>
      <c r="E197" s="22"/>
      <c r="F197" s="23"/>
      <c r="G197" s="24"/>
    </row>
    <row r="198" spans="2:7" x14ac:dyDescent="0.35">
      <c r="B198" s="20">
        <v>2027</v>
      </c>
      <c r="C198" s="21" t="s">
        <v>220</v>
      </c>
      <c r="D198" s="22">
        <v>31500</v>
      </c>
      <c r="E198" s="22"/>
      <c r="F198" s="23"/>
      <c r="G198" s="24"/>
    </row>
    <row r="199" spans="2:7" x14ac:dyDescent="0.35">
      <c r="B199" s="20">
        <v>2027</v>
      </c>
      <c r="C199" s="21" t="s">
        <v>592</v>
      </c>
      <c r="D199" s="22">
        <v>15750</v>
      </c>
      <c r="E199" s="22"/>
      <c r="F199" s="23"/>
      <c r="G199" s="24"/>
    </row>
    <row r="200" spans="2:7" x14ac:dyDescent="0.35">
      <c r="B200" s="20">
        <v>2027</v>
      </c>
      <c r="C200" s="21" t="s">
        <v>593</v>
      </c>
      <c r="D200" s="22">
        <v>22500</v>
      </c>
      <c r="E200" s="22"/>
      <c r="F200" s="23"/>
      <c r="G200" s="24"/>
    </row>
    <row r="201" spans="2:7" x14ac:dyDescent="0.35">
      <c r="B201" s="20">
        <v>2027</v>
      </c>
      <c r="C201" s="21" t="s">
        <v>594</v>
      </c>
      <c r="D201" s="22">
        <v>15750</v>
      </c>
      <c r="E201" s="22"/>
      <c r="F201" s="23"/>
      <c r="G201" s="24"/>
    </row>
    <row r="202" spans="2:7" x14ac:dyDescent="0.35">
      <c r="B202" s="20">
        <v>2028</v>
      </c>
      <c r="C202" s="21" t="s">
        <v>220</v>
      </c>
      <c r="D202" s="22">
        <v>31500</v>
      </c>
      <c r="E202" s="22"/>
      <c r="F202" s="23"/>
      <c r="G202" s="24"/>
    </row>
    <row r="203" spans="2:7" x14ac:dyDescent="0.35">
      <c r="B203" s="20">
        <v>2028</v>
      </c>
      <c r="C203" s="21" t="s">
        <v>592</v>
      </c>
      <c r="D203" s="22">
        <v>15750</v>
      </c>
      <c r="E203" s="22"/>
      <c r="F203" s="23"/>
      <c r="G203" s="24"/>
    </row>
    <row r="204" spans="2:7" x14ac:dyDescent="0.35">
      <c r="B204" s="20">
        <v>2028</v>
      </c>
      <c r="C204" s="21" t="s">
        <v>593</v>
      </c>
      <c r="D204" s="22">
        <v>22500</v>
      </c>
      <c r="E204" s="22"/>
      <c r="F204" s="23"/>
      <c r="G204" s="24"/>
    </row>
    <row r="205" spans="2:7" x14ac:dyDescent="0.35">
      <c r="B205" s="20">
        <v>2028</v>
      </c>
      <c r="C205" s="21" t="s">
        <v>594</v>
      </c>
      <c r="D205" s="22">
        <v>15750</v>
      </c>
      <c r="E205" s="22"/>
      <c r="F205" s="23"/>
      <c r="G205" s="24"/>
    </row>
    <row r="206" spans="2:7" x14ac:dyDescent="0.35">
      <c r="B206" s="12"/>
      <c r="C206" s="21"/>
      <c r="D206" s="22"/>
      <c r="E206" s="22"/>
      <c r="F206" s="23"/>
      <c r="G206" s="24"/>
    </row>
    <row r="207" spans="2:7" x14ac:dyDescent="0.35">
      <c r="B207" s="19" t="s">
        <v>596</v>
      </c>
      <c r="C207" s="21"/>
      <c r="D207" s="22"/>
      <c r="E207" s="22"/>
      <c r="F207" s="23"/>
      <c r="G207" s="24"/>
    </row>
    <row r="208" spans="2:7" x14ac:dyDescent="0.35">
      <c r="B208" s="12"/>
      <c r="C208" s="21"/>
      <c r="D208" s="22"/>
      <c r="E208" s="22"/>
      <c r="F208" s="23"/>
      <c r="G208" s="24"/>
    </row>
    <row r="209" spans="2:7" x14ac:dyDescent="0.35">
      <c r="B209" s="12" t="s">
        <v>265</v>
      </c>
      <c r="C209" s="21" t="s">
        <v>587</v>
      </c>
      <c r="D209" s="22" t="s">
        <v>588</v>
      </c>
      <c r="E209" s="22" t="s">
        <v>589</v>
      </c>
      <c r="F209" s="23" t="s">
        <v>590</v>
      </c>
      <c r="G209" s="24"/>
    </row>
    <row r="210" spans="2:7" x14ac:dyDescent="0.35">
      <c r="B210" s="20">
        <v>2023</v>
      </c>
      <c r="C210" s="21" t="s">
        <v>220</v>
      </c>
      <c r="D210" s="22">
        <v>0</v>
      </c>
      <c r="E210" s="22">
        <v>96700</v>
      </c>
      <c r="F210" s="23">
        <v>0</v>
      </c>
      <c r="G210" s="24"/>
    </row>
    <row r="211" spans="2:7" x14ac:dyDescent="0.35">
      <c r="B211" s="20">
        <v>2023</v>
      </c>
      <c r="C211" s="21" t="s">
        <v>220</v>
      </c>
      <c r="D211" s="22">
        <v>96700</v>
      </c>
      <c r="E211" s="22">
        <v>600050</v>
      </c>
      <c r="F211" s="23">
        <v>0.15</v>
      </c>
      <c r="G211" s="24"/>
    </row>
    <row r="212" spans="2:7" x14ac:dyDescent="0.35">
      <c r="B212" s="20">
        <v>2023</v>
      </c>
      <c r="C212" s="21" t="s">
        <v>220</v>
      </c>
      <c r="D212" s="22">
        <v>600050</v>
      </c>
      <c r="E212" s="22">
        <v>9999999</v>
      </c>
      <c r="F212" s="23">
        <v>0.2</v>
      </c>
      <c r="G212" s="24"/>
    </row>
    <row r="213" spans="2:7" x14ac:dyDescent="0.35">
      <c r="B213" s="20">
        <v>2023</v>
      </c>
      <c r="C213" s="21" t="s">
        <v>592</v>
      </c>
      <c r="D213" s="22">
        <v>0</v>
      </c>
      <c r="E213" s="22">
        <v>48350</v>
      </c>
      <c r="F213" s="23">
        <v>0</v>
      </c>
      <c r="G213" s="24"/>
    </row>
    <row r="214" spans="2:7" x14ac:dyDescent="0.35">
      <c r="B214" s="20">
        <v>2023</v>
      </c>
      <c r="C214" s="21" t="s">
        <v>592</v>
      </c>
      <c r="D214" s="22">
        <v>48350</v>
      </c>
      <c r="E214" s="22">
        <v>533400</v>
      </c>
      <c r="F214" s="23">
        <v>0.15</v>
      </c>
      <c r="G214" s="24"/>
    </row>
    <row r="215" spans="2:7" x14ac:dyDescent="0.35">
      <c r="B215" s="20">
        <v>2023</v>
      </c>
      <c r="C215" s="21" t="s">
        <v>592</v>
      </c>
      <c r="D215" s="22">
        <v>533400</v>
      </c>
      <c r="E215" s="22">
        <v>9999999</v>
      </c>
      <c r="F215" s="23">
        <v>0.2</v>
      </c>
      <c r="G215" s="24"/>
    </row>
    <row r="216" spans="2:7" x14ac:dyDescent="0.35">
      <c r="B216" s="20">
        <v>2023</v>
      </c>
      <c r="C216" s="21" t="s">
        <v>593</v>
      </c>
      <c r="D216" s="22">
        <v>0</v>
      </c>
      <c r="E216" s="22">
        <v>64750</v>
      </c>
      <c r="F216" s="23">
        <v>0</v>
      </c>
      <c r="G216" s="24"/>
    </row>
    <row r="217" spans="2:7" x14ac:dyDescent="0.35">
      <c r="B217" s="20">
        <v>2023</v>
      </c>
      <c r="C217" s="21" t="s">
        <v>593</v>
      </c>
      <c r="D217" s="22">
        <v>64750</v>
      </c>
      <c r="E217" s="22">
        <v>566700</v>
      </c>
      <c r="F217" s="23">
        <v>0.15</v>
      </c>
      <c r="G217" s="24"/>
    </row>
    <row r="218" spans="2:7" x14ac:dyDescent="0.35">
      <c r="B218" s="20">
        <v>2023</v>
      </c>
      <c r="C218" s="21" t="s">
        <v>593</v>
      </c>
      <c r="D218" s="22">
        <v>566700</v>
      </c>
      <c r="E218" s="22">
        <v>9999999</v>
      </c>
      <c r="F218" s="23">
        <v>0.2</v>
      </c>
      <c r="G218" s="24"/>
    </row>
    <row r="219" spans="2:7" x14ac:dyDescent="0.35">
      <c r="B219" s="20">
        <v>2023</v>
      </c>
      <c r="C219" s="21" t="s">
        <v>594</v>
      </c>
      <c r="D219" s="22">
        <v>0</v>
      </c>
      <c r="E219" s="22">
        <v>48350</v>
      </c>
      <c r="F219" s="23">
        <v>0</v>
      </c>
      <c r="G219" s="24"/>
    </row>
    <row r="220" spans="2:7" x14ac:dyDescent="0.35">
      <c r="B220" s="20">
        <v>2023</v>
      </c>
      <c r="C220" s="21" t="s">
        <v>594</v>
      </c>
      <c r="D220" s="22">
        <v>48350</v>
      </c>
      <c r="E220" s="22">
        <v>300025</v>
      </c>
      <c r="F220" s="23">
        <v>0.15</v>
      </c>
      <c r="G220" s="24"/>
    </row>
    <row r="221" spans="2:7" x14ac:dyDescent="0.35">
      <c r="B221" s="20">
        <v>2023</v>
      </c>
      <c r="C221" s="21" t="s">
        <v>594</v>
      </c>
      <c r="D221" s="22">
        <v>300025</v>
      </c>
      <c r="E221" s="22">
        <v>9999999</v>
      </c>
      <c r="F221" s="23">
        <v>0.2</v>
      </c>
      <c r="G221" s="24"/>
    </row>
    <row r="222" spans="2:7" x14ac:dyDescent="0.35">
      <c r="B222" s="20">
        <v>2024</v>
      </c>
      <c r="C222" s="21" t="s">
        <v>220</v>
      </c>
      <c r="D222" s="22">
        <v>0</v>
      </c>
      <c r="E222" s="22">
        <v>96700</v>
      </c>
      <c r="F222" s="23">
        <v>0</v>
      </c>
      <c r="G222" s="24"/>
    </row>
    <row r="223" spans="2:7" x14ac:dyDescent="0.35">
      <c r="B223" s="20">
        <v>2024</v>
      </c>
      <c r="C223" s="21" t="s">
        <v>220</v>
      </c>
      <c r="D223" s="22">
        <v>96700</v>
      </c>
      <c r="E223" s="22">
        <v>600050</v>
      </c>
      <c r="F223" s="23">
        <v>0.15</v>
      </c>
      <c r="G223" s="24"/>
    </row>
    <row r="224" spans="2:7" x14ac:dyDescent="0.35">
      <c r="B224" s="20">
        <v>2024</v>
      </c>
      <c r="C224" s="21" t="s">
        <v>220</v>
      </c>
      <c r="D224" s="22">
        <v>600050</v>
      </c>
      <c r="E224" s="22">
        <v>9999999</v>
      </c>
      <c r="F224" s="23">
        <v>0.2</v>
      </c>
      <c r="G224" s="24"/>
    </row>
    <row r="225" spans="2:7" x14ac:dyDescent="0.35">
      <c r="B225" s="20">
        <v>2024</v>
      </c>
      <c r="C225" s="21" t="s">
        <v>592</v>
      </c>
      <c r="D225" s="22">
        <v>0</v>
      </c>
      <c r="E225" s="22">
        <v>48350</v>
      </c>
      <c r="F225" s="23">
        <v>0</v>
      </c>
      <c r="G225" s="24"/>
    </row>
    <row r="226" spans="2:7" x14ac:dyDescent="0.35">
      <c r="B226" s="20">
        <v>2024</v>
      </c>
      <c r="C226" s="21" t="s">
        <v>592</v>
      </c>
      <c r="D226" s="22">
        <v>48350</v>
      </c>
      <c r="E226" s="22">
        <v>533400</v>
      </c>
      <c r="F226" s="23">
        <v>0.15</v>
      </c>
      <c r="G226" s="24"/>
    </row>
    <row r="227" spans="2:7" x14ac:dyDescent="0.35">
      <c r="B227" s="20">
        <v>2024</v>
      </c>
      <c r="C227" s="21" t="s">
        <v>592</v>
      </c>
      <c r="D227" s="22">
        <v>533400</v>
      </c>
      <c r="E227" s="22">
        <v>9999999</v>
      </c>
      <c r="F227" s="23">
        <v>0.2</v>
      </c>
      <c r="G227" s="24"/>
    </row>
    <row r="228" spans="2:7" x14ac:dyDescent="0.35">
      <c r="B228" s="20">
        <v>2024</v>
      </c>
      <c r="C228" s="21" t="s">
        <v>593</v>
      </c>
      <c r="D228" s="22">
        <v>0</v>
      </c>
      <c r="E228" s="22">
        <v>64750</v>
      </c>
      <c r="F228" s="23">
        <v>0</v>
      </c>
      <c r="G228" s="24"/>
    </row>
    <row r="229" spans="2:7" x14ac:dyDescent="0.35">
      <c r="B229" s="20">
        <v>2024</v>
      </c>
      <c r="C229" s="21" t="s">
        <v>593</v>
      </c>
      <c r="D229" s="22">
        <v>64750</v>
      </c>
      <c r="E229" s="22">
        <v>566700</v>
      </c>
      <c r="F229" s="23">
        <v>0.15</v>
      </c>
      <c r="G229" s="24"/>
    </row>
    <row r="230" spans="2:7" x14ac:dyDescent="0.35">
      <c r="B230" s="20">
        <v>2024</v>
      </c>
      <c r="C230" s="21" t="s">
        <v>593</v>
      </c>
      <c r="D230" s="22">
        <v>566700</v>
      </c>
      <c r="E230" s="22">
        <v>9999999</v>
      </c>
      <c r="F230" s="23">
        <v>0.2</v>
      </c>
      <c r="G230" s="24"/>
    </row>
    <row r="231" spans="2:7" x14ac:dyDescent="0.35">
      <c r="B231" s="20">
        <v>2024</v>
      </c>
      <c r="C231" s="21" t="s">
        <v>594</v>
      </c>
      <c r="D231" s="22">
        <v>0</v>
      </c>
      <c r="E231" s="22">
        <v>48350</v>
      </c>
      <c r="F231" s="23">
        <v>0</v>
      </c>
      <c r="G231" s="24"/>
    </row>
    <row r="232" spans="2:7" x14ac:dyDescent="0.35">
      <c r="B232" s="20">
        <v>2024</v>
      </c>
      <c r="C232" s="21" t="s">
        <v>594</v>
      </c>
      <c r="D232" s="22">
        <v>48350</v>
      </c>
      <c r="E232" s="22">
        <v>300025</v>
      </c>
      <c r="F232" s="23">
        <v>0.15</v>
      </c>
      <c r="G232" s="24"/>
    </row>
    <row r="233" spans="2:7" x14ac:dyDescent="0.35">
      <c r="B233" s="20">
        <v>2024</v>
      </c>
      <c r="C233" s="21" t="s">
        <v>594</v>
      </c>
      <c r="D233" s="22">
        <v>300025</v>
      </c>
      <c r="E233" s="22">
        <v>9999999</v>
      </c>
      <c r="F233" s="23">
        <v>0.2</v>
      </c>
      <c r="G233" s="24"/>
    </row>
    <row r="234" spans="2:7" x14ac:dyDescent="0.35">
      <c r="B234" s="20">
        <v>2025</v>
      </c>
      <c r="C234" s="21" t="s">
        <v>220</v>
      </c>
      <c r="D234" s="22">
        <v>0</v>
      </c>
      <c r="E234" s="22">
        <v>96700</v>
      </c>
      <c r="F234" s="23">
        <v>0</v>
      </c>
      <c r="G234" s="24"/>
    </row>
    <row r="235" spans="2:7" x14ac:dyDescent="0.35">
      <c r="B235" s="20">
        <v>2025</v>
      </c>
      <c r="C235" s="21" t="s">
        <v>220</v>
      </c>
      <c r="D235" s="22">
        <v>96700</v>
      </c>
      <c r="E235" s="22">
        <v>600050</v>
      </c>
      <c r="F235" s="23">
        <v>0.15</v>
      </c>
      <c r="G235" s="24"/>
    </row>
    <row r="236" spans="2:7" x14ac:dyDescent="0.35">
      <c r="B236" s="20">
        <v>2025</v>
      </c>
      <c r="C236" s="21" t="s">
        <v>220</v>
      </c>
      <c r="D236" s="22">
        <v>600050</v>
      </c>
      <c r="E236" s="22">
        <v>9999999</v>
      </c>
      <c r="F236" s="23">
        <v>0.2</v>
      </c>
      <c r="G236" s="24"/>
    </row>
    <row r="237" spans="2:7" x14ac:dyDescent="0.35">
      <c r="B237" s="20">
        <v>2025</v>
      </c>
      <c r="C237" s="21" t="s">
        <v>592</v>
      </c>
      <c r="D237" s="22">
        <v>0</v>
      </c>
      <c r="E237" s="22">
        <v>48350</v>
      </c>
      <c r="F237" s="23">
        <v>0</v>
      </c>
      <c r="G237" s="24"/>
    </row>
    <row r="238" spans="2:7" x14ac:dyDescent="0.35">
      <c r="B238" s="20">
        <v>2025</v>
      </c>
      <c r="C238" s="21" t="s">
        <v>592</v>
      </c>
      <c r="D238" s="22">
        <v>48350</v>
      </c>
      <c r="E238" s="22">
        <v>533400</v>
      </c>
      <c r="F238" s="23">
        <v>0.15</v>
      </c>
      <c r="G238" s="24"/>
    </row>
    <row r="239" spans="2:7" x14ac:dyDescent="0.35">
      <c r="B239" s="20">
        <v>2025</v>
      </c>
      <c r="C239" s="21" t="s">
        <v>592</v>
      </c>
      <c r="D239" s="22">
        <v>533400</v>
      </c>
      <c r="E239" s="22">
        <v>9999999</v>
      </c>
      <c r="F239" s="23">
        <v>0.2</v>
      </c>
      <c r="G239" s="24"/>
    </row>
    <row r="240" spans="2:7" x14ac:dyDescent="0.35">
      <c r="B240" s="20">
        <v>2025</v>
      </c>
      <c r="C240" s="21" t="s">
        <v>593</v>
      </c>
      <c r="D240" s="22">
        <v>0</v>
      </c>
      <c r="E240" s="22">
        <v>64750</v>
      </c>
      <c r="F240" s="23">
        <v>0</v>
      </c>
      <c r="G240" s="24"/>
    </row>
    <row r="241" spans="2:7" x14ac:dyDescent="0.35">
      <c r="B241" s="20">
        <v>2025</v>
      </c>
      <c r="C241" s="21" t="s">
        <v>593</v>
      </c>
      <c r="D241" s="22">
        <v>64750</v>
      </c>
      <c r="E241" s="22">
        <v>566700</v>
      </c>
      <c r="F241" s="23">
        <v>0.15</v>
      </c>
      <c r="G241" s="24"/>
    </row>
    <row r="242" spans="2:7" x14ac:dyDescent="0.35">
      <c r="B242" s="20">
        <v>2025</v>
      </c>
      <c r="C242" s="21" t="s">
        <v>593</v>
      </c>
      <c r="D242" s="22">
        <v>566700</v>
      </c>
      <c r="E242" s="22">
        <v>9999999</v>
      </c>
      <c r="F242" s="23">
        <v>0.2</v>
      </c>
      <c r="G242" s="24"/>
    </row>
    <row r="243" spans="2:7" x14ac:dyDescent="0.35">
      <c r="B243" s="20">
        <v>2025</v>
      </c>
      <c r="C243" s="21" t="s">
        <v>594</v>
      </c>
      <c r="D243" s="22">
        <v>0</v>
      </c>
      <c r="E243" s="22">
        <v>48350</v>
      </c>
      <c r="F243" s="23">
        <v>0</v>
      </c>
      <c r="G243" s="24"/>
    </row>
    <row r="244" spans="2:7" x14ac:dyDescent="0.35">
      <c r="B244" s="20">
        <v>2025</v>
      </c>
      <c r="C244" s="21" t="s">
        <v>594</v>
      </c>
      <c r="D244" s="22">
        <v>48350</v>
      </c>
      <c r="E244" s="22">
        <v>300025</v>
      </c>
      <c r="F244" s="23">
        <v>0.15</v>
      </c>
      <c r="G244" s="24"/>
    </row>
    <row r="245" spans="2:7" x14ac:dyDescent="0.35">
      <c r="B245" s="20">
        <v>2025</v>
      </c>
      <c r="C245" s="21" t="s">
        <v>594</v>
      </c>
      <c r="D245" s="22">
        <v>300025</v>
      </c>
      <c r="E245" s="22">
        <v>9999999</v>
      </c>
      <c r="F245" s="23">
        <v>0.2</v>
      </c>
      <c r="G245" s="24"/>
    </row>
    <row r="246" spans="2:7" x14ac:dyDescent="0.35">
      <c r="B246" s="20">
        <v>2026</v>
      </c>
      <c r="C246" s="21" t="s">
        <v>220</v>
      </c>
      <c r="D246" s="22">
        <v>0</v>
      </c>
      <c r="E246" s="22">
        <v>96700</v>
      </c>
      <c r="F246" s="23">
        <v>0</v>
      </c>
      <c r="G246" s="24"/>
    </row>
    <row r="247" spans="2:7" x14ac:dyDescent="0.35">
      <c r="B247" s="20">
        <v>2026</v>
      </c>
      <c r="C247" s="21" t="s">
        <v>220</v>
      </c>
      <c r="D247" s="22">
        <v>96700</v>
      </c>
      <c r="E247" s="22">
        <v>600050</v>
      </c>
      <c r="F247" s="23">
        <v>0.15</v>
      </c>
      <c r="G247" s="24"/>
    </row>
    <row r="248" spans="2:7" x14ac:dyDescent="0.35">
      <c r="B248" s="20">
        <v>2026</v>
      </c>
      <c r="C248" s="21" t="s">
        <v>220</v>
      </c>
      <c r="D248" s="22">
        <v>600050</v>
      </c>
      <c r="E248" s="22">
        <v>9999999</v>
      </c>
      <c r="F248" s="23">
        <v>0.2</v>
      </c>
      <c r="G248" s="24"/>
    </row>
    <row r="249" spans="2:7" x14ac:dyDescent="0.35">
      <c r="B249" s="20">
        <v>2026</v>
      </c>
      <c r="C249" s="21" t="s">
        <v>592</v>
      </c>
      <c r="D249" s="22">
        <v>0</v>
      </c>
      <c r="E249" s="22">
        <v>48350</v>
      </c>
      <c r="F249" s="23">
        <v>0</v>
      </c>
      <c r="G249" s="24"/>
    </row>
    <row r="250" spans="2:7" x14ac:dyDescent="0.35">
      <c r="B250" s="20">
        <v>2026</v>
      </c>
      <c r="C250" s="21" t="s">
        <v>592</v>
      </c>
      <c r="D250" s="22">
        <v>48350</v>
      </c>
      <c r="E250" s="22">
        <v>533400</v>
      </c>
      <c r="F250" s="23">
        <v>0.15</v>
      </c>
      <c r="G250" s="24"/>
    </row>
    <row r="251" spans="2:7" x14ac:dyDescent="0.35">
      <c r="B251" s="20">
        <v>2026</v>
      </c>
      <c r="C251" s="21" t="s">
        <v>592</v>
      </c>
      <c r="D251" s="22">
        <v>533400</v>
      </c>
      <c r="E251" s="22">
        <v>9999999</v>
      </c>
      <c r="F251" s="23">
        <v>0.2</v>
      </c>
      <c r="G251" s="24"/>
    </row>
    <row r="252" spans="2:7" x14ac:dyDescent="0.35">
      <c r="B252" s="20">
        <v>2026</v>
      </c>
      <c r="C252" s="21" t="s">
        <v>593</v>
      </c>
      <c r="D252" s="22">
        <v>0</v>
      </c>
      <c r="E252" s="22">
        <v>64750</v>
      </c>
      <c r="F252" s="23">
        <v>0</v>
      </c>
      <c r="G252" s="24"/>
    </row>
    <row r="253" spans="2:7" x14ac:dyDescent="0.35">
      <c r="B253" s="20">
        <v>2026</v>
      </c>
      <c r="C253" s="21" t="s">
        <v>593</v>
      </c>
      <c r="D253" s="22">
        <v>64750</v>
      </c>
      <c r="E253" s="22">
        <v>566700</v>
      </c>
      <c r="F253" s="23">
        <v>0.15</v>
      </c>
      <c r="G253" s="24"/>
    </row>
    <row r="254" spans="2:7" x14ac:dyDescent="0.35">
      <c r="B254" s="20">
        <v>2026</v>
      </c>
      <c r="C254" s="21" t="s">
        <v>593</v>
      </c>
      <c r="D254" s="22">
        <v>566700</v>
      </c>
      <c r="E254" s="22">
        <v>9999999</v>
      </c>
      <c r="F254" s="23">
        <v>0.2</v>
      </c>
      <c r="G254" s="24"/>
    </row>
    <row r="255" spans="2:7" x14ac:dyDescent="0.35">
      <c r="B255" s="20">
        <v>2026</v>
      </c>
      <c r="C255" s="21" t="s">
        <v>594</v>
      </c>
      <c r="D255" s="22">
        <v>0</v>
      </c>
      <c r="E255" s="22">
        <v>48350</v>
      </c>
      <c r="F255" s="23">
        <v>0</v>
      </c>
      <c r="G255" s="24"/>
    </row>
    <row r="256" spans="2:7" x14ac:dyDescent="0.35">
      <c r="B256" s="20">
        <v>2026</v>
      </c>
      <c r="C256" s="21" t="s">
        <v>594</v>
      </c>
      <c r="D256" s="22">
        <v>48350</v>
      </c>
      <c r="E256" s="22">
        <v>300025</v>
      </c>
      <c r="F256" s="23">
        <v>0.15</v>
      </c>
      <c r="G256" s="24"/>
    </row>
    <row r="257" spans="2:7" x14ac:dyDescent="0.35">
      <c r="B257" s="20">
        <v>2026</v>
      </c>
      <c r="C257" s="21" t="s">
        <v>594</v>
      </c>
      <c r="D257" s="22">
        <v>300025</v>
      </c>
      <c r="E257" s="22">
        <v>9999999</v>
      </c>
      <c r="F257" s="23">
        <v>0.2</v>
      </c>
      <c r="G257" s="24"/>
    </row>
    <row r="258" spans="2:7" x14ac:dyDescent="0.35">
      <c r="B258" s="20">
        <v>2027</v>
      </c>
      <c r="C258" s="21" t="s">
        <v>220</v>
      </c>
      <c r="D258" s="22">
        <v>0</v>
      </c>
      <c r="E258" s="22">
        <v>96700</v>
      </c>
      <c r="F258" s="23">
        <v>0</v>
      </c>
      <c r="G258" s="24"/>
    </row>
    <row r="259" spans="2:7" x14ac:dyDescent="0.35">
      <c r="B259" s="20">
        <v>2027</v>
      </c>
      <c r="C259" s="21" t="s">
        <v>220</v>
      </c>
      <c r="D259" s="22">
        <v>96700</v>
      </c>
      <c r="E259" s="22">
        <v>600050</v>
      </c>
      <c r="F259" s="23">
        <v>0.15</v>
      </c>
      <c r="G259" s="24"/>
    </row>
    <row r="260" spans="2:7" x14ac:dyDescent="0.35">
      <c r="B260" s="20">
        <v>2027</v>
      </c>
      <c r="C260" s="21" t="s">
        <v>220</v>
      </c>
      <c r="D260" s="22">
        <v>600050</v>
      </c>
      <c r="E260" s="22">
        <v>9999999</v>
      </c>
      <c r="F260" s="23">
        <v>0.2</v>
      </c>
      <c r="G260" s="24"/>
    </row>
    <row r="261" spans="2:7" x14ac:dyDescent="0.35">
      <c r="B261" s="20">
        <v>2027</v>
      </c>
      <c r="C261" s="21" t="s">
        <v>592</v>
      </c>
      <c r="D261" s="22">
        <v>0</v>
      </c>
      <c r="E261" s="22">
        <v>48350</v>
      </c>
      <c r="F261" s="23">
        <v>0</v>
      </c>
      <c r="G261" s="24"/>
    </row>
    <row r="262" spans="2:7" x14ac:dyDescent="0.35">
      <c r="B262" s="20">
        <v>2027</v>
      </c>
      <c r="C262" s="21" t="s">
        <v>592</v>
      </c>
      <c r="D262" s="22">
        <v>48350</v>
      </c>
      <c r="E262" s="22">
        <v>533400</v>
      </c>
      <c r="F262" s="23">
        <v>0.15</v>
      </c>
      <c r="G262" s="24"/>
    </row>
    <row r="263" spans="2:7" x14ac:dyDescent="0.35">
      <c r="B263" s="20">
        <v>2027</v>
      </c>
      <c r="C263" s="21" t="s">
        <v>592</v>
      </c>
      <c r="D263" s="22">
        <v>533400</v>
      </c>
      <c r="E263" s="22">
        <v>9999999</v>
      </c>
      <c r="F263" s="23">
        <v>0.2</v>
      </c>
      <c r="G263" s="24"/>
    </row>
    <row r="264" spans="2:7" x14ac:dyDescent="0.35">
      <c r="B264" s="20">
        <v>2027</v>
      </c>
      <c r="C264" s="21" t="s">
        <v>593</v>
      </c>
      <c r="D264" s="22">
        <v>0</v>
      </c>
      <c r="E264" s="22">
        <v>64750</v>
      </c>
      <c r="F264" s="23">
        <v>0</v>
      </c>
      <c r="G264" s="24"/>
    </row>
    <row r="265" spans="2:7" x14ac:dyDescent="0.35">
      <c r="B265" s="20">
        <v>2027</v>
      </c>
      <c r="C265" s="21" t="s">
        <v>593</v>
      </c>
      <c r="D265" s="22">
        <v>64750</v>
      </c>
      <c r="E265" s="22">
        <v>566700</v>
      </c>
      <c r="F265" s="23">
        <v>0.15</v>
      </c>
      <c r="G265" s="24"/>
    </row>
    <row r="266" spans="2:7" x14ac:dyDescent="0.35">
      <c r="B266" s="20">
        <v>2027</v>
      </c>
      <c r="C266" s="21" t="s">
        <v>593</v>
      </c>
      <c r="D266" s="22">
        <v>566700</v>
      </c>
      <c r="E266" s="22">
        <v>9999999</v>
      </c>
      <c r="F266" s="23">
        <v>0.2</v>
      </c>
      <c r="G266" s="24"/>
    </row>
    <row r="267" spans="2:7" x14ac:dyDescent="0.35">
      <c r="B267" s="20">
        <v>2027</v>
      </c>
      <c r="C267" s="21" t="s">
        <v>594</v>
      </c>
      <c r="D267" s="22">
        <v>0</v>
      </c>
      <c r="E267" s="22">
        <v>48350</v>
      </c>
      <c r="F267" s="23">
        <v>0</v>
      </c>
      <c r="G267" s="24"/>
    </row>
    <row r="268" spans="2:7" x14ac:dyDescent="0.35">
      <c r="B268" s="20">
        <v>2027</v>
      </c>
      <c r="C268" s="21" t="s">
        <v>594</v>
      </c>
      <c r="D268" s="22">
        <v>48350</v>
      </c>
      <c r="E268" s="22">
        <v>300025</v>
      </c>
      <c r="F268" s="23">
        <v>0.15</v>
      </c>
      <c r="G268" s="24"/>
    </row>
    <row r="269" spans="2:7" x14ac:dyDescent="0.35">
      <c r="B269" s="20">
        <v>2027</v>
      </c>
      <c r="C269" s="21" t="s">
        <v>594</v>
      </c>
      <c r="D269" s="22">
        <v>300025</v>
      </c>
      <c r="E269" s="22">
        <v>9999999</v>
      </c>
      <c r="F269" s="23">
        <v>0.2</v>
      </c>
      <c r="G269" s="24"/>
    </row>
    <row r="270" spans="2:7" x14ac:dyDescent="0.35">
      <c r="B270" s="20">
        <v>2028</v>
      </c>
      <c r="C270" s="21" t="s">
        <v>220</v>
      </c>
      <c r="D270" s="22">
        <v>0</v>
      </c>
      <c r="E270" s="22">
        <v>96700</v>
      </c>
      <c r="F270" s="23">
        <v>0</v>
      </c>
      <c r="G270" s="24"/>
    </row>
    <row r="271" spans="2:7" x14ac:dyDescent="0.35">
      <c r="B271" s="20">
        <v>2028</v>
      </c>
      <c r="C271" s="21" t="s">
        <v>220</v>
      </c>
      <c r="D271" s="22">
        <v>96700</v>
      </c>
      <c r="E271" s="22">
        <v>600050</v>
      </c>
      <c r="F271" s="23">
        <v>0.15</v>
      </c>
      <c r="G271" s="24"/>
    </row>
    <row r="272" spans="2:7" x14ac:dyDescent="0.35">
      <c r="B272" s="20">
        <v>2028</v>
      </c>
      <c r="C272" s="21" t="s">
        <v>220</v>
      </c>
      <c r="D272" s="22">
        <v>600050</v>
      </c>
      <c r="E272" s="22">
        <v>9999999</v>
      </c>
      <c r="F272" s="23">
        <v>0.2</v>
      </c>
      <c r="G272" s="24"/>
    </row>
    <row r="273" spans="2:6" x14ac:dyDescent="0.35">
      <c r="B273" s="20">
        <v>2028</v>
      </c>
      <c r="C273" s="21" t="s">
        <v>592</v>
      </c>
      <c r="D273" s="12">
        <v>0</v>
      </c>
      <c r="E273" s="12">
        <v>48350</v>
      </c>
      <c r="F273" s="23">
        <v>0</v>
      </c>
    </row>
    <row r="274" spans="2:6" x14ac:dyDescent="0.35">
      <c r="B274" s="20">
        <v>2028</v>
      </c>
      <c r="C274" s="21" t="s">
        <v>592</v>
      </c>
      <c r="D274" s="12">
        <v>48350</v>
      </c>
      <c r="E274" s="12">
        <v>533400</v>
      </c>
      <c r="F274" s="23">
        <v>0.15</v>
      </c>
    </row>
    <row r="275" spans="2:6" x14ac:dyDescent="0.35">
      <c r="B275" s="20">
        <v>2028</v>
      </c>
      <c r="C275" s="21" t="s">
        <v>592</v>
      </c>
      <c r="D275" s="12">
        <v>533400</v>
      </c>
      <c r="E275" s="12">
        <v>9999999</v>
      </c>
      <c r="F275" s="23">
        <v>0.2</v>
      </c>
    </row>
    <row r="276" spans="2:6" x14ac:dyDescent="0.35">
      <c r="B276" s="20">
        <v>2028</v>
      </c>
      <c r="C276" s="21" t="s">
        <v>593</v>
      </c>
      <c r="D276" s="12">
        <v>0</v>
      </c>
      <c r="E276" s="12">
        <v>64750</v>
      </c>
      <c r="F276" s="23">
        <v>0</v>
      </c>
    </row>
    <row r="277" spans="2:6" x14ac:dyDescent="0.35">
      <c r="B277" s="20">
        <v>2028</v>
      </c>
      <c r="C277" s="21" t="s">
        <v>593</v>
      </c>
      <c r="D277" s="12">
        <v>64750</v>
      </c>
      <c r="E277" s="12">
        <v>566700</v>
      </c>
      <c r="F277" s="23">
        <v>0.15</v>
      </c>
    </row>
    <row r="278" spans="2:6" x14ac:dyDescent="0.35">
      <c r="B278" s="20">
        <v>2028</v>
      </c>
      <c r="C278" s="21" t="s">
        <v>593</v>
      </c>
      <c r="D278" s="12">
        <v>566700</v>
      </c>
      <c r="E278" s="12">
        <v>9999999</v>
      </c>
      <c r="F278" s="23">
        <v>0.2</v>
      </c>
    </row>
    <row r="279" spans="2:6" x14ac:dyDescent="0.35">
      <c r="B279" s="20">
        <v>2028</v>
      </c>
      <c r="C279" s="21" t="s">
        <v>594</v>
      </c>
      <c r="D279" s="12">
        <v>0</v>
      </c>
      <c r="E279" s="12">
        <v>48350</v>
      </c>
      <c r="F279" s="23">
        <v>0</v>
      </c>
    </row>
    <row r="280" spans="2:6" x14ac:dyDescent="0.35">
      <c r="B280" s="20">
        <v>2028</v>
      </c>
      <c r="C280" s="21" t="s">
        <v>594</v>
      </c>
      <c r="D280" s="12">
        <v>48350</v>
      </c>
      <c r="E280" s="12">
        <v>300025</v>
      </c>
      <c r="F280" s="23">
        <v>0.15</v>
      </c>
    </row>
    <row r="281" spans="2:6" x14ac:dyDescent="0.35">
      <c r="B281" s="20">
        <v>2028</v>
      </c>
      <c r="C281" s="21" t="s">
        <v>594</v>
      </c>
      <c r="D281" s="12">
        <v>300025</v>
      </c>
      <c r="E281" s="12">
        <v>9999999</v>
      </c>
      <c r="F281" s="23">
        <v>0.2</v>
      </c>
    </row>
    <row r="284" spans="2:6" x14ac:dyDescent="0.35">
      <c r="B284" s="13" t="s">
        <v>597</v>
      </c>
    </row>
    <row r="285" spans="2:6" x14ac:dyDescent="0.35">
      <c r="B285" t="s">
        <v>265</v>
      </c>
      <c r="C285" t="s">
        <v>587</v>
      </c>
      <c r="D285" t="s">
        <v>598</v>
      </c>
      <c r="E285" t="s">
        <v>469</v>
      </c>
    </row>
    <row r="286" spans="2:6" x14ac:dyDescent="0.35">
      <c r="B286" s="20">
        <v>2023</v>
      </c>
      <c r="C286" t="s">
        <v>220</v>
      </c>
      <c r="D286" t="s">
        <v>599</v>
      </c>
      <c r="E286">
        <v>250000</v>
      </c>
    </row>
    <row r="287" spans="2:6" x14ac:dyDescent="0.35">
      <c r="B287" s="20">
        <v>2023</v>
      </c>
      <c r="C287" t="s">
        <v>592</v>
      </c>
      <c r="D287" t="s">
        <v>599</v>
      </c>
      <c r="E287">
        <v>200000</v>
      </c>
    </row>
    <row r="288" spans="2:6" x14ac:dyDescent="0.35">
      <c r="B288" s="20">
        <v>2023</v>
      </c>
      <c r="C288" t="s">
        <v>593</v>
      </c>
      <c r="D288" t="s">
        <v>599</v>
      </c>
      <c r="E288">
        <v>200000</v>
      </c>
    </row>
    <row r="289" spans="2:5" x14ac:dyDescent="0.35">
      <c r="B289" s="20">
        <v>2023</v>
      </c>
      <c r="C289" t="s">
        <v>594</v>
      </c>
      <c r="D289" t="s">
        <v>599</v>
      </c>
      <c r="E289">
        <v>125000</v>
      </c>
    </row>
    <row r="290" spans="2:5" x14ac:dyDescent="0.35">
      <c r="B290" s="20">
        <v>2023</v>
      </c>
      <c r="C290" t="s">
        <v>220</v>
      </c>
      <c r="D290" t="s">
        <v>600</v>
      </c>
      <c r="E290">
        <v>3.7999999999999999E-2</v>
      </c>
    </row>
    <row r="291" spans="2:5" x14ac:dyDescent="0.35">
      <c r="B291" s="20">
        <v>2023</v>
      </c>
      <c r="C291" t="s">
        <v>592</v>
      </c>
      <c r="D291" t="s">
        <v>600</v>
      </c>
      <c r="E291">
        <v>3.7999999999999999E-2</v>
      </c>
    </row>
    <row r="292" spans="2:5" x14ac:dyDescent="0.35">
      <c r="B292" s="20">
        <v>2023</v>
      </c>
      <c r="C292" t="s">
        <v>593</v>
      </c>
      <c r="D292" t="s">
        <v>600</v>
      </c>
      <c r="E292">
        <v>3.7999999999999999E-2</v>
      </c>
    </row>
    <row r="293" spans="2:5" x14ac:dyDescent="0.35">
      <c r="B293" s="20">
        <v>2023</v>
      </c>
      <c r="C293" t="s">
        <v>594</v>
      </c>
      <c r="D293" t="s">
        <v>600</v>
      </c>
      <c r="E293">
        <v>3.7999999999999999E-2</v>
      </c>
    </row>
    <row r="294" spans="2:5" x14ac:dyDescent="0.35">
      <c r="B294" s="20">
        <v>2023</v>
      </c>
      <c r="C294" t="s">
        <v>220</v>
      </c>
      <c r="D294" t="s">
        <v>601</v>
      </c>
      <c r="E294">
        <v>394600</v>
      </c>
    </row>
    <row r="295" spans="2:5" x14ac:dyDescent="0.35">
      <c r="B295" s="20">
        <v>2023</v>
      </c>
      <c r="C295" t="s">
        <v>592</v>
      </c>
      <c r="D295" t="s">
        <v>601</v>
      </c>
      <c r="E295">
        <v>197300</v>
      </c>
    </row>
    <row r="296" spans="2:5" x14ac:dyDescent="0.35">
      <c r="B296" s="20">
        <v>2023</v>
      </c>
      <c r="C296" t="s">
        <v>593</v>
      </c>
      <c r="D296" t="s">
        <v>601</v>
      </c>
      <c r="E296">
        <v>197300</v>
      </c>
    </row>
    <row r="297" spans="2:5" x14ac:dyDescent="0.35">
      <c r="B297" s="20">
        <v>2023</v>
      </c>
      <c r="C297" t="s">
        <v>594</v>
      </c>
      <c r="D297" t="s">
        <v>601</v>
      </c>
      <c r="E297">
        <v>197300</v>
      </c>
    </row>
    <row r="298" spans="2:5" x14ac:dyDescent="0.35">
      <c r="B298" s="20">
        <v>2023</v>
      </c>
      <c r="C298" t="s">
        <v>220</v>
      </c>
      <c r="D298" t="s">
        <v>602</v>
      </c>
      <c r="E298">
        <v>494600</v>
      </c>
    </row>
    <row r="299" spans="2:5" x14ac:dyDescent="0.35">
      <c r="B299" s="20">
        <v>2023</v>
      </c>
      <c r="C299" t="s">
        <v>592</v>
      </c>
      <c r="D299" t="s">
        <v>602</v>
      </c>
      <c r="E299">
        <v>247300</v>
      </c>
    </row>
    <row r="300" spans="2:5" x14ac:dyDescent="0.35">
      <c r="B300" s="20">
        <v>2023</v>
      </c>
      <c r="C300" t="s">
        <v>593</v>
      </c>
      <c r="D300" t="s">
        <v>602</v>
      </c>
      <c r="E300">
        <v>247300</v>
      </c>
    </row>
    <row r="301" spans="2:5" x14ac:dyDescent="0.35">
      <c r="B301" s="20">
        <v>2023</v>
      </c>
      <c r="C301" t="s">
        <v>594</v>
      </c>
      <c r="D301" t="s">
        <v>602</v>
      </c>
      <c r="E301">
        <v>247300</v>
      </c>
    </row>
    <row r="302" spans="2:5" x14ac:dyDescent="0.35">
      <c r="B302" s="20">
        <v>2023</v>
      </c>
      <c r="C302" t="s">
        <v>220</v>
      </c>
      <c r="D302" t="s">
        <v>603</v>
      </c>
      <c r="E302">
        <v>176100</v>
      </c>
    </row>
    <row r="303" spans="2:5" x14ac:dyDescent="0.35">
      <c r="B303" s="20">
        <v>2023</v>
      </c>
      <c r="C303" t="s">
        <v>592</v>
      </c>
      <c r="D303" t="s">
        <v>603</v>
      </c>
      <c r="E303">
        <v>176100</v>
      </c>
    </row>
    <row r="304" spans="2:5" x14ac:dyDescent="0.35">
      <c r="B304" s="20">
        <v>2023</v>
      </c>
      <c r="C304" t="s">
        <v>593</v>
      </c>
      <c r="D304" t="s">
        <v>603</v>
      </c>
      <c r="E304">
        <v>176100</v>
      </c>
    </row>
    <row r="305" spans="2:5" x14ac:dyDescent="0.35">
      <c r="B305" s="20">
        <v>2023</v>
      </c>
      <c r="C305" t="s">
        <v>594</v>
      </c>
      <c r="D305" t="s">
        <v>603</v>
      </c>
      <c r="E305">
        <v>176100</v>
      </c>
    </row>
    <row r="306" spans="2:5" x14ac:dyDescent="0.35">
      <c r="B306" s="20">
        <v>2023</v>
      </c>
      <c r="C306" t="s">
        <v>220</v>
      </c>
      <c r="D306" t="s">
        <v>604</v>
      </c>
      <c r="E306">
        <v>0.124</v>
      </c>
    </row>
    <row r="307" spans="2:5" x14ac:dyDescent="0.35">
      <c r="B307" s="20">
        <v>2023</v>
      </c>
      <c r="C307" t="s">
        <v>592</v>
      </c>
      <c r="D307" t="s">
        <v>604</v>
      </c>
      <c r="E307">
        <v>0.124</v>
      </c>
    </row>
    <row r="308" spans="2:5" x14ac:dyDescent="0.35">
      <c r="B308" s="20">
        <v>2023</v>
      </c>
      <c r="C308" t="s">
        <v>593</v>
      </c>
      <c r="D308" t="s">
        <v>604</v>
      </c>
      <c r="E308">
        <v>0.124</v>
      </c>
    </row>
    <row r="309" spans="2:5" x14ac:dyDescent="0.35">
      <c r="B309" s="20">
        <v>2023</v>
      </c>
      <c r="C309" t="s">
        <v>594</v>
      </c>
      <c r="D309" t="s">
        <v>604</v>
      </c>
      <c r="E309">
        <v>0.124</v>
      </c>
    </row>
    <row r="310" spans="2:5" x14ac:dyDescent="0.35">
      <c r="B310" s="20">
        <v>2023</v>
      </c>
      <c r="C310" t="s">
        <v>220</v>
      </c>
      <c r="D310" t="s">
        <v>605</v>
      </c>
      <c r="E310">
        <v>2.9000000000000001E-2</v>
      </c>
    </row>
    <row r="311" spans="2:5" x14ac:dyDescent="0.35">
      <c r="B311" s="20">
        <v>2023</v>
      </c>
      <c r="C311" t="s">
        <v>592</v>
      </c>
      <c r="D311" t="s">
        <v>605</v>
      </c>
      <c r="E311">
        <v>2.9000000000000001E-2</v>
      </c>
    </row>
    <row r="312" spans="2:5" x14ac:dyDescent="0.35">
      <c r="B312" s="20">
        <v>2023</v>
      </c>
      <c r="C312" t="s">
        <v>593</v>
      </c>
      <c r="D312" t="s">
        <v>605</v>
      </c>
      <c r="E312">
        <v>2.9000000000000001E-2</v>
      </c>
    </row>
    <row r="313" spans="2:5" x14ac:dyDescent="0.35">
      <c r="B313" s="20">
        <v>2023</v>
      </c>
      <c r="C313" t="s">
        <v>594</v>
      </c>
      <c r="D313" t="s">
        <v>605</v>
      </c>
      <c r="E313">
        <v>2.9000000000000001E-2</v>
      </c>
    </row>
    <row r="314" spans="2:5" x14ac:dyDescent="0.35">
      <c r="B314" s="20">
        <v>2023</v>
      </c>
      <c r="C314" t="s">
        <v>220</v>
      </c>
      <c r="D314" t="s">
        <v>606</v>
      </c>
      <c r="E314">
        <v>0.92349999999999999</v>
      </c>
    </row>
    <row r="315" spans="2:5" x14ac:dyDescent="0.35">
      <c r="B315" s="20">
        <v>2023</v>
      </c>
      <c r="C315" t="s">
        <v>592</v>
      </c>
      <c r="D315" t="s">
        <v>606</v>
      </c>
      <c r="E315">
        <v>0.92349999999999999</v>
      </c>
    </row>
    <row r="316" spans="2:5" x14ac:dyDescent="0.35">
      <c r="B316" s="20">
        <v>2023</v>
      </c>
      <c r="C316" t="s">
        <v>593</v>
      </c>
      <c r="D316" t="s">
        <v>606</v>
      </c>
      <c r="E316">
        <v>0.92349999999999999</v>
      </c>
    </row>
    <row r="317" spans="2:5" x14ac:dyDescent="0.35">
      <c r="B317" s="20">
        <v>2023</v>
      </c>
      <c r="C317" t="s">
        <v>594</v>
      </c>
      <c r="D317" t="s">
        <v>606</v>
      </c>
      <c r="E317">
        <v>0.92349999999999999</v>
      </c>
    </row>
    <row r="318" spans="2:5" x14ac:dyDescent="0.35">
      <c r="B318" s="20">
        <v>2023</v>
      </c>
      <c r="C318" t="s">
        <v>220</v>
      </c>
      <c r="D318" t="s">
        <v>607</v>
      </c>
      <c r="E318">
        <v>8.9999999999999993E-3</v>
      </c>
    </row>
    <row r="319" spans="2:5" x14ac:dyDescent="0.35">
      <c r="B319" s="20">
        <v>2023</v>
      </c>
      <c r="C319" t="s">
        <v>592</v>
      </c>
      <c r="D319" t="s">
        <v>607</v>
      </c>
      <c r="E319">
        <v>8.9999999999999993E-3</v>
      </c>
    </row>
    <row r="320" spans="2:5" x14ac:dyDescent="0.35">
      <c r="B320" s="20">
        <v>2023</v>
      </c>
      <c r="C320" t="s">
        <v>593</v>
      </c>
      <c r="D320" t="s">
        <v>607</v>
      </c>
      <c r="E320">
        <v>8.9999999999999993E-3</v>
      </c>
    </row>
    <row r="321" spans="2:5" x14ac:dyDescent="0.35">
      <c r="B321" s="20">
        <v>2023</v>
      </c>
      <c r="C321" t="s">
        <v>594</v>
      </c>
      <c r="D321" t="s">
        <v>607</v>
      </c>
      <c r="E321">
        <v>8.9999999999999993E-3</v>
      </c>
    </row>
    <row r="322" spans="2:5" x14ac:dyDescent="0.35">
      <c r="B322" s="20">
        <v>2023</v>
      </c>
      <c r="C322" t="s">
        <v>220</v>
      </c>
      <c r="D322" t="s">
        <v>608</v>
      </c>
      <c r="E322">
        <v>250000</v>
      </c>
    </row>
    <row r="323" spans="2:5" x14ac:dyDescent="0.35">
      <c r="B323" s="20">
        <v>2023</v>
      </c>
      <c r="C323" t="s">
        <v>592</v>
      </c>
      <c r="D323" t="s">
        <v>608</v>
      </c>
      <c r="E323">
        <v>200000</v>
      </c>
    </row>
    <row r="324" spans="2:5" x14ac:dyDescent="0.35">
      <c r="B324" s="20">
        <v>2023</v>
      </c>
      <c r="C324" t="s">
        <v>593</v>
      </c>
      <c r="D324" t="s">
        <v>608</v>
      </c>
      <c r="E324">
        <v>200000</v>
      </c>
    </row>
    <row r="325" spans="2:5" x14ac:dyDescent="0.35">
      <c r="B325" s="20">
        <v>2023</v>
      </c>
      <c r="C325" t="s">
        <v>594</v>
      </c>
      <c r="D325" t="s">
        <v>608</v>
      </c>
      <c r="E325">
        <v>125000</v>
      </c>
    </row>
    <row r="326" spans="2:5" x14ac:dyDescent="0.35">
      <c r="B326" s="20">
        <v>2023</v>
      </c>
      <c r="C326" t="s">
        <v>220</v>
      </c>
      <c r="D326" t="s">
        <v>609</v>
      </c>
      <c r="E326">
        <v>0.25</v>
      </c>
    </row>
    <row r="327" spans="2:5" x14ac:dyDescent="0.35">
      <c r="B327" s="20">
        <v>2023</v>
      </c>
      <c r="C327" t="s">
        <v>592</v>
      </c>
      <c r="D327" t="s">
        <v>609</v>
      </c>
      <c r="E327">
        <v>0.25</v>
      </c>
    </row>
    <row r="328" spans="2:5" x14ac:dyDescent="0.35">
      <c r="B328" s="20">
        <v>2023</v>
      </c>
      <c r="C328" t="s">
        <v>593</v>
      </c>
      <c r="D328" t="s">
        <v>609</v>
      </c>
      <c r="E328">
        <v>0.25</v>
      </c>
    </row>
    <row r="329" spans="2:5" x14ac:dyDescent="0.35">
      <c r="B329" s="20">
        <v>2023</v>
      </c>
      <c r="C329" t="s">
        <v>594</v>
      </c>
      <c r="D329" t="s">
        <v>609</v>
      </c>
      <c r="E329">
        <v>0.25</v>
      </c>
    </row>
    <row r="330" spans="2:5" x14ac:dyDescent="0.35">
      <c r="B330" s="20">
        <v>2023</v>
      </c>
      <c r="C330" t="s">
        <v>220</v>
      </c>
      <c r="D330" t="s">
        <v>610</v>
      </c>
      <c r="E330">
        <v>626000</v>
      </c>
    </row>
    <row r="331" spans="2:5" x14ac:dyDescent="0.35">
      <c r="B331" s="20">
        <v>2023</v>
      </c>
      <c r="C331" t="s">
        <v>592</v>
      </c>
      <c r="D331" t="s">
        <v>610</v>
      </c>
      <c r="E331">
        <v>313000</v>
      </c>
    </row>
    <row r="332" spans="2:5" x14ac:dyDescent="0.35">
      <c r="B332" s="20">
        <v>2023</v>
      </c>
      <c r="C332" t="s">
        <v>593</v>
      </c>
      <c r="D332" t="s">
        <v>610</v>
      </c>
      <c r="E332">
        <v>313000</v>
      </c>
    </row>
    <row r="333" spans="2:5" x14ac:dyDescent="0.35">
      <c r="B333" s="20">
        <v>2023</v>
      </c>
      <c r="C333" t="s">
        <v>594</v>
      </c>
      <c r="D333" t="s">
        <v>610</v>
      </c>
      <c r="E333">
        <v>313000</v>
      </c>
    </row>
    <row r="334" spans="2:5" x14ac:dyDescent="0.35">
      <c r="B334" s="20">
        <v>2024</v>
      </c>
      <c r="C334" t="s">
        <v>220</v>
      </c>
      <c r="D334" t="s">
        <v>599</v>
      </c>
      <c r="E334">
        <v>250000</v>
      </c>
    </row>
    <row r="335" spans="2:5" x14ac:dyDescent="0.35">
      <c r="B335" s="20">
        <v>2024</v>
      </c>
      <c r="C335" t="s">
        <v>592</v>
      </c>
      <c r="D335" t="s">
        <v>599</v>
      </c>
      <c r="E335">
        <v>200000</v>
      </c>
    </row>
    <row r="336" spans="2:5" x14ac:dyDescent="0.35">
      <c r="B336" s="20">
        <v>2024</v>
      </c>
      <c r="C336" t="s">
        <v>593</v>
      </c>
      <c r="D336" t="s">
        <v>599</v>
      </c>
      <c r="E336">
        <v>200000</v>
      </c>
    </row>
    <row r="337" spans="2:5" x14ac:dyDescent="0.35">
      <c r="B337" s="20">
        <v>2024</v>
      </c>
      <c r="C337" t="s">
        <v>594</v>
      </c>
      <c r="D337" t="s">
        <v>599</v>
      </c>
      <c r="E337">
        <v>125000</v>
      </c>
    </row>
    <row r="338" spans="2:5" x14ac:dyDescent="0.35">
      <c r="B338" s="20">
        <v>2024</v>
      </c>
      <c r="C338" t="s">
        <v>220</v>
      </c>
      <c r="D338" t="s">
        <v>600</v>
      </c>
      <c r="E338">
        <v>3.7999999999999999E-2</v>
      </c>
    </row>
    <row r="339" spans="2:5" x14ac:dyDescent="0.35">
      <c r="B339" s="20">
        <v>2024</v>
      </c>
      <c r="C339" t="s">
        <v>592</v>
      </c>
      <c r="D339" t="s">
        <v>600</v>
      </c>
      <c r="E339">
        <v>3.7999999999999999E-2</v>
      </c>
    </row>
    <row r="340" spans="2:5" x14ac:dyDescent="0.35">
      <c r="B340" s="20">
        <v>2024</v>
      </c>
      <c r="C340" t="s">
        <v>593</v>
      </c>
      <c r="D340" t="s">
        <v>600</v>
      </c>
      <c r="E340">
        <v>3.7999999999999999E-2</v>
      </c>
    </row>
    <row r="341" spans="2:5" x14ac:dyDescent="0.35">
      <c r="B341" s="20">
        <v>2024</v>
      </c>
      <c r="C341" t="s">
        <v>594</v>
      </c>
      <c r="D341" t="s">
        <v>600</v>
      </c>
      <c r="E341">
        <v>3.7999999999999999E-2</v>
      </c>
    </row>
    <row r="342" spans="2:5" x14ac:dyDescent="0.35">
      <c r="B342" s="20">
        <v>2024</v>
      </c>
      <c r="C342" t="s">
        <v>220</v>
      </c>
      <c r="D342" t="s">
        <v>601</v>
      </c>
      <c r="E342">
        <v>394600</v>
      </c>
    </row>
    <row r="343" spans="2:5" x14ac:dyDescent="0.35">
      <c r="B343" s="20">
        <v>2024</v>
      </c>
      <c r="C343" t="s">
        <v>592</v>
      </c>
      <c r="D343" t="s">
        <v>601</v>
      </c>
      <c r="E343">
        <v>197300</v>
      </c>
    </row>
    <row r="344" spans="2:5" x14ac:dyDescent="0.35">
      <c r="B344" s="20">
        <v>2024</v>
      </c>
      <c r="C344" t="s">
        <v>593</v>
      </c>
      <c r="D344" t="s">
        <v>601</v>
      </c>
      <c r="E344">
        <v>197300</v>
      </c>
    </row>
    <row r="345" spans="2:5" x14ac:dyDescent="0.35">
      <c r="B345" s="20">
        <v>2024</v>
      </c>
      <c r="C345" t="s">
        <v>594</v>
      </c>
      <c r="D345" t="s">
        <v>601</v>
      </c>
      <c r="E345">
        <v>197300</v>
      </c>
    </row>
    <row r="346" spans="2:5" x14ac:dyDescent="0.35">
      <c r="B346" s="20">
        <v>2024</v>
      </c>
      <c r="C346" t="s">
        <v>220</v>
      </c>
      <c r="D346" t="s">
        <v>602</v>
      </c>
      <c r="E346">
        <v>494600</v>
      </c>
    </row>
    <row r="347" spans="2:5" x14ac:dyDescent="0.35">
      <c r="B347" s="20">
        <v>2024</v>
      </c>
      <c r="C347" t="s">
        <v>592</v>
      </c>
      <c r="D347" t="s">
        <v>602</v>
      </c>
      <c r="E347">
        <v>247300</v>
      </c>
    </row>
    <row r="348" spans="2:5" x14ac:dyDescent="0.35">
      <c r="B348" s="20">
        <v>2024</v>
      </c>
      <c r="C348" t="s">
        <v>593</v>
      </c>
      <c r="D348" t="s">
        <v>602</v>
      </c>
      <c r="E348">
        <v>247300</v>
      </c>
    </row>
    <row r="349" spans="2:5" x14ac:dyDescent="0.35">
      <c r="B349" s="20">
        <v>2024</v>
      </c>
      <c r="C349" t="s">
        <v>594</v>
      </c>
      <c r="D349" t="s">
        <v>602</v>
      </c>
      <c r="E349">
        <v>247300</v>
      </c>
    </row>
    <row r="350" spans="2:5" x14ac:dyDescent="0.35">
      <c r="B350" s="20">
        <v>2024</v>
      </c>
      <c r="C350" t="s">
        <v>220</v>
      </c>
      <c r="D350" t="s">
        <v>603</v>
      </c>
      <c r="E350">
        <v>176100</v>
      </c>
    </row>
    <row r="351" spans="2:5" x14ac:dyDescent="0.35">
      <c r="B351" s="20">
        <v>2024</v>
      </c>
      <c r="C351" t="s">
        <v>592</v>
      </c>
      <c r="D351" t="s">
        <v>603</v>
      </c>
      <c r="E351">
        <v>176100</v>
      </c>
    </row>
    <row r="352" spans="2:5" x14ac:dyDescent="0.35">
      <c r="B352" s="20">
        <v>2024</v>
      </c>
      <c r="C352" t="s">
        <v>593</v>
      </c>
      <c r="D352" t="s">
        <v>603</v>
      </c>
      <c r="E352">
        <v>176100</v>
      </c>
    </row>
    <row r="353" spans="2:5" x14ac:dyDescent="0.35">
      <c r="B353" s="20">
        <v>2024</v>
      </c>
      <c r="C353" t="s">
        <v>594</v>
      </c>
      <c r="D353" t="s">
        <v>603</v>
      </c>
      <c r="E353">
        <v>176100</v>
      </c>
    </row>
    <row r="354" spans="2:5" x14ac:dyDescent="0.35">
      <c r="B354" s="20">
        <v>2024</v>
      </c>
      <c r="C354" t="s">
        <v>220</v>
      </c>
      <c r="D354" t="s">
        <v>604</v>
      </c>
      <c r="E354">
        <v>0.124</v>
      </c>
    </row>
    <row r="355" spans="2:5" x14ac:dyDescent="0.35">
      <c r="B355" s="20">
        <v>2024</v>
      </c>
      <c r="C355" t="s">
        <v>592</v>
      </c>
      <c r="D355" t="s">
        <v>604</v>
      </c>
      <c r="E355">
        <v>0.124</v>
      </c>
    </row>
    <row r="356" spans="2:5" x14ac:dyDescent="0.35">
      <c r="B356" s="20">
        <v>2024</v>
      </c>
      <c r="C356" t="s">
        <v>593</v>
      </c>
      <c r="D356" t="s">
        <v>604</v>
      </c>
      <c r="E356">
        <v>0.124</v>
      </c>
    </row>
    <row r="357" spans="2:5" x14ac:dyDescent="0.35">
      <c r="B357" s="20">
        <v>2024</v>
      </c>
      <c r="C357" t="s">
        <v>594</v>
      </c>
      <c r="D357" t="s">
        <v>604</v>
      </c>
      <c r="E357">
        <v>0.124</v>
      </c>
    </row>
    <row r="358" spans="2:5" x14ac:dyDescent="0.35">
      <c r="B358" s="20">
        <v>2024</v>
      </c>
      <c r="C358" t="s">
        <v>220</v>
      </c>
      <c r="D358" t="s">
        <v>605</v>
      </c>
      <c r="E358">
        <v>2.9000000000000001E-2</v>
      </c>
    </row>
    <row r="359" spans="2:5" x14ac:dyDescent="0.35">
      <c r="B359" s="20">
        <v>2024</v>
      </c>
      <c r="C359" t="s">
        <v>592</v>
      </c>
      <c r="D359" t="s">
        <v>605</v>
      </c>
      <c r="E359">
        <v>2.9000000000000001E-2</v>
      </c>
    </row>
    <row r="360" spans="2:5" x14ac:dyDescent="0.35">
      <c r="B360" s="20">
        <v>2024</v>
      </c>
      <c r="C360" t="s">
        <v>593</v>
      </c>
      <c r="D360" t="s">
        <v>605</v>
      </c>
      <c r="E360">
        <v>2.9000000000000001E-2</v>
      </c>
    </row>
    <row r="361" spans="2:5" x14ac:dyDescent="0.35">
      <c r="B361" s="20">
        <v>2024</v>
      </c>
      <c r="C361" t="s">
        <v>594</v>
      </c>
      <c r="D361" t="s">
        <v>605</v>
      </c>
      <c r="E361">
        <v>2.9000000000000001E-2</v>
      </c>
    </row>
    <row r="362" spans="2:5" x14ac:dyDescent="0.35">
      <c r="B362" s="20">
        <v>2024</v>
      </c>
      <c r="C362" t="s">
        <v>220</v>
      </c>
      <c r="D362" t="s">
        <v>606</v>
      </c>
      <c r="E362">
        <v>0.92349999999999999</v>
      </c>
    </row>
    <row r="363" spans="2:5" x14ac:dyDescent="0.35">
      <c r="B363" s="20">
        <v>2024</v>
      </c>
      <c r="C363" t="s">
        <v>592</v>
      </c>
      <c r="D363" t="s">
        <v>606</v>
      </c>
      <c r="E363">
        <v>0.92349999999999999</v>
      </c>
    </row>
    <row r="364" spans="2:5" x14ac:dyDescent="0.35">
      <c r="B364" s="20">
        <v>2024</v>
      </c>
      <c r="C364" t="s">
        <v>593</v>
      </c>
      <c r="D364" t="s">
        <v>606</v>
      </c>
      <c r="E364">
        <v>0.92349999999999999</v>
      </c>
    </row>
    <row r="365" spans="2:5" x14ac:dyDescent="0.35">
      <c r="B365" s="20">
        <v>2024</v>
      </c>
      <c r="C365" t="s">
        <v>594</v>
      </c>
      <c r="D365" t="s">
        <v>606</v>
      </c>
      <c r="E365">
        <v>0.92349999999999999</v>
      </c>
    </row>
    <row r="366" spans="2:5" x14ac:dyDescent="0.35">
      <c r="B366" s="20">
        <v>2024</v>
      </c>
      <c r="C366" t="s">
        <v>220</v>
      </c>
      <c r="D366" t="s">
        <v>607</v>
      </c>
      <c r="E366">
        <v>8.9999999999999993E-3</v>
      </c>
    </row>
    <row r="367" spans="2:5" x14ac:dyDescent="0.35">
      <c r="B367" s="20">
        <v>2024</v>
      </c>
      <c r="C367" t="s">
        <v>592</v>
      </c>
      <c r="D367" t="s">
        <v>607</v>
      </c>
      <c r="E367">
        <v>8.9999999999999993E-3</v>
      </c>
    </row>
    <row r="368" spans="2:5" x14ac:dyDescent="0.35">
      <c r="B368" s="20">
        <v>2024</v>
      </c>
      <c r="C368" t="s">
        <v>593</v>
      </c>
      <c r="D368" t="s">
        <v>607</v>
      </c>
      <c r="E368">
        <v>8.9999999999999993E-3</v>
      </c>
    </row>
    <row r="369" spans="2:5" x14ac:dyDescent="0.35">
      <c r="B369" s="20">
        <v>2024</v>
      </c>
      <c r="C369" t="s">
        <v>594</v>
      </c>
      <c r="D369" t="s">
        <v>607</v>
      </c>
      <c r="E369">
        <v>8.9999999999999993E-3</v>
      </c>
    </row>
    <row r="370" spans="2:5" x14ac:dyDescent="0.35">
      <c r="B370" s="20">
        <v>2024</v>
      </c>
      <c r="C370" t="s">
        <v>220</v>
      </c>
      <c r="D370" t="s">
        <v>608</v>
      </c>
      <c r="E370">
        <v>250000</v>
      </c>
    </row>
    <row r="371" spans="2:5" x14ac:dyDescent="0.35">
      <c r="B371" s="20">
        <v>2024</v>
      </c>
      <c r="C371" t="s">
        <v>592</v>
      </c>
      <c r="D371" t="s">
        <v>608</v>
      </c>
      <c r="E371">
        <v>200000</v>
      </c>
    </row>
    <row r="372" spans="2:5" x14ac:dyDescent="0.35">
      <c r="B372" s="20">
        <v>2024</v>
      </c>
      <c r="C372" t="s">
        <v>593</v>
      </c>
      <c r="D372" t="s">
        <v>608</v>
      </c>
      <c r="E372">
        <v>200000</v>
      </c>
    </row>
    <row r="373" spans="2:5" x14ac:dyDescent="0.35">
      <c r="B373" s="20">
        <v>2024</v>
      </c>
      <c r="C373" t="s">
        <v>594</v>
      </c>
      <c r="D373" t="s">
        <v>608</v>
      </c>
      <c r="E373">
        <v>125000</v>
      </c>
    </row>
    <row r="374" spans="2:5" x14ac:dyDescent="0.35">
      <c r="B374" s="20">
        <v>2024</v>
      </c>
      <c r="C374" t="s">
        <v>220</v>
      </c>
      <c r="D374" t="s">
        <v>609</v>
      </c>
      <c r="E374">
        <v>0.25</v>
      </c>
    </row>
    <row r="375" spans="2:5" x14ac:dyDescent="0.35">
      <c r="B375" s="20">
        <v>2024</v>
      </c>
      <c r="C375" t="s">
        <v>592</v>
      </c>
      <c r="D375" t="s">
        <v>609</v>
      </c>
      <c r="E375">
        <v>0.25</v>
      </c>
    </row>
    <row r="376" spans="2:5" x14ac:dyDescent="0.35">
      <c r="B376" s="20">
        <v>2024</v>
      </c>
      <c r="C376" t="s">
        <v>593</v>
      </c>
      <c r="D376" t="s">
        <v>609</v>
      </c>
      <c r="E376">
        <v>0.25</v>
      </c>
    </row>
    <row r="377" spans="2:5" x14ac:dyDescent="0.35">
      <c r="B377" s="20">
        <v>2024</v>
      </c>
      <c r="C377" t="s">
        <v>594</v>
      </c>
      <c r="D377" t="s">
        <v>609</v>
      </c>
      <c r="E377">
        <v>0.25</v>
      </c>
    </row>
    <row r="378" spans="2:5" x14ac:dyDescent="0.35">
      <c r="B378" s="20">
        <v>2024</v>
      </c>
      <c r="C378" t="s">
        <v>220</v>
      </c>
      <c r="D378" t="s">
        <v>610</v>
      </c>
      <c r="E378">
        <v>626000</v>
      </c>
    </row>
    <row r="379" spans="2:5" x14ac:dyDescent="0.35">
      <c r="B379" s="20">
        <v>2024</v>
      </c>
      <c r="C379" t="s">
        <v>592</v>
      </c>
      <c r="D379" t="s">
        <v>610</v>
      </c>
      <c r="E379">
        <v>313000</v>
      </c>
    </row>
    <row r="380" spans="2:5" x14ac:dyDescent="0.35">
      <c r="B380" s="20">
        <v>2024</v>
      </c>
      <c r="C380" t="s">
        <v>593</v>
      </c>
      <c r="D380" t="s">
        <v>610</v>
      </c>
      <c r="E380">
        <v>313000</v>
      </c>
    </row>
    <row r="381" spans="2:5" x14ac:dyDescent="0.35">
      <c r="B381" s="20">
        <v>2024</v>
      </c>
      <c r="C381" t="s">
        <v>594</v>
      </c>
      <c r="D381" t="s">
        <v>610</v>
      </c>
      <c r="E381">
        <v>313000</v>
      </c>
    </row>
    <row r="382" spans="2:5" x14ac:dyDescent="0.35">
      <c r="B382" s="20">
        <v>2025</v>
      </c>
      <c r="C382" t="s">
        <v>220</v>
      </c>
      <c r="D382" t="s">
        <v>599</v>
      </c>
      <c r="E382">
        <v>250000</v>
      </c>
    </row>
    <row r="383" spans="2:5" x14ac:dyDescent="0.35">
      <c r="B383" s="20">
        <v>2025</v>
      </c>
      <c r="C383" t="s">
        <v>592</v>
      </c>
      <c r="D383" t="s">
        <v>599</v>
      </c>
      <c r="E383">
        <v>200000</v>
      </c>
    </row>
    <row r="384" spans="2:5" x14ac:dyDescent="0.35">
      <c r="B384" s="20">
        <v>2025</v>
      </c>
      <c r="C384" t="s">
        <v>593</v>
      </c>
      <c r="D384" t="s">
        <v>599</v>
      </c>
      <c r="E384">
        <v>200000</v>
      </c>
    </row>
    <row r="385" spans="2:5" x14ac:dyDescent="0.35">
      <c r="B385" s="20">
        <v>2025</v>
      </c>
      <c r="C385" t="s">
        <v>594</v>
      </c>
      <c r="D385" t="s">
        <v>599</v>
      </c>
      <c r="E385">
        <v>125000</v>
      </c>
    </row>
    <row r="386" spans="2:5" x14ac:dyDescent="0.35">
      <c r="B386" s="20">
        <v>2025</v>
      </c>
      <c r="C386" t="s">
        <v>220</v>
      </c>
      <c r="D386" t="s">
        <v>600</v>
      </c>
      <c r="E386">
        <v>3.7999999999999999E-2</v>
      </c>
    </row>
    <row r="387" spans="2:5" x14ac:dyDescent="0.35">
      <c r="B387" s="20">
        <v>2025</v>
      </c>
      <c r="C387" t="s">
        <v>592</v>
      </c>
      <c r="D387" t="s">
        <v>600</v>
      </c>
      <c r="E387">
        <v>3.7999999999999999E-2</v>
      </c>
    </row>
    <row r="388" spans="2:5" x14ac:dyDescent="0.35">
      <c r="B388" s="20">
        <v>2025</v>
      </c>
      <c r="C388" t="s">
        <v>593</v>
      </c>
      <c r="D388" t="s">
        <v>600</v>
      </c>
      <c r="E388">
        <v>3.7999999999999999E-2</v>
      </c>
    </row>
    <row r="389" spans="2:5" x14ac:dyDescent="0.35">
      <c r="B389" s="20">
        <v>2025</v>
      </c>
      <c r="C389" t="s">
        <v>594</v>
      </c>
      <c r="D389" t="s">
        <v>600</v>
      </c>
      <c r="E389">
        <v>3.7999999999999999E-2</v>
      </c>
    </row>
    <row r="390" spans="2:5" x14ac:dyDescent="0.35">
      <c r="B390" s="20">
        <v>2025</v>
      </c>
      <c r="C390" t="s">
        <v>220</v>
      </c>
      <c r="D390" t="s">
        <v>601</v>
      </c>
      <c r="E390">
        <v>394600</v>
      </c>
    </row>
    <row r="391" spans="2:5" x14ac:dyDescent="0.35">
      <c r="B391" s="20">
        <v>2025</v>
      </c>
      <c r="C391" t="s">
        <v>592</v>
      </c>
      <c r="D391" t="s">
        <v>601</v>
      </c>
      <c r="E391">
        <v>197300</v>
      </c>
    </row>
    <row r="392" spans="2:5" x14ac:dyDescent="0.35">
      <c r="B392" s="20">
        <v>2025</v>
      </c>
      <c r="C392" t="s">
        <v>593</v>
      </c>
      <c r="D392" t="s">
        <v>601</v>
      </c>
      <c r="E392">
        <v>197300</v>
      </c>
    </row>
    <row r="393" spans="2:5" x14ac:dyDescent="0.35">
      <c r="B393" s="20">
        <v>2025</v>
      </c>
      <c r="C393" t="s">
        <v>594</v>
      </c>
      <c r="D393" t="s">
        <v>601</v>
      </c>
      <c r="E393">
        <v>197300</v>
      </c>
    </row>
    <row r="394" spans="2:5" x14ac:dyDescent="0.35">
      <c r="B394" s="20">
        <v>2025</v>
      </c>
      <c r="C394" t="s">
        <v>220</v>
      </c>
      <c r="D394" t="s">
        <v>602</v>
      </c>
      <c r="E394">
        <v>494600</v>
      </c>
    </row>
    <row r="395" spans="2:5" x14ac:dyDescent="0.35">
      <c r="B395" s="20">
        <v>2025</v>
      </c>
      <c r="C395" t="s">
        <v>592</v>
      </c>
      <c r="D395" t="s">
        <v>602</v>
      </c>
      <c r="E395">
        <v>247300</v>
      </c>
    </row>
    <row r="396" spans="2:5" x14ac:dyDescent="0.35">
      <c r="B396" s="20">
        <v>2025</v>
      </c>
      <c r="C396" t="s">
        <v>593</v>
      </c>
      <c r="D396" t="s">
        <v>602</v>
      </c>
      <c r="E396">
        <v>247300</v>
      </c>
    </row>
    <row r="397" spans="2:5" x14ac:dyDescent="0.35">
      <c r="B397" s="20">
        <v>2025</v>
      </c>
      <c r="C397" t="s">
        <v>594</v>
      </c>
      <c r="D397" t="s">
        <v>602</v>
      </c>
      <c r="E397">
        <v>247300</v>
      </c>
    </row>
    <row r="398" spans="2:5" x14ac:dyDescent="0.35">
      <c r="B398" s="20">
        <v>2025</v>
      </c>
      <c r="C398" t="s">
        <v>220</v>
      </c>
      <c r="D398" t="s">
        <v>603</v>
      </c>
      <c r="E398">
        <v>176100</v>
      </c>
    </row>
    <row r="399" spans="2:5" x14ac:dyDescent="0.35">
      <c r="B399" s="20">
        <v>2025</v>
      </c>
      <c r="C399" t="s">
        <v>592</v>
      </c>
      <c r="D399" t="s">
        <v>603</v>
      </c>
      <c r="E399">
        <v>176100</v>
      </c>
    </row>
    <row r="400" spans="2:5" x14ac:dyDescent="0.35">
      <c r="B400" s="20">
        <v>2025</v>
      </c>
      <c r="C400" t="s">
        <v>593</v>
      </c>
      <c r="D400" t="s">
        <v>603</v>
      </c>
      <c r="E400">
        <v>176100</v>
      </c>
    </row>
    <row r="401" spans="2:5" x14ac:dyDescent="0.35">
      <c r="B401" s="20">
        <v>2025</v>
      </c>
      <c r="C401" t="s">
        <v>594</v>
      </c>
      <c r="D401" t="s">
        <v>603</v>
      </c>
      <c r="E401">
        <v>176100</v>
      </c>
    </row>
    <row r="402" spans="2:5" x14ac:dyDescent="0.35">
      <c r="B402" s="20">
        <v>2025</v>
      </c>
      <c r="C402" t="s">
        <v>220</v>
      </c>
      <c r="D402" t="s">
        <v>604</v>
      </c>
      <c r="E402">
        <v>0.124</v>
      </c>
    </row>
    <row r="403" spans="2:5" x14ac:dyDescent="0.35">
      <c r="B403" s="20">
        <v>2025</v>
      </c>
      <c r="C403" t="s">
        <v>592</v>
      </c>
      <c r="D403" t="s">
        <v>604</v>
      </c>
      <c r="E403">
        <v>0.124</v>
      </c>
    </row>
    <row r="404" spans="2:5" x14ac:dyDescent="0.35">
      <c r="B404" s="20">
        <v>2025</v>
      </c>
      <c r="C404" t="s">
        <v>593</v>
      </c>
      <c r="D404" t="s">
        <v>604</v>
      </c>
      <c r="E404">
        <v>0.124</v>
      </c>
    </row>
    <row r="405" spans="2:5" x14ac:dyDescent="0.35">
      <c r="B405" s="20">
        <v>2025</v>
      </c>
      <c r="C405" t="s">
        <v>594</v>
      </c>
      <c r="D405" t="s">
        <v>604</v>
      </c>
      <c r="E405">
        <v>0.124</v>
      </c>
    </row>
    <row r="406" spans="2:5" x14ac:dyDescent="0.35">
      <c r="B406" s="20">
        <v>2025</v>
      </c>
      <c r="C406" t="s">
        <v>220</v>
      </c>
      <c r="D406" t="s">
        <v>605</v>
      </c>
      <c r="E406">
        <v>2.9000000000000001E-2</v>
      </c>
    </row>
    <row r="407" spans="2:5" x14ac:dyDescent="0.35">
      <c r="B407" s="20">
        <v>2025</v>
      </c>
      <c r="C407" t="s">
        <v>592</v>
      </c>
      <c r="D407" t="s">
        <v>605</v>
      </c>
      <c r="E407">
        <v>2.9000000000000001E-2</v>
      </c>
    </row>
    <row r="408" spans="2:5" x14ac:dyDescent="0.35">
      <c r="B408" s="20">
        <v>2025</v>
      </c>
      <c r="C408" t="s">
        <v>593</v>
      </c>
      <c r="D408" t="s">
        <v>605</v>
      </c>
      <c r="E408">
        <v>2.9000000000000001E-2</v>
      </c>
    </row>
    <row r="409" spans="2:5" x14ac:dyDescent="0.35">
      <c r="B409" s="20">
        <v>2025</v>
      </c>
      <c r="C409" t="s">
        <v>594</v>
      </c>
      <c r="D409" t="s">
        <v>605</v>
      </c>
      <c r="E409">
        <v>2.9000000000000001E-2</v>
      </c>
    </row>
    <row r="410" spans="2:5" x14ac:dyDescent="0.35">
      <c r="B410" s="20">
        <v>2025</v>
      </c>
      <c r="C410" t="s">
        <v>220</v>
      </c>
      <c r="D410" t="s">
        <v>606</v>
      </c>
      <c r="E410">
        <v>0.92349999999999999</v>
      </c>
    </row>
    <row r="411" spans="2:5" x14ac:dyDescent="0.35">
      <c r="B411" s="20">
        <v>2025</v>
      </c>
      <c r="C411" t="s">
        <v>592</v>
      </c>
      <c r="D411" t="s">
        <v>606</v>
      </c>
      <c r="E411">
        <v>0.92349999999999999</v>
      </c>
    </row>
    <row r="412" spans="2:5" x14ac:dyDescent="0.35">
      <c r="B412" s="20">
        <v>2025</v>
      </c>
      <c r="C412" t="s">
        <v>593</v>
      </c>
      <c r="D412" t="s">
        <v>606</v>
      </c>
      <c r="E412">
        <v>0.92349999999999999</v>
      </c>
    </row>
    <row r="413" spans="2:5" x14ac:dyDescent="0.35">
      <c r="B413" s="20">
        <v>2025</v>
      </c>
      <c r="C413" t="s">
        <v>594</v>
      </c>
      <c r="D413" t="s">
        <v>606</v>
      </c>
      <c r="E413">
        <v>0.92349999999999999</v>
      </c>
    </row>
    <row r="414" spans="2:5" x14ac:dyDescent="0.35">
      <c r="B414" s="20">
        <v>2025</v>
      </c>
      <c r="C414" t="s">
        <v>220</v>
      </c>
      <c r="D414" t="s">
        <v>607</v>
      </c>
      <c r="E414">
        <v>8.9999999999999993E-3</v>
      </c>
    </row>
    <row r="415" spans="2:5" x14ac:dyDescent="0.35">
      <c r="B415" s="20">
        <v>2025</v>
      </c>
      <c r="C415" t="s">
        <v>592</v>
      </c>
      <c r="D415" t="s">
        <v>607</v>
      </c>
      <c r="E415">
        <v>8.9999999999999993E-3</v>
      </c>
    </row>
    <row r="416" spans="2:5" x14ac:dyDescent="0.35">
      <c r="B416" s="20">
        <v>2025</v>
      </c>
      <c r="C416" t="s">
        <v>593</v>
      </c>
      <c r="D416" t="s">
        <v>607</v>
      </c>
      <c r="E416">
        <v>8.9999999999999993E-3</v>
      </c>
    </row>
    <row r="417" spans="2:5" x14ac:dyDescent="0.35">
      <c r="B417" s="20">
        <v>2025</v>
      </c>
      <c r="C417" t="s">
        <v>594</v>
      </c>
      <c r="D417" t="s">
        <v>607</v>
      </c>
      <c r="E417">
        <v>8.9999999999999993E-3</v>
      </c>
    </row>
    <row r="418" spans="2:5" x14ac:dyDescent="0.35">
      <c r="B418" s="20">
        <v>2025</v>
      </c>
      <c r="C418" t="s">
        <v>220</v>
      </c>
      <c r="D418" t="s">
        <v>608</v>
      </c>
      <c r="E418">
        <v>250000</v>
      </c>
    </row>
    <row r="419" spans="2:5" x14ac:dyDescent="0.35">
      <c r="B419" s="20">
        <v>2025</v>
      </c>
      <c r="C419" t="s">
        <v>592</v>
      </c>
      <c r="D419" t="s">
        <v>608</v>
      </c>
      <c r="E419">
        <v>200000</v>
      </c>
    </row>
    <row r="420" spans="2:5" x14ac:dyDescent="0.35">
      <c r="B420" s="20">
        <v>2025</v>
      </c>
      <c r="C420" t="s">
        <v>593</v>
      </c>
      <c r="D420" t="s">
        <v>608</v>
      </c>
      <c r="E420">
        <v>200000</v>
      </c>
    </row>
    <row r="421" spans="2:5" x14ac:dyDescent="0.35">
      <c r="B421" s="20">
        <v>2025</v>
      </c>
      <c r="C421" t="s">
        <v>594</v>
      </c>
      <c r="D421" t="s">
        <v>608</v>
      </c>
      <c r="E421">
        <v>125000</v>
      </c>
    </row>
    <row r="422" spans="2:5" x14ac:dyDescent="0.35">
      <c r="B422" s="20">
        <v>2025</v>
      </c>
      <c r="C422" t="s">
        <v>220</v>
      </c>
      <c r="D422" t="s">
        <v>609</v>
      </c>
      <c r="E422">
        <v>0.25</v>
      </c>
    </row>
    <row r="423" spans="2:5" x14ac:dyDescent="0.35">
      <c r="B423" s="20">
        <v>2025</v>
      </c>
      <c r="C423" t="s">
        <v>592</v>
      </c>
      <c r="D423" t="s">
        <v>609</v>
      </c>
      <c r="E423">
        <v>0.25</v>
      </c>
    </row>
    <row r="424" spans="2:5" x14ac:dyDescent="0.35">
      <c r="B424" s="20">
        <v>2025</v>
      </c>
      <c r="C424" t="s">
        <v>593</v>
      </c>
      <c r="D424" t="s">
        <v>609</v>
      </c>
      <c r="E424">
        <v>0.25</v>
      </c>
    </row>
    <row r="425" spans="2:5" x14ac:dyDescent="0.35">
      <c r="B425" s="20">
        <v>2025</v>
      </c>
      <c r="C425" t="s">
        <v>594</v>
      </c>
      <c r="D425" t="s">
        <v>609</v>
      </c>
      <c r="E425">
        <v>0.25</v>
      </c>
    </row>
    <row r="426" spans="2:5" x14ac:dyDescent="0.35">
      <c r="B426" s="20">
        <v>2025</v>
      </c>
      <c r="C426" t="s">
        <v>220</v>
      </c>
      <c r="D426" t="s">
        <v>610</v>
      </c>
      <c r="E426">
        <v>626000</v>
      </c>
    </row>
    <row r="427" spans="2:5" x14ac:dyDescent="0.35">
      <c r="B427" s="20">
        <v>2025</v>
      </c>
      <c r="C427" t="s">
        <v>592</v>
      </c>
      <c r="D427" t="s">
        <v>610</v>
      </c>
      <c r="E427">
        <v>313000</v>
      </c>
    </row>
    <row r="428" spans="2:5" x14ac:dyDescent="0.35">
      <c r="B428" s="20">
        <v>2025</v>
      </c>
      <c r="C428" t="s">
        <v>593</v>
      </c>
      <c r="D428" t="s">
        <v>610</v>
      </c>
      <c r="E428">
        <v>313000</v>
      </c>
    </row>
    <row r="429" spans="2:5" x14ac:dyDescent="0.35">
      <c r="B429" s="20">
        <v>2025</v>
      </c>
      <c r="C429" t="s">
        <v>594</v>
      </c>
      <c r="D429" t="s">
        <v>610</v>
      </c>
      <c r="E429">
        <v>313000</v>
      </c>
    </row>
    <row r="430" spans="2:5" x14ac:dyDescent="0.35">
      <c r="B430" s="20">
        <v>2026</v>
      </c>
      <c r="C430" t="s">
        <v>220</v>
      </c>
      <c r="D430" t="s">
        <v>599</v>
      </c>
      <c r="E430">
        <v>250000</v>
      </c>
    </row>
    <row r="431" spans="2:5" x14ac:dyDescent="0.35">
      <c r="B431" s="20">
        <v>2026</v>
      </c>
      <c r="C431" t="s">
        <v>592</v>
      </c>
      <c r="D431" t="s">
        <v>599</v>
      </c>
      <c r="E431">
        <v>200000</v>
      </c>
    </row>
    <row r="432" spans="2:5" x14ac:dyDescent="0.35">
      <c r="B432" s="20">
        <v>2026</v>
      </c>
      <c r="C432" t="s">
        <v>593</v>
      </c>
      <c r="D432" t="s">
        <v>599</v>
      </c>
      <c r="E432">
        <v>200000</v>
      </c>
    </row>
    <row r="433" spans="2:5" x14ac:dyDescent="0.35">
      <c r="B433" s="20">
        <v>2026</v>
      </c>
      <c r="C433" t="s">
        <v>594</v>
      </c>
      <c r="D433" t="s">
        <v>599</v>
      </c>
      <c r="E433">
        <v>125000</v>
      </c>
    </row>
    <row r="434" spans="2:5" x14ac:dyDescent="0.35">
      <c r="B434" s="20">
        <v>2026</v>
      </c>
      <c r="C434" t="s">
        <v>220</v>
      </c>
      <c r="D434" t="s">
        <v>600</v>
      </c>
      <c r="E434">
        <v>3.7999999999999999E-2</v>
      </c>
    </row>
    <row r="435" spans="2:5" x14ac:dyDescent="0.35">
      <c r="B435" s="20">
        <v>2026</v>
      </c>
      <c r="C435" t="s">
        <v>592</v>
      </c>
      <c r="D435" t="s">
        <v>600</v>
      </c>
      <c r="E435">
        <v>3.7999999999999999E-2</v>
      </c>
    </row>
    <row r="436" spans="2:5" x14ac:dyDescent="0.35">
      <c r="B436" s="20">
        <v>2026</v>
      </c>
      <c r="C436" t="s">
        <v>593</v>
      </c>
      <c r="D436" t="s">
        <v>600</v>
      </c>
      <c r="E436">
        <v>3.7999999999999999E-2</v>
      </c>
    </row>
    <row r="437" spans="2:5" x14ac:dyDescent="0.35">
      <c r="B437" s="20">
        <v>2026</v>
      </c>
      <c r="C437" t="s">
        <v>594</v>
      </c>
      <c r="D437" t="s">
        <v>600</v>
      </c>
      <c r="E437">
        <v>3.7999999999999999E-2</v>
      </c>
    </row>
    <row r="438" spans="2:5" x14ac:dyDescent="0.35">
      <c r="B438" s="20">
        <v>2026</v>
      </c>
      <c r="C438" t="s">
        <v>220</v>
      </c>
      <c r="D438" t="s">
        <v>601</v>
      </c>
      <c r="E438">
        <v>394600</v>
      </c>
    </row>
    <row r="439" spans="2:5" x14ac:dyDescent="0.35">
      <c r="B439" s="20">
        <v>2026</v>
      </c>
      <c r="C439" t="s">
        <v>592</v>
      </c>
      <c r="D439" t="s">
        <v>601</v>
      </c>
      <c r="E439">
        <v>197300</v>
      </c>
    </row>
    <row r="440" spans="2:5" x14ac:dyDescent="0.35">
      <c r="B440" s="20">
        <v>2026</v>
      </c>
      <c r="C440" t="s">
        <v>593</v>
      </c>
      <c r="D440" t="s">
        <v>601</v>
      </c>
      <c r="E440">
        <v>197300</v>
      </c>
    </row>
    <row r="441" spans="2:5" x14ac:dyDescent="0.35">
      <c r="B441" s="20">
        <v>2026</v>
      </c>
      <c r="C441" t="s">
        <v>594</v>
      </c>
      <c r="D441" t="s">
        <v>601</v>
      </c>
      <c r="E441">
        <v>197300</v>
      </c>
    </row>
    <row r="442" spans="2:5" x14ac:dyDescent="0.35">
      <c r="B442" s="20">
        <v>2026</v>
      </c>
      <c r="C442" t="s">
        <v>220</v>
      </c>
      <c r="D442" t="s">
        <v>602</v>
      </c>
      <c r="E442">
        <v>494600</v>
      </c>
    </row>
    <row r="443" spans="2:5" x14ac:dyDescent="0.35">
      <c r="B443" s="20">
        <v>2026</v>
      </c>
      <c r="C443" t="s">
        <v>592</v>
      </c>
      <c r="D443" t="s">
        <v>602</v>
      </c>
      <c r="E443">
        <v>247300</v>
      </c>
    </row>
    <row r="444" spans="2:5" x14ac:dyDescent="0.35">
      <c r="B444" s="20">
        <v>2026</v>
      </c>
      <c r="C444" t="s">
        <v>593</v>
      </c>
      <c r="D444" t="s">
        <v>602</v>
      </c>
      <c r="E444">
        <v>247300</v>
      </c>
    </row>
    <row r="445" spans="2:5" x14ac:dyDescent="0.35">
      <c r="B445" s="20">
        <v>2026</v>
      </c>
      <c r="C445" t="s">
        <v>594</v>
      </c>
      <c r="D445" t="s">
        <v>602</v>
      </c>
      <c r="E445">
        <v>247300</v>
      </c>
    </row>
    <row r="446" spans="2:5" x14ac:dyDescent="0.35">
      <c r="B446" s="20">
        <v>2026</v>
      </c>
      <c r="C446" t="s">
        <v>220</v>
      </c>
      <c r="D446" t="s">
        <v>603</v>
      </c>
      <c r="E446">
        <v>176100</v>
      </c>
    </row>
    <row r="447" spans="2:5" x14ac:dyDescent="0.35">
      <c r="B447" s="20">
        <v>2026</v>
      </c>
      <c r="C447" t="s">
        <v>592</v>
      </c>
      <c r="D447" t="s">
        <v>603</v>
      </c>
      <c r="E447">
        <v>176100</v>
      </c>
    </row>
    <row r="448" spans="2:5" x14ac:dyDescent="0.35">
      <c r="B448" s="20">
        <v>2026</v>
      </c>
      <c r="C448" t="s">
        <v>593</v>
      </c>
      <c r="D448" t="s">
        <v>603</v>
      </c>
      <c r="E448">
        <v>176100</v>
      </c>
    </row>
    <row r="449" spans="2:5" x14ac:dyDescent="0.35">
      <c r="B449" s="20">
        <v>2026</v>
      </c>
      <c r="C449" t="s">
        <v>594</v>
      </c>
      <c r="D449" t="s">
        <v>603</v>
      </c>
      <c r="E449">
        <v>176100</v>
      </c>
    </row>
    <row r="450" spans="2:5" x14ac:dyDescent="0.35">
      <c r="B450" s="20">
        <v>2026</v>
      </c>
      <c r="C450" t="s">
        <v>220</v>
      </c>
      <c r="D450" t="s">
        <v>604</v>
      </c>
      <c r="E450">
        <v>0.124</v>
      </c>
    </row>
    <row r="451" spans="2:5" x14ac:dyDescent="0.35">
      <c r="B451" s="20">
        <v>2026</v>
      </c>
      <c r="C451" t="s">
        <v>592</v>
      </c>
      <c r="D451" t="s">
        <v>604</v>
      </c>
      <c r="E451">
        <v>0.124</v>
      </c>
    </row>
    <row r="452" spans="2:5" x14ac:dyDescent="0.35">
      <c r="B452" s="20">
        <v>2026</v>
      </c>
      <c r="C452" t="s">
        <v>593</v>
      </c>
      <c r="D452" t="s">
        <v>604</v>
      </c>
      <c r="E452">
        <v>0.124</v>
      </c>
    </row>
    <row r="453" spans="2:5" x14ac:dyDescent="0.35">
      <c r="B453" s="20">
        <v>2026</v>
      </c>
      <c r="C453" t="s">
        <v>594</v>
      </c>
      <c r="D453" t="s">
        <v>604</v>
      </c>
      <c r="E453">
        <v>0.124</v>
      </c>
    </row>
    <row r="454" spans="2:5" x14ac:dyDescent="0.35">
      <c r="B454" s="20">
        <v>2026</v>
      </c>
      <c r="C454" t="s">
        <v>220</v>
      </c>
      <c r="D454" t="s">
        <v>605</v>
      </c>
      <c r="E454">
        <v>2.9000000000000001E-2</v>
      </c>
    </row>
    <row r="455" spans="2:5" x14ac:dyDescent="0.35">
      <c r="B455" s="20">
        <v>2026</v>
      </c>
      <c r="C455" t="s">
        <v>592</v>
      </c>
      <c r="D455" t="s">
        <v>605</v>
      </c>
      <c r="E455">
        <v>2.9000000000000001E-2</v>
      </c>
    </row>
    <row r="456" spans="2:5" x14ac:dyDescent="0.35">
      <c r="B456" s="20">
        <v>2026</v>
      </c>
      <c r="C456" t="s">
        <v>593</v>
      </c>
      <c r="D456" t="s">
        <v>605</v>
      </c>
      <c r="E456">
        <v>2.9000000000000001E-2</v>
      </c>
    </row>
    <row r="457" spans="2:5" x14ac:dyDescent="0.35">
      <c r="B457" s="20">
        <v>2026</v>
      </c>
      <c r="C457" t="s">
        <v>594</v>
      </c>
      <c r="D457" t="s">
        <v>605</v>
      </c>
      <c r="E457">
        <v>2.9000000000000001E-2</v>
      </c>
    </row>
    <row r="458" spans="2:5" x14ac:dyDescent="0.35">
      <c r="B458" s="20">
        <v>2026</v>
      </c>
      <c r="C458" t="s">
        <v>220</v>
      </c>
      <c r="D458" t="s">
        <v>606</v>
      </c>
      <c r="E458">
        <v>0.92349999999999999</v>
      </c>
    </row>
    <row r="459" spans="2:5" x14ac:dyDescent="0.35">
      <c r="B459" s="20">
        <v>2026</v>
      </c>
      <c r="C459" t="s">
        <v>592</v>
      </c>
      <c r="D459" t="s">
        <v>606</v>
      </c>
      <c r="E459">
        <v>0.92349999999999999</v>
      </c>
    </row>
    <row r="460" spans="2:5" x14ac:dyDescent="0.35">
      <c r="B460" s="20">
        <v>2026</v>
      </c>
      <c r="C460" t="s">
        <v>593</v>
      </c>
      <c r="D460" t="s">
        <v>606</v>
      </c>
      <c r="E460">
        <v>0.92349999999999999</v>
      </c>
    </row>
    <row r="461" spans="2:5" x14ac:dyDescent="0.35">
      <c r="B461" s="20">
        <v>2026</v>
      </c>
      <c r="C461" t="s">
        <v>594</v>
      </c>
      <c r="D461" t="s">
        <v>606</v>
      </c>
      <c r="E461">
        <v>0.92349999999999999</v>
      </c>
    </row>
    <row r="462" spans="2:5" x14ac:dyDescent="0.35">
      <c r="B462" s="20">
        <v>2026</v>
      </c>
      <c r="C462" t="s">
        <v>220</v>
      </c>
      <c r="D462" t="s">
        <v>607</v>
      </c>
      <c r="E462">
        <v>8.9999999999999993E-3</v>
      </c>
    </row>
    <row r="463" spans="2:5" x14ac:dyDescent="0.35">
      <c r="B463" s="20">
        <v>2026</v>
      </c>
      <c r="C463" t="s">
        <v>592</v>
      </c>
      <c r="D463" t="s">
        <v>607</v>
      </c>
      <c r="E463">
        <v>8.9999999999999993E-3</v>
      </c>
    </row>
    <row r="464" spans="2:5" x14ac:dyDescent="0.35">
      <c r="B464" s="20">
        <v>2026</v>
      </c>
      <c r="C464" t="s">
        <v>593</v>
      </c>
      <c r="D464" t="s">
        <v>607</v>
      </c>
      <c r="E464">
        <v>8.9999999999999993E-3</v>
      </c>
    </row>
    <row r="465" spans="2:5" x14ac:dyDescent="0.35">
      <c r="B465" s="20">
        <v>2026</v>
      </c>
      <c r="C465" t="s">
        <v>594</v>
      </c>
      <c r="D465" t="s">
        <v>607</v>
      </c>
      <c r="E465">
        <v>8.9999999999999993E-3</v>
      </c>
    </row>
    <row r="466" spans="2:5" x14ac:dyDescent="0.35">
      <c r="B466" s="20">
        <v>2026</v>
      </c>
      <c r="C466" t="s">
        <v>220</v>
      </c>
      <c r="D466" t="s">
        <v>608</v>
      </c>
      <c r="E466">
        <v>250000</v>
      </c>
    </row>
    <row r="467" spans="2:5" x14ac:dyDescent="0.35">
      <c r="B467" s="20">
        <v>2026</v>
      </c>
      <c r="C467" t="s">
        <v>592</v>
      </c>
      <c r="D467" t="s">
        <v>608</v>
      </c>
      <c r="E467">
        <v>200000</v>
      </c>
    </row>
    <row r="468" spans="2:5" x14ac:dyDescent="0.35">
      <c r="B468" s="20">
        <v>2026</v>
      </c>
      <c r="C468" t="s">
        <v>593</v>
      </c>
      <c r="D468" t="s">
        <v>608</v>
      </c>
      <c r="E468">
        <v>200000</v>
      </c>
    </row>
    <row r="469" spans="2:5" x14ac:dyDescent="0.35">
      <c r="B469" s="20">
        <v>2026</v>
      </c>
      <c r="C469" t="s">
        <v>594</v>
      </c>
      <c r="D469" t="s">
        <v>608</v>
      </c>
      <c r="E469">
        <v>125000</v>
      </c>
    </row>
    <row r="470" spans="2:5" x14ac:dyDescent="0.35">
      <c r="B470" s="20">
        <v>2026</v>
      </c>
      <c r="C470" t="s">
        <v>220</v>
      </c>
      <c r="D470" t="s">
        <v>609</v>
      </c>
      <c r="E470">
        <v>0.25</v>
      </c>
    </row>
    <row r="471" spans="2:5" x14ac:dyDescent="0.35">
      <c r="B471" s="20">
        <v>2026</v>
      </c>
      <c r="C471" t="s">
        <v>592</v>
      </c>
      <c r="D471" t="s">
        <v>609</v>
      </c>
      <c r="E471">
        <v>0.25</v>
      </c>
    </row>
    <row r="472" spans="2:5" x14ac:dyDescent="0.35">
      <c r="B472" s="20">
        <v>2026</v>
      </c>
      <c r="C472" t="s">
        <v>593</v>
      </c>
      <c r="D472" t="s">
        <v>609</v>
      </c>
      <c r="E472">
        <v>0.25</v>
      </c>
    </row>
    <row r="473" spans="2:5" x14ac:dyDescent="0.35">
      <c r="B473" s="20">
        <v>2026</v>
      </c>
      <c r="C473" t="s">
        <v>594</v>
      </c>
      <c r="D473" t="s">
        <v>609</v>
      </c>
      <c r="E473">
        <v>0.25</v>
      </c>
    </row>
    <row r="474" spans="2:5" x14ac:dyDescent="0.35">
      <c r="B474" s="20">
        <v>2026</v>
      </c>
      <c r="C474" t="s">
        <v>220</v>
      </c>
      <c r="D474" t="s">
        <v>610</v>
      </c>
      <c r="E474">
        <v>626000</v>
      </c>
    </row>
    <row r="475" spans="2:5" x14ac:dyDescent="0.35">
      <c r="B475" s="20">
        <v>2026</v>
      </c>
      <c r="C475" t="s">
        <v>592</v>
      </c>
      <c r="D475" t="s">
        <v>610</v>
      </c>
      <c r="E475">
        <v>313000</v>
      </c>
    </row>
    <row r="476" spans="2:5" x14ac:dyDescent="0.35">
      <c r="B476" s="20">
        <v>2026</v>
      </c>
      <c r="C476" t="s">
        <v>593</v>
      </c>
      <c r="D476" t="s">
        <v>610</v>
      </c>
      <c r="E476">
        <v>313000</v>
      </c>
    </row>
    <row r="477" spans="2:5" x14ac:dyDescent="0.35">
      <c r="B477" s="20">
        <v>2026</v>
      </c>
      <c r="C477" t="s">
        <v>594</v>
      </c>
      <c r="D477" t="s">
        <v>610</v>
      </c>
      <c r="E477">
        <v>313000</v>
      </c>
    </row>
    <row r="478" spans="2:5" x14ac:dyDescent="0.35">
      <c r="B478" s="20">
        <v>2027</v>
      </c>
      <c r="C478" t="s">
        <v>220</v>
      </c>
      <c r="D478" t="s">
        <v>599</v>
      </c>
      <c r="E478">
        <v>250000</v>
      </c>
    </row>
    <row r="479" spans="2:5" x14ac:dyDescent="0.35">
      <c r="B479" s="20">
        <v>2027</v>
      </c>
      <c r="C479" t="s">
        <v>592</v>
      </c>
      <c r="D479" t="s">
        <v>599</v>
      </c>
      <c r="E479">
        <v>200000</v>
      </c>
    </row>
    <row r="480" spans="2:5" x14ac:dyDescent="0.35">
      <c r="B480" s="20">
        <v>2027</v>
      </c>
      <c r="C480" t="s">
        <v>593</v>
      </c>
      <c r="D480" t="s">
        <v>599</v>
      </c>
      <c r="E480">
        <v>200000</v>
      </c>
    </row>
    <row r="481" spans="2:5" x14ac:dyDescent="0.35">
      <c r="B481" s="20">
        <v>2027</v>
      </c>
      <c r="C481" t="s">
        <v>594</v>
      </c>
      <c r="D481" t="s">
        <v>599</v>
      </c>
      <c r="E481">
        <v>125000</v>
      </c>
    </row>
    <row r="482" spans="2:5" x14ac:dyDescent="0.35">
      <c r="B482" s="20">
        <v>2027</v>
      </c>
      <c r="C482" t="s">
        <v>220</v>
      </c>
      <c r="D482" t="s">
        <v>600</v>
      </c>
      <c r="E482">
        <v>3.7999999999999999E-2</v>
      </c>
    </row>
    <row r="483" spans="2:5" x14ac:dyDescent="0.35">
      <c r="B483" s="20">
        <v>2027</v>
      </c>
      <c r="C483" t="s">
        <v>592</v>
      </c>
      <c r="D483" t="s">
        <v>600</v>
      </c>
      <c r="E483">
        <v>3.7999999999999999E-2</v>
      </c>
    </row>
    <row r="484" spans="2:5" x14ac:dyDescent="0.35">
      <c r="B484" s="20">
        <v>2027</v>
      </c>
      <c r="C484" t="s">
        <v>593</v>
      </c>
      <c r="D484" t="s">
        <v>600</v>
      </c>
      <c r="E484">
        <v>3.7999999999999999E-2</v>
      </c>
    </row>
    <row r="485" spans="2:5" x14ac:dyDescent="0.35">
      <c r="B485" s="20">
        <v>2027</v>
      </c>
      <c r="C485" t="s">
        <v>594</v>
      </c>
      <c r="D485" t="s">
        <v>600</v>
      </c>
      <c r="E485">
        <v>3.7999999999999999E-2</v>
      </c>
    </row>
    <row r="486" spans="2:5" x14ac:dyDescent="0.35">
      <c r="B486" s="20">
        <v>2027</v>
      </c>
      <c r="C486" t="s">
        <v>220</v>
      </c>
      <c r="D486" t="s">
        <v>601</v>
      </c>
      <c r="E486">
        <v>394600</v>
      </c>
    </row>
    <row r="487" spans="2:5" x14ac:dyDescent="0.35">
      <c r="B487" s="20">
        <v>2027</v>
      </c>
      <c r="C487" t="s">
        <v>592</v>
      </c>
      <c r="D487" t="s">
        <v>601</v>
      </c>
      <c r="E487">
        <v>197300</v>
      </c>
    </row>
    <row r="488" spans="2:5" x14ac:dyDescent="0.35">
      <c r="B488" s="20">
        <v>2027</v>
      </c>
      <c r="C488" t="s">
        <v>593</v>
      </c>
      <c r="D488" t="s">
        <v>601</v>
      </c>
      <c r="E488">
        <v>197300</v>
      </c>
    </row>
    <row r="489" spans="2:5" x14ac:dyDescent="0.35">
      <c r="B489" s="20">
        <v>2027</v>
      </c>
      <c r="C489" t="s">
        <v>594</v>
      </c>
      <c r="D489" t="s">
        <v>601</v>
      </c>
      <c r="E489">
        <v>197300</v>
      </c>
    </row>
    <row r="490" spans="2:5" x14ac:dyDescent="0.35">
      <c r="B490" s="20">
        <v>2027</v>
      </c>
      <c r="C490" t="s">
        <v>220</v>
      </c>
      <c r="D490" t="s">
        <v>602</v>
      </c>
      <c r="E490">
        <v>494600</v>
      </c>
    </row>
    <row r="491" spans="2:5" x14ac:dyDescent="0.35">
      <c r="B491" s="20">
        <v>2027</v>
      </c>
      <c r="C491" t="s">
        <v>592</v>
      </c>
      <c r="D491" t="s">
        <v>602</v>
      </c>
      <c r="E491">
        <v>247300</v>
      </c>
    </row>
    <row r="492" spans="2:5" x14ac:dyDescent="0.35">
      <c r="B492" s="20">
        <v>2027</v>
      </c>
      <c r="C492" t="s">
        <v>593</v>
      </c>
      <c r="D492" t="s">
        <v>602</v>
      </c>
      <c r="E492">
        <v>247300</v>
      </c>
    </row>
    <row r="493" spans="2:5" x14ac:dyDescent="0.35">
      <c r="B493" s="20">
        <v>2027</v>
      </c>
      <c r="C493" t="s">
        <v>594</v>
      </c>
      <c r="D493" t="s">
        <v>602</v>
      </c>
      <c r="E493">
        <v>247300</v>
      </c>
    </row>
    <row r="494" spans="2:5" x14ac:dyDescent="0.35">
      <c r="B494" s="20">
        <v>2027</v>
      </c>
      <c r="C494" t="s">
        <v>220</v>
      </c>
      <c r="D494" t="s">
        <v>603</v>
      </c>
      <c r="E494">
        <v>176100</v>
      </c>
    </row>
    <row r="495" spans="2:5" x14ac:dyDescent="0.35">
      <c r="B495" s="20">
        <v>2027</v>
      </c>
      <c r="C495" t="s">
        <v>592</v>
      </c>
      <c r="D495" t="s">
        <v>603</v>
      </c>
      <c r="E495">
        <v>176100</v>
      </c>
    </row>
    <row r="496" spans="2:5" x14ac:dyDescent="0.35">
      <c r="B496" s="20">
        <v>2027</v>
      </c>
      <c r="C496" t="s">
        <v>593</v>
      </c>
      <c r="D496" t="s">
        <v>603</v>
      </c>
      <c r="E496">
        <v>176100</v>
      </c>
    </row>
    <row r="497" spans="2:5" x14ac:dyDescent="0.35">
      <c r="B497" s="20">
        <v>2027</v>
      </c>
      <c r="C497" t="s">
        <v>594</v>
      </c>
      <c r="D497" t="s">
        <v>603</v>
      </c>
      <c r="E497">
        <v>176100</v>
      </c>
    </row>
    <row r="498" spans="2:5" x14ac:dyDescent="0.35">
      <c r="B498" s="20">
        <v>2027</v>
      </c>
      <c r="C498" t="s">
        <v>220</v>
      </c>
      <c r="D498" t="s">
        <v>604</v>
      </c>
      <c r="E498">
        <v>0.124</v>
      </c>
    </row>
    <row r="499" spans="2:5" x14ac:dyDescent="0.35">
      <c r="B499" s="20">
        <v>2027</v>
      </c>
      <c r="C499" t="s">
        <v>592</v>
      </c>
      <c r="D499" t="s">
        <v>604</v>
      </c>
      <c r="E499">
        <v>0.124</v>
      </c>
    </row>
    <row r="500" spans="2:5" x14ac:dyDescent="0.35">
      <c r="B500" s="20">
        <v>2027</v>
      </c>
      <c r="C500" t="s">
        <v>593</v>
      </c>
      <c r="D500" t="s">
        <v>604</v>
      </c>
      <c r="E500">
        <v>0.124</v>
      </c>
    </row>
    <row r="501" spans="2:5" x14ac:dyDescent="0.35">
      <c r="B501" s="20">
        <v>2027</v>
      </c>
      <c r="C501" t="s">
        <v>594</v>
      </c>
      <c r="D501" t="s">
        <v>604</v>
      </c>
      <c r="E501">
        <v>0.124</v>
      </c>
    </row>
    <row r="502" spans="2:5" x14ac:dyDescent="0.35">
      <c r="B502" s="20">
        <v>2027</v>
      </c>
      <c r="C502" t="s">
        <v>220</v>
      </c>
      <c r="D502" t="s">
        <v>605</v>
      </c>
      <c r="E502">
        <v>2.9000000000000001E-2</v>
      </c>
    </row>
    <row r="503" spans="2:5" x14ac:dyDescent="0.35">
      <c r="B503" s="20">
        <v>2027</v>
      </c>
      <c r="C503" t="s">
        <v>592</v>
      </c>
      <c r="D503" t="s">
        <v>605</v>
      </c>
      <c r="E503">
        <v>2.9000000000000001E-2</v>
      </c>
    </row>
    <row r="504" spans="2:5" x14ac:dyDescent="0.35">
      <c r="B504" s="20">
        <v>2027</v>
      </c>
      <c r="C504" t="s">
        <v>593</v>
      </c>
      <c r="D504" t="s">
        <v>605</v>
      </c>
      <c r="E504">
        <v>2.9000000000000001E-2</v>
      </c>
    </row>
    <row r="505" spans="2:5" x14ac:dyDescent="0.35">
      <c r="B505" s="20">
        <v>2027</v>
      </c>
      <c r="C505" t="s">
        <v>594</v>
      </c>
      <c r="D505" t="s">
        <v>605</v>
      </c>
      <c r="E505">
        <v>2.9000000000000001E-2</v>
      </c>
    </row>
    <row r="506" spans="2:5" x14ac:dyDescent="0.35">
      <c r="B506" s="20">
        <v>2027</v>
      </c>
      <c r="C506" t="s">
        <v>220</v>
      </c>
      <c r="D506" t="s">
        <v>606</v>
      </c>
      <c r="E506">
        <v>0.92349999999999999</v>
      </c>
    </row>
    <row r="507" spans="2:5" x14ac:dyDescent="0.35">
      <c r="B507" s="20">
        <v>2027</v>
      </c>
      <c r="C507" t="s">
        <v>592</v>
      </c>
      <c r="D507" t="s">
        <v>606</v>
      </c>
      <c r="E507">
        <v>0.92349999999999999</v>
      </c>
    </row>
    <row r="508" spans="2:5" x14ac:dyDescent="0.35">
      <c r="B508" s="20">
        <v>2027</v>
      </c>
      <c r="C508" t="s">
        <v>593</v>
      </c>
      <c r="D508" t="s">
        <v>606</v>
      </c>
      <c r="E508">
        <v>0.92349999999999999</v>
      </c>
    </row>
    <row r="509" spans="2:5" x14ac:dyDescent="0.35">
      <c r="B509" s="20">
        <v>2027</v>
      </c>
      <c r="C509" t="s">
        <v>594</v>
      </c>
      <c r="D509" t="s">
        <v>606</v>
      </c>
      <c r="E509">
        <v>0.92349999999999999</v>
      </c>
    </row>
    <row r="510" spans="2:5" x14ac:dyDescent="0.35">
      <c r="B510" s="20">
        <v>2027</v>
      </c>
      <c r="C510" t="s">
        <v>220</v>
      </c>
      <c r="D510" t="s">
        <v>607</v>
      </c>
      <c r="E510">
        <v>8.9999999999999993E-3</v>
      </c>
    </row>
    <row r="511" spans="2:5" x14ac:dyDescent="0.35">
      <c r="B511" s="20">
        <v>2027</v>
      </c>
      <c r="C511" t="s">
        <v>592</v>
      </c>
      <c r="D511" t="s">
        <v>607</v>
      </c>
      <c r="E511">
        <v>8.9999999999999993E-3</v>
      </c>
    </row>
    <row r="512" spans="2:5" x14ac:dyDescent="0.35">
      <c r="B512" s="20">
        <v>2027</v>
      </c>
      <c r="C512" t="s">
        <v>593</v>
      </c>
      <c r="D512" t="s">
        <v>607</v>
      </c>
      <c r="E512">
        <v>8.9999999999999993E-3</v>
      </c>
    </row>
    <row r="513" spans="2:5" x14ac:dyDescent="0.35">
      <c r="B513" s="20">
        <v>2027</v>
      </c>
      <c r="C513" t="s">
        <v>594</v>
      </c>
      <c r="D513" t="s">
        <v>607</v>
      </c>
      <c r="E513">
        <v>8.9999999999999993E-3</v>
      </c>
    </row>
    <row r="514" spans="2:5" x14ac:dyDescent="0.35">
      <c r="B514" s="20">
        <v>2027</v>
      </c>
      <c r="C514" t="s">
        <v>220</v>
      </c>
      <c r="D514" t="s">
        <v>608</v>
      </c>
      <c r="E514">
        <v>250000</v>
      </c>
    </row>
    <row r="515" spans="2:5" x14ac:dyDescent="0.35">
      <c r="B515" s="20">
        <v>2027</v>
      </c>
      <c r="C515" t="s">
        <v>592</v>
      </c>
      <c r="D515" t="s">
        <v>608</v>
      </c>
      <c r="E515">
        <v>200000</v>
      </c>
    </row>
    <row r="516" spans="2:5" x14ac:dyDescent="0.35">
      <c r="B516" s="20">
        <v>2027</v>
      </c>
      <c r="C516" t="s">
        <v>593</v>
      </c>
      <c r="D516" t="s">
        <v>608</v>
      </c>
      <c r="E516">
        <v>200000</v>
      </c>
    </row>
    <row r="517" spans="2:5" x14ac:dyDescent="0.35">
      <c r="B517" s="20">
        <v>2027</v>
      </c>
      <c r="C517" t="s">
        <v>594</v>
      </c>
      <c r="D517" t="s">
        <v>608</v>
      </c>
      <c r="E517">
        <v>125000</v>
      </c>
    </row>
    <row r="518" spans="2:5" x14ac:dyDescent="0.35">
      <c r="B518" s="20">
        <v>2027</v>
      </c>
      <c r="C518" t="s">
        <v>220</v>
      </c>
      <c r="D518" t="s">
        <v>609</v>
      </c>
      <c r="E518">
        <v>0.25</v>
      </c>
    </row>
    <row r="519" spans="2:5" x14ac:dyDescent="0.35">
      <c r="B519" s="20">
        <v>2027</v>
      </c>
      <c r="C519" t="s">
        <v>592</v>
      </c>
      <c r="D519" t="s">
        <v>609</v>
      </c>
      <c r="E519">
        <v>0.25</v>
      </c>
    </row>
    <row r="520" spans="2:5" x14ac:dyDescent="0.35">
      <c r="B520" s="20">
        <v>2027</v>
      </c>
      <c r="C520" t="s">
        <v>593</v>
      </c>
      <c r="D520" t="s">
        <v>609</v>
      </c>
      <c r="E520">
        <v>0.25</v>
      </c>
    </row>
    <row r="521" spans="2:5" x14ac:dyDescent="0.35">
      <c r="B521" s="20">
        <v>2027</v>
      </c>
      <c r="C521" t="s">
        <v>594</v>
      </c>
      <c r="D521" t="s">
        <v>609</v>
      </c>
      <c r="E521">
        <v>0.25</v>
      </c>
    </row>
    <row r="522" spans="2:5" x14ac:dyDescent="0.35">
      <c r="B522" s="20">
        <v>2027</v>
      </c>
      <c r="C522" t="s">
        <v>220</v>
      </c>
      <c r="D522" t="s">
        <v>610</v>
      </c>
      <c r="E522">
        <v>626000</v>
      </c>
    </row>
    <row r="523" spans="2:5" x14ac:dyDescent="0.35">
      <c r="B523" s="20">
        <v>2027</v>
      </c>
      <c r="C523" t="s">
        <v>592</v>
      </c>
      <c r="D523" t="s">
        <v>610</v>
      </c>
      <c r="E523">
        <v>313000</v>
      </c>
    </row>
    <row r="524" spans="2:5" x14ac:dyDescent="0.35">
      <c r="B524" s="20">
        <v>2027</v>
      </c>
      <c r="C524" t="s">
        <v>593</v>
      </c>
      <c r="D524" t="s">
        <v>610</v>
      </c>
      <c r="E524">
        <v>313000</v>
      </c>
    </row>
    <row r="525" spans="2:5" x14ac:dyDescent="0.35">
      <c r="B525" s="20">
        <v>2027</v>
      </c>
      <c r="C525" t="s">
        <v>594</v>
      </c>
      <c r="D525" t="s">
        <v>610</v>
      </c>
      <c r="E525">
        <v>313000</v>
      </c>
    </row>
    <row r="526" spans="2:5" x14ac:dyDescent="0.35">
      <c r="B526" s="20">
        <v>2028</v>
      </c>
      <c r="C526" t="s">
        <v>220</v>
      </c>
      <c r="D526" t="s">
        <v>599</v>
      </c>
      <c r="E526">
        <v>250000</v>
      </c>
    </row>
    <row r="527" spans="2:5" x14ac:dyDescent="0.35">
      <c r="B527" s="20">
        <v>2028</v>
      </c>
      <c r="C527" t="s">
        <v>592</v>
      </c>
      <c r="D527" t="s">
        <v>599</v>
      </c>
      <c r="E527">
        <v>200000</v>
      </c>
    </row>
    <row r="528" spans="2:5" x14ac:dyDescent="0.35">
      <c r="B528" s="20">
        <v>2028</v>
      </c>
      <c r="C528" t="s">
        <v>593</v>
      </c>
      <c r="D528" t="s">
        <v>599</v>
      </c>
      <c r="E528">
        <v>200000</v>
      </c>
    </row>
    <row r="529" spans="2:5" x14ac:dyDescent="0.35">
      <c r="B529" s="20">
        <v>2028</v>
      </c>
      <c r="C529" t="s">
        <v>594</v>
      </c>
      <c r="D529" t="s">
        <v>599</v>
      </c>
      <c r="E529">
        <v>125000</v>
      </c>
    </row>
    <row r="530" spans="2:5" x14ac:dyDescent="0.35">
      <c r="B530" s="20">
        <v>2028</v>
      </c>
      <c r="C530" t="s">
        <v>220</v>
      </c>
      <c r="D530" t="s">
        <v>600</v>
      </c>
      <c r="E530">
        <v>3.7999999999999999E-2</v>
      </c>
    </row>
    <row r="531" spans="2:5" x14ac:dyDescent="0.35">
      <c r="B531" s="20">
        <v>2028</v>
      </c>
      <c r="C531" t="s">
        <v>592</v>
      </c>
      <c r="D531" t="s">
        <v>600</v>
      </c>
      <c r="E531">
        <v>3.7999999999999999E-2</v>
      </c>
    </row>
    <row r="532" spans="2:5" x14ac:dyDescent="0.35">
      <c r="B532" s="20">
        <v>2028</v>
      </c>
      <c r="C532" t="s">
        <v>593</v>
      </c>
      <c r="D532" t="s">
        <v>600</v>
      </c>
      <c r="E532">
        <v>3.7999999999999999E-2</v>
      </c>
    </row>
    <row r="533" spans="2:5" x14ac:dyDescent="0.35">
      <c r="B533" s="20">
        <v>2028</v>
      </c>
      <c r="C533" t="s">
        <v>594</v>
      </c>
      <c r="D533" t="s">
        <v>600</v>
      </c>
      <c r="E533">
        <v>3.7999999999999999E-2</v>
      </c>
    </row>
    <row r="534" spans="2:5" x14ac:dyDescent="0.35">
      <c r="B534" s="20">
        <v>2028</v>
      </c>
      <c r="C534" t="s">
        <v>220</v>
      </c>
      <c r="D534" t="s">
        <v>601</v>
      </c>
      <c r="E534">
        <v>394600</v>
      </c>
    </row>
    <row r="535" spans="2:5" x14ac:dyDescent="0.35">
      <c r="B535" s="20">
        <v>2028</v>
      </c>
      <c r="C535" t="s">
        <v>592</v>
      </c>
      <c r="D535" t="s">
        <v>601</v>
      </c>
      <c r="E535">
        <v>197300</v>
      </c>
    </row>
    <row r="536" spans="2:5" x14ac:dyDescent="0.35">
      <c r="B536" s="20">
        <v>2028</v>
      </c>
      <c r="C536" t="s">
        <v>593</v>
      </c>
      <c r="D536" t="s">
        <v>601</v>
      </c>
      <c r="E536">
        <v>197300</v>
      </c>
    </row>
    <row r="537" spans="2:5" x14ac:dyDescent="0.35">
      <c r="B537" s="20">
        <v>2028</v>
      </c>
      <c r="C537" t="s">
        <v>594</v>
      </c>
      <c r="D537" t="s">
        <v>601</v>
      </c>
      <c r="E537">
        <v>197300</v>
      </c>
    </row>
    <row r="538" spans="2:5" x14ac:dyDescent="0.35">
      <c r="B538" s="20">
        <v>2028</v>
      </c>
      <c r="C538" t="s">
        <v>220</v>
      </c>
      <c r="D538" t="s">
        <v>602</v>
      </c>
      <c r="E538">
        <v>494600</v>
      </c>
    </row>
    <row r="539" spans="2:5" x14ac:dyDescent="0.35">
      <c r="B539" s="20">
        <v>2028</v>
      </c>
      <c r="C539" t="s">
        <v>592</v>
      </c>
      <c r="D539" t="s">
        <v>602</v>
      </c>
      <c r="E539">
        <v>247300</v>
      </c>
    </row>
    <row r="540" spans="2:5" x14ac:dyDescent="0.35">
      <c r="B540" s="20">
        <v>2028</v>
      </c>
      <c r="C540" t="s">
        <v>593</v>
      </c>
      <c r="D540" t="s">
        <v>602</v>
      </c>
      <c r="E540">
        <v>247300</v>
      </c>
    </row>
    <row r="541" spans="2:5" x14ac:dyDescent="0.35">
      <c r="B541" s="20">
        <v>2028</v>
      </c>
      <c r="C541" t="s">
        <v>594</v>
      </c>
      <c r="D541" t="s">
        <v>602</v>
      </c>
      <c r="E541">
        <v>247300</v>
      </c>
    </row>
    <row r="542" spans="2:5" x14ac:dyDescent="0.35">
      <c r="B542" s="20">
        <v>2028</v>
      </c>
      <c r="C542" t="s">
        <v>220</v>
      </c>
      <c r="D542" t="s">
        <v>603</v>
      </c>
      <c r="E542">
        <v>176100</v>
      </c>
    </row>
    <row r="543" spans="2:5" x14ac:dyDescent="0.35">
      <c r="B543" s="20">
        <v>2028</v>
      </c>
      <c r="C543" t="s">
        <v>592</v>
      </c>
      <c r="D543" t="s">
        <v>603</v>
      </c>
      <c r="E543">
        <v>176100</v>
      </c>
    </row>
    <row r="544" spans="2:5" x14ac:dyDescent="0.35">
      <c r="B544" s="20">
        <v>2028</v>
      </c>
      <c r="C544" t="s">
        <v>593</v>
      </c>
      <c r="D544" t="s">
        <v>603</v>
      </c>
      <c r="E544">
        <v>176100</v>
      </c>
    </row>
    <row r="545" spans="2:5" x14ac:dyDescent="0.35">
      <c r="B545" s="20">
        <v>2028</v>
      </c>
      <c r="C545" t="s">
        <v>594</v>
      </c>
      <c r="D545" t="s">
        <v>603</v>
      </c>
      <c r="E545">
        <v>176100</v>
      </c>
    </row>
    <row r="546" spans="2:5" x14ac:dyDescent="0.35">
      <c r="B546" s="20">
        <v>2028</v>
      </c>
      <c r="C546" t="s">
        <v>220</v>
      </c>
      <c r="D546" t="s">
        <v>604</v>
      </c>
      <c r="E546">
        <v>0.124</v>
      </c>
    </row>
    <row r="547" spans="2:5" x14ac:dyDescent="0.35">
      <c r="B547" s="20">
        <v>2028</v>
      </c>
      <c r="C547" t="s">
        <v>592</v>
      </c>
      <c r="D547" t="s">
        <v>604</v>
      </c>
      <c r="E547">
        <v>0.124</v>
      </c>
    </row>
    <row r="548" spans="2:5" x14ac:dyDescent="0.35">
      <c r="B548" s="20">
        <v>2028</v>
      </c>
      <c r="C548" t="s">
        <v>593</v>
      </c>
      <c r="D548" t="s">
        <v>604</v>
      </c>
      <c r="E548">
        <v>0.124</v>
      </c>
    </row>
    <row r="549" spans="2:5" x14ac:dyDescent="0.35">
      <c r="B549" s="20">
        <v>2028</v>
      </c>
      <c r="C549" t="s">
        <v>594</v>
      </c>
      <c r="D549" t="s">
        <v>604</v>
      </c>
      <c r="E549">
        <v>0.124</v>
      </c>
    </row>
    <row r="550" spans="2:5" x14ac:dyDescent="0.35">
      <c r="B550" s="20">
        <v>2028</v>
      </c>
      <c r="C550" t="s">
        <v>220</v>
      </c>
      <c r="D550" t="s">
        <v>605</v>
      </c>
      <c r="E550">
        <v>2.9000000000000001E-2</v>
      </c>
    </row>
    <row r="551" spans="2:5" x14ac:dyDescent="0.35">
      <c r="B551" s="20">
        <v>2028</v>
      </c>
      <c r="C551" t="s">
        <v>592</v>
      </c>
      <c r="D551" t="s">
        <v>605</v>
      </c>
      <c r="E551">
        <v>2.9000000000000001E-2</v>
      </c>
    </row>
    <row r="552" spans="2:5" x14ac:dyDescent="0.35">
      <c r="B552" s="20">
        <v>2028</v>
      </c>
      <c r="C552" t="s">
        <v>593</v>
      </c>
      <c r="D552" t="s">
        <v>605</v>
      </c>
      <c r="E552">
        <v>2.9000000000000001E-2</v>
      </c>
    </row>
    <row r="553" spans="2:5" x14ac:dyDescent="0.35">
      <c r="B553" s="20">
        <v>2028</v>
      </c>
      <c r="C553" t="s">
        <v>594</v>
      </c>
      <c r="D553" t="s">
        <v>605</v>
      </c>
      <c r="E553">
        <v>2.9000000000000001E-2</v>
      </c>
    </row>
    <row r="554" spans="2:5" x14ac:dyDescent="0.35">
      <c r="B554" s="20">
        <v>2028</v>
      </c>
      <c r="C554" t="s">
        <v>220</v>
      </c>
      <c r="D554" t="s">
        <v>606</v>
      </c>
      <c r="E554">
        <v>0.92349999999999999</v>
      </c>
    </row>
    <row r="555" spans="2:5" x14ac:dyDescent="0.35">
      <c r="B555" s="20">
        <v>2028</v>
      </c>
      <c r="C555" t="s">
        <v>592</v>
      </c>
      <c r="D555" t="s">
        <v>606</v>
      </c>
      <c r="E555">
        <v>0.92349999999999999</v>
      </c>
    </row>
    <row r="556" spans="2:5" x14ac:dyDescent="0.35">
      <c r="B556" s="20">
        <v>2028</v>
      </c>
      <c r="C556" t="s">
        <v>593</v>
      </c>
      <c r="D556" t="s">
        <v>606</v>
      </c>
      <c r="E556">
        <v>0.92349999999999999</v>
      </c>
    </row>
    <row r="557" spans="2:5" x14ac:dyDescent="0.35">
      <c r="B557" s="20">
        <v>2028</v>
      </c>
      <c r="C557" t="s">
        <v>594</v>
      </c>
      <c r="D557" t="s">
        <v>606</v>
      </c>
      <c r="E557">
        <v>0.92349999999999999</v>
      </c>
    </row>
    <row r="558" spans="2:5" x14ac:dyDescent="0.35">
      <c r="B558" s="20">
        <v>2028</v>
      </c>
      <c r="C558" t="s">
        <v>220</v>
      </c>
      <c r="D558" t="s">
        <v>607</v>
      </c>
      <c r="E558">
        <v>8.9999999999999993E-3</v>
      </c>
    </row>
    <row r="559" spans="2:5" x14ac:dyDescent="0.35">
      <c r="B559" s="20">
        <v>2028</v>
      </c>
      <c r="C559" t="s">
        <v>592</v>
      </c>
      <c r="D559" t="s">
        <v>607</v>
      </c>
      <c r="E559">
        <v>8.9999999999999993E-3</v>
      </c>
    </row>
    <row r="560" spans="2:5" x14ac:dyDescent="0.35">
      <c r="B560" s="20">
        <v>2028</v>
      </c>
      <c r="C560" t="s">
        <v>593</v>
      </c>
      <c r="D560" t="s">
        <v>607</v>
      </c>
      <c r="E560">
        <v>8.9999999999999993E-3</v>
      </c>
    </row>
    <row r="561" spans="2:5" x14ac:dyDescent="0.35">
      <c r="B561" s="20">
        <v>2028</v>
      </c>
      <c r="C561" t="s">
        <v>594</v>
      </c>
      <c r="D561" t="s">
        <v>607</v>
      </c>
      <c r="E561">
        <v>8.9999999999999993E-3</v>
      </c>
    </row>
    <row r="562" spans="2:5" x14ac:dyDescent="0.35">
      <c r="B562" s="20">
        <v>2028</v>
      </c>
      <c r="C562" t="s">
        <v>220</v>
      </c>
      <c r="D562" t="s">
        <v>608</v>
      </c>
      <c r="E562">
        <v>250000</v>
      </c>
    </row>
    <row r="563" spans="2:5" x14ac:dyDescent="0.35">
      <c r="B563" s="20">
        <v>2028</v>
      </c>
      <c r="C563" t="s">
        <v>592</v>
      </c>
      <c r="D563" t="s">
        <v>608</v>
      </c>
      <c r="E563">
        <v>200000</v>
      </c>
    </row>
    <row r="564" spans="2:5" x14ac:dyDescent="0.35">
      <c r="B564" s="20">
        <v>2028</v>
      </c>
      <c r="C564" t="s">
        <v>593</v>
      </c>
      <c r="D564" t="s">
        <v>608</v>
      </c>
      <c r="E564">
        <v>200000</v>
      </c>
    </row>
    <row r="565" spans="2:5" x14ac:dyDescent="0.35">
      <c r="B565" s="20">
        <v>2028</v>
      </c>
      <c r="C565" t="s">
        <v>594</v>
      </c>
      <c r="D565" t="s">
        <v>608</v>
      </c>
      <c r="E565">
        <v>125000</v>
      </c>
    </row>
    <row r="566" spans="2:5" x14ac:dyDescent="0.35">
      <c r="B566" s="20">
        <v>2028</v>
      </c>
      <c r="C566" t="s">
        <v>220</v>
      </c>
      <c r="D566" t="s">
        <v>609</v>
      </c>
      <c r="E566">
        <v>0.25</v>
      </c>
    </row>
    <row r="567" spans="2:5" x14ac:dyDescent="0.35">
      <c r="B567" s="20">
        <v>2028</v>
      </c>
      <c r="C567" t="s">
        <v>592</v>
      </c>
      <c r="D567" t="s">
        <v>609</v>
      </c>
      <c r="E567">
        <v>0.25</v>
      </c>
    </row>
    <row r="568" spans="2:5" x14ac:dyDescent="0.35">
      <c r="B568" s="20">
        <v>2028</v>
      </c>
      <c r="C568" t="s">
        <v>593</v>
      </c>
      <c r="D568" t="s">
        <v>609</v>
      </c>
      <c r="E568">
        <v>0.25</v>
      </c>
    </row>
    <row r="569" spans="2:5" x14ac:dyDescent="0.35">
      <c r="B569" s="20">
        <v>2028</v>
      </c>
      <c r="C569" t="s">
        <v>594</v>
      </c>
      <c r="D569" t="s">
        <v>609</v>
      </c>
      <c r="E569">
        <v>0.25</v>
      </c>
    </row>
    <row r="570" spans="2:5" x14ac:dyDescent="0.35">
      <c r="B570" s="20">
        <v>2028</v>
      </c>
      <c r="C570" t="s">
        <v>220</v>
      </c>
      <c r="D570" t="s">
        <v>610</v>
      </c>
      <c r="E570">
        <v>626000</v>
      </c>
    </row>
    <row r="571" spans="2:5" x14ac:dyDescent="0.35">
      <c r="B571" s="20">
        <v>2028</v>
      </c>
      <c r="C571" t="s">
        <v>592</v>
      </c>
      <c r="D571" t="s">
        <v>610</v>
      </c>
      <c r="E571">
        <v>313000</v>
      </c>
    </row>
    <row r="572" spans="2:5" x14ac:dyDescent="0.35">
      <c r="B572" s="20">
        <v>2028</v>
      </c>
      <c r="C572" t="s">
        <v>593</v>
      </c>
      <c r="D572" t="s">
        <v>610</v>
      </c>
      <c r="E572">
        <v>313000</v>
      </c>
    </row>
    <row r="573" spans="2:5" x14ac:dyDescent="0.35">
      <c r="B573" s="20">
        <v>2028</v>
      </c>
      <c r="C573" t="s">
        <v>594</v>
      </c>
      <c r="D573" t="s">
        <v>610</v>
      </c>
      <c r="E573">
        <v>313000</v>
      </c>
    </row>
    <row r="576" spans="2:5" x14ac:dyDescent="0.35">
      <c r="B576" s="13" t="s">
        <v>611</v>
      </c>
    </row>
    <row r="578" spans="2:10" x14ac:dyDescent="0.35">
      <c r="B578" t="s">
        <v>612</v>
      </c>
      <c r="C578" t="s">
        <v>146</v>
      </c>
      <c r="D578" t="s">
        <v>272</v>
      </c>
      <c r="E578" t="s">
        <v>273</v>
      </c>
      <c r="F578" t="s">
        <v>274</v>
      </c>
      <c r="G578" t="s">
        <v>275</v>
      </c>
      <c r="H578" t="s">
        <v>271</v>
      </c>
      <c r="I578" t="s">
        <v>613</v>
      </c>
      <c r="J578" t="s">
        <v>8</v>
      </c>
    </row>
    <row r="579" spans="2:10" x14ac:dyDescent="0.35">
      <c r="B579" t="s">
        <v>614</v>
      </c>
      <c r="C579" t="s">
        <v>288</v>
      </c>
      <c r="D579" t="s">
        <v>294</v>
      </c>
      <c r="E579" t="s">
        <v>285</v>
      </c>
      <c r="F579" t="s">
        <v>294</v>
      </c>
      <c r="G579">
        <v>8</v>
      </c>
      <c r="H579" t="s">
        <v>615</v>
      </c>
      <c r="I579" t="s">
        <v>616</v>
      </c>
      <c r="J579" t="s">
        <v>617</v>
      </c>
    </row>
    <row r="580" spans="2:10" x14ac:dyDescent="0.35">
      <c r="B580" t="s">
        <v>350</v>
      </c>
      <c r="C580" t="s">
        <v>288</v>
      </c>
      <c r="D580" t="s">
        <v>227</v>
      </c>
      <c r="E580" t="s">
        <v>293</v>
      </c>
      <c r="F580" t="s">
        <v>227</v>
      </c>
      <c r="G580">
        <v>8</v>
      </c>
      <c r="H580" t="s">
        <v>352</v>
      </c>
      <c r="I580" t="s">
        <v>618</v>
      </c>
      <c r="J580" t="s">
        <v>619</v>
      </c>
    </row>
    <row r="581" spans="2:10" x14ac:dyDescent="0.35">
      <c r="B581" t="s">
        <v>620</v>
      </c>
      <c r="C581" t="s">
        <v>288</v>
      </c>
      <c r="D581" t="s">
        <v>227</v>
      </c>
      <c r="E581" t="s">
        <v>285</v>
      </c>
      <c r="F581" t="s">
        <v>227</v>
      </c>
      <c r="G581">
        <v>8</v>
      </c>
      <c r="H581" t="s">
        <v>621</v>
      </c>
      <c r="I581" t="s">
        <v>622</v>
      </c>
      <c r="J581" t="s">
        <v>623</v>
      </c>
    </row>
    <row r="582" spans="2:10" x14ac:dyDescent="0.35">
      <c r="B582" t="s">
        <v>624</v>
      </c>
      <c r="C582" t="s">
        <v>288</v>
      </c>
      <c r="D582" t="s">
        <v>294</v>
      </c>
      <c r="E582" t="s">
        <v>285</v>
      </c>
      <c r="F582" t="s">
        <v>294</v>
      </c>
      <c r="G582">
        <v>8</v>
      </c>
      <c r="H582" t="s">
        <v>615</v>
      </c>
      <c r="I582" t="s">
        <v>625</v>
      </c>
      <c r="J582" t="s">
        <v>626</v>
      </c>
    </row>
    <row r="583" spans="2:10" x14ac:dyDescent="0.35">
      <c r="B583" t="s">
        <v>627</v>
      </c>
      <c r="C583" t="s">
        <v>288</v>
      </c>
      <c r="D583" t="s">
        <v>294</v>
      </c>
      <c r="E583" t="s">
        <v>285</v>
      </c>
      <c r="F583" t="s">
        <v>294</v>
      </c>
      <c r="G583">
        <v>8</v>
      </c>
      <c r="H583" t="s">
        <v>292</v>
      </c>
      <c r="I583" t="s">
        <v>628</v>
      </c>
      <c r="J583" t="s">
        <v>629</v>
      </c>
    </row>
    <row r="584" spans="2:10" x14ac:dyDescent="0.35">
      <c r="B584" t="s">
        <v>289</v>
      </c>
      <c r="C584" t="s">
        <v>288</v>
      </c>
      <c r="D584" t="s">
        <v>227</v>
      </c>
      <c r="E584" t="s">
        <v>293</v>
      </c>
      <c r="F584" t="s">
        <v>294</v>
      </c>
      <c r="G584">
        <v>8</v>
      </c>
      <c r="H584" t="s">
        <v>292</v>
      </c>
      <c r="I584" t="s">
        <v>630</v>
      </c>
      <c r="J584" t="s">
        <v>631</v>
      </c>
    </row>
    <row r="585" spans="2:10" x14ac:dyDescent="0.35">
      <c r="B585" t="s">
        <v>315</v>
      </c>
      <c r="C585" t="s">
        <v>288</v>
      </c>
      <c r="D585" t="s">
        <v>227</v>
      </c>
      <c r="E585" t="s">
        <v>285</v>
      </c>
      <c r="F585" t="s">
        <v>294</v>
      </c>
      <c r="G585">
        <v>8</v>
      </c>
      <c r="H585" t="s">
        <v>292</v>
      </c>
      <c r="I585" t="s">
        <v>628</v>
      </c>
      <c r="J585" t="s">
        <v>632</v>
      </c>
    </row>
    <row r="586" spans="2:10" x14ac:dyDescent="0.35">
      <c r="B586" t="s">
        <v>633</v>
      </c>
      <c r="C586" t="s">
        <v>288</v>
      </c>
      <c r="D586" t="s">
        <v>227</v>
      </c>
      <c r="E586" t="s">
        <v>293</v>
      </c>
      <c r="F586" t="s">
        <v>294</v>
      </c>
      <c r="G586">
        <v>8</v>
      </c>
      <c r="H586" t="s">
        <v>292</v>
      </c>
      <c r="I586" t="s">
        <v>634</v>
      </c>
      <c r="J586" t="s">
        <v>635</v>
      </c>
    </row>
    <row r="587" spans="2:10" x14ac:dyDescent="0.35">
      <c r="B587" t="s">
        <v>636</v>
      </c>
      <c r="C587" t="s">
        <v>288</v>
      </c>
      <c r="D587" t="s">
        <v>227</v>
      </c>
      <c r="E587" t="s">
        <v>302</v>
      </c>
      <c r="F587" t="s">
        <v>227</v>
      </c>
      <c r="G587">
        <v>8</v>
      </c>
      <c r="H587" t="s">
        <v>637</v>
      </c>
      <c r="I587" t="s">
        <v>638</v>
      </c>
      <c r="J587" t="s">
        <v>544</v>
      </c>
    </row>
    <row r="588" spans="2:10" x14ac:dyDescent="0.35">
      <c r="B588" t="s">
        <v>639</v>
      </c>
      <c r="C588" t="s">
        <v>24</v>
      </c>
      <c r="D588" t="s">
        <v>227</v>
      </c>
      <c r="E588" t="s">
        <v>285</v>
      </c>
      <c r="F588" t="s">
        <v>227</v>
      </c>
      <c r="G588" t="s">
        <v>21</v>
      </c>
      <c r="H588" t="s">
        <v>326</v>
      </c>
      <c r="I588" t="s">
        <v>640</v>
      </c>
      <c r="J588" t="s">
        <v>641</v>
      </c>
    </row>
    <row r="589" spans="2:10" x14ac:dyDescent="0.35">
      <c r="B589" t="s">
        <v>280</v>
      </c>
      <c r="C589" t="s">
        <v>24</v>
      </c>
      <c r="D589" t="s">
        <v>227</v>
      </c>
      <c r="E589" t="s">
        <v>285</v>
      </c>
      <c r="F589" t="s">
        <v>227</v>
      </c>
      <c r="G589" t="s">
        <v>21</v>
      </c>
      <c r="H589" t="s">
        <v>284</v>
      </c>
      <c r="I589" t="s">
        <v>642</v>
      </c>
      <c r="J589" t="s">
        <v>643</v>
      </c>
    </row>
    <row r="590" spans="2:10" x14ac:dyDescent="0.35">
      <c r="B590" t="s">
        <v>324</v>
      </c>
      <c r="C590" t="s">
        <v>297</v>
      </c>
      <c r="D590" t="s">
        <v>227</v>
      </c>
      <c r="E590" t="s">
        <v>302</v>
      </c>
      <c r="F590" t="s">
        <v>227</v>
      </c>
      <c r="G590" t="s">
        <v>34</v>
      </c>
      <c r="H590" t="s">
        <v>326</v>
      </c>
      <c r="I590" t="s">
        <v>644</v>
      </c>
      <c r="J590" t="s">
        <v>35</v>
      </c>
    </row>
    <row r="591" spans="2:10" x14ac:dyDescent="0.35">
      <c r="B591" t="s">
        <v>645</v>
      </c>
      <c r="C591" t="s">
        <v>297</v>
      </c>
      <c r="D591" t="s">
        <v>227</v>
      </c>
      <c r="E591" t="s">
        <v>335</v>
      </c>
      <c r="F591" t="s">
        <v>227</v>
      </c>
      <c r="G591" t="s">
        <v>28</v>
      </c>
      <c r="H591" t="s">
        <v>565</v>
      </c>
      <c r="I591" t="s">
        <v>646</v>
      </c>
      <c r="J591" t="s">
        <v>461</v>
      </c>
    </row>
    <row r="592" spans="2:10" x14ac:dyDescent="0.35">
      <c r="B592" t="s">
        <v>320</v>
      </c>
      <c r="C592" t="s">
        <v>297</v>
      </c>
      <c r="D592" t="s">
        <v>227</v>
      </c>
      <c r="E592" t="s">
        <v>302</v>
      </c>
      <c r="F592" t="s">
        <v>227</v>
      </c>
      <c r="G592" t="s">
        <v>45</v>
      </c>
      <c r="H592" t="s">
        <v>301</v>
      </c>
      <c r="I592" t="s">
        <v>647</v>
      </c>
      <c r="J592" t="s">
        <v>648</v>
      </c>
    </row>
    <row r="593" spans="2:10" x14ac:dyDescent="0.35">
      <c r="B593" t="s">
        <v>298</v>
      </c>
      <c r="C593" t="s">
        <v>297</v>
      </c>
      <c r="D593" t="s">
        <v>227</v>
      </c>
      <c r="E593" t="s">
        <v>302</v>
      </c>
      <c r="F593" t="s">
        <v>227</v>
      </c>
      <c r="G593" t="s">
        <v>45</v>
      </c>
      <c r="H593" t="s">
        <v>301</v>
      </c>
      <c r="I593" t="s">
        <v>649</v>
      </c>
      <c r="J593" t="s">
        <v>650</v>
      </c>
    </row>
    <row r="594" spans="2:10" x14ac:dyDescent="0.35">
      <c r="B594" t="s">
        <v>306</v>
      </c>
      <c r="C594" t="s">
        <v>305</v>
      </c>
      <c r="D594" t="s">
        <v>227</v>
      </c>
      <c r="E594" t="s">
        <v>302</v>
      </c>
      <c r="F594" t="s">
        <v>227</v>
      </c>
      <c r="G594">
        <v>7</v>
      </c>
      <c r="H594" t="s">
        <v>308</v>
      </c>
      <c r="I594" t="s">
        <v>651</v>
      </c>
      <c r="J594" t="s">
        <v>510</v>
      </c>
    </row>
    <row r="595" spans="2:10" x14ac:dyDescent="0.35">
      <c r="B595" t="s">
        <v>652</v>
      </c>
      <c r="C595" t="s">
        <v>305</v>
      </c>
      <c r="D595" t="s">
        <v>227</v>
      </c>
      <c r="E595" t="s">
        <v>302</v>
      </c>
      <c r="F595" t="s">
        <v>227</v>
      </c>
      <c r="G595">
        <v>7</v>
      </c>
      <c r="H595" t="s">
        <v>308</v>
      </c>
      <c r="I595" t="s">
        <v>651</v>
      </c>
      <c r="J595" t="s">
        <v>511</v>
      </c>
    </row>
    <row r="596" spans="2:10" x14ac:dyDescent="0.35">
      <c r="B596" t="s">
        <v>653</v>
      </c>
      <c r="C596" t="s">
        <v>305</v>
      </c>
      <c r="D596" t="s">
        <v>227</v>
      </c>
      <c r="E596" t="s">
        <v>293</v>
      </c>
      <c r="F596" t="s">
        <v>227</v>
      </c>
      <c r="G596">
        <v>7</v>
      </c>
      <c r="H596" t="s">
        <v>308</v>
      </c>
      <c r="I596" t="s">
        <v>654</v>
      </c>
      <c r="J596" t="s">
        <v>655</v>
      </c>
    </row>
    <row r="597" spans="2:10" x14ac:dyDescent="0.35">
      <c r="B597" t="s">
        <v>656</v>
      </c>
      <c r="C597" t="s">
        <v>305</v>
      </c>
      <c r="D597" t="s">
        <v>227</v>
      </c>
      <c r="E597" t="s">
        <v>293</v>
      </c>
      <c r="F597" t="s">
        <v>227</v>
      </c>
      <c r="G597">
        <v>7</v>
      </c>
      <c r="H597" t="s">
        <v>572</v>
      </c>
      <c r="I597" t="s">
        <v>657</v>
      </c>
      <c r="J597" t="s">
        <v>658</v>
      </c>
    </row>
    <row r="598" spans="2:10" x14ac:dyDescent="0.35">
      <c r="B598" t="s">
        <v>659</v>
      </c>
      <c r="C598" t="s">
        <v>305</v>
      </c>
      <c r="D598" t="s">
        <v>227</v>
      </c>
      <c r="E598" t="s">
        <v>302</v>
      </c>
      <c r="F598" t="s">
        <v>227</v>
      </c>
      <c r="G598">
        <v>7</v>
      </c>
      <c r="H598" t="s">
        <v>308</v>
      </c>
      <c r="I598" t="s">
        <v>660</v>
      </c>
      <c r="J598" t="s">
        <v>661</v>
      </c>
    </row>
    <row r="599" spans="2:10" x14ac:dyDescent="0.35">
      <c r="B599" t="s">
        <v>346</v>
      </c>
      <c r="C599" t="s">
        <v>345</v>
      </c>
      <c r="D599" t="s">
        <v>227</v>
      </c>
      <c r="E599" t="s">
        <v>335</v>
      </c>
      <c r="F599" t="s">
        <v>227</v>
      </c>
      <c r="G599">
        <v>10</v>
      </c>
      <c r="H599" t="s">
        <v>662</v>
      </c>
      <c r="I599" t="s">
        <v>663</v>
      </c>
      <c r="J599" t="s">
        <v>662</v>
      </c>
    </row>
    <row r="600" spans="2:10" x14ac:dyDescent="0.35">
      <c r="B600" t="s">
        <v>664</v>
      </c>
      <c r="C600" t="s">
        <v>345</v>
      </c>
      <c r="D600" t="s">
        <v>227</v>
      </c>
      <c r="E600" t="s">
        <v>335</v>
      </c>
      <c r="F600" t="s">
        <v>227</v>
      </c>
      <c r="G600">
        <v>10</v>
      </c>
      <c r="H600" t="s">
        <v>665</v>
      </c>
      <c r="I600" t="s">
        <v>666</v>
      </c>
      <c r="J600" t="s">
        <v>665</v>
      </c>
    </row>
    <row r="601" spans="2:10" x14ac:dyDescent="0.35">
      <c r="B601" t="s">
        <v>667</v>
      </c>
      <c r="C601" t="s">
        <v>345</v>
      </c>
      <c r="D601" t="s">
        <v>227</v>
      </c>
      <c r="E601" t="s">
        <v>335</v>
      </c>
      <c r="F601" t="s">
        <v>227</v>
      </c>
      <c r="G601">
        <v>10</v>
      </c>
      <c r="H601" t="s">
        <v>668</v>
      </c>
      <c r="I601" t="s">
        <v>669</v>
      </c>
      <c r="J601" t="s">
        <v>670</v>
      </c>
    </row>
    <row r="602" spans="2:10" x14ac:dyDescent="0.35">
      <c r="B602" t="s">
        <v>671</v>
      </c>
      <c r="C602" t="s">
        <v>345</v>
      </c>
      <c r="D602" t="s">
        <v>227</v>
      </c>
      <c r="E602" t="s">
        <v>335</v>
      </c>
      <c r="F602" t="s">
        <v>227</v>
      </c>
      <c r="G602">
        <v>10</v>
      </c>
      <c r="H602" t="s">
        <v>672</v>
      </c>
      <c r="I602" t="s">
        <v>673</v>
      </c>
      <c r="J602" t="s">
        <v>674</v>
      </c>
    </row>
    <row r="603" spans="2:10" x14ac:dyDescent="0.35">
      <c r="B603" t="s">
        <v>675</v>
      </c>
      <c r="C603" t="s">
        <v>345</v>
      </c>
      <c r="D603" t="s">
        <v>227</v>
      </c>
      <c r="E603" t="s">
        <v>335</v>
      </c>
      <c r="F603" t="s">
        <v>227</v>
      </c>
      <c r="G603">
        <v>10</v>
      </c>
      <c r="H603" t="s">
        <v>676</v>
      </c>
      <c r="I603" t="s">
        <v>677</v>
      </c>
      <c r="J603" t="s">
        <v>678</v>
      </c>
    </row>
    <row r="604" spans="2:10" x14ac:dyDescent="0.35">
      <c r="B604" t="s">
        <v>679</v>
      </c>
      <c r="C604" t="s">
        <v>331</v>
      </c>
      <c r="D604" t="s">
        <v>227</v>
      </c>
      <c r="E604" t="s">
        <v>335</v>
      </c>
      <c r="F604" t="s">
        <v>227</v>
      </c>
      <c r="G604">
        <v>12</v>
      </c>
      <c r="H604" t="s">
        <v>680</v>
      </c>
      <c r="I604" t="s">
        <v>681</v>
      </c>
      <c r="J604" t="s">
        <v>682</v>
      </c>
    </row>
    <row r="605" spans="2:10" x14ac:dyDescent="0.35">
      <c r="B605" t="s">
        <v>332</v>
      </c>
      <c r="C605" t="s">
        <v>331</v>
      </c>
      <c r="D605" t="s">
        <v>227</v>
      </c>
      <c r="E605" t="s">
        <v>335</v>
      </c>
      <c r="F605" t="s">
        <v>227</v>
      </c>
      <c r="G605">
        <v>12</v>
      </c>
      <c r="H605" t="s">
        <v>334</v>
      </c>
      <c r="I605" t="s">
        <v>683</v>
      </c>
      <c r="J605" t="s">
        <v>334</v>
      </c>
    </row>
    <row r="606" spans="2:10" x14ac:dyDescent="0.35">
      <c r="B606" t="s">
        <v>684</v>
      </c>
      <c r="C606" t="s">
        <v>331</v>
      </c>
      <c r="D606" t="s">
        <v>227</v>
      </c>
      <c r="E606" t="s">
        <v>335</v>
      </c>
      <c r="F606" t="s">
        <v>227</v>
      </c>
      <c r="G606">
        <v>12</v>
      </c>
      <c r="H606" t="s">
        <v>685</v>
      </c>
      <c r="I606" t="s">
        <v>686</v>
      </c>
      <c r="J606" t="s">
        <v>687</v>
      </c>
    </row>
    <row r="607" spans="2:10" x14ac:dyDescent="0.35">
      <c r="B607" t="s">
        <v>688</v>
      </c>
      <c r="C607" t="s">
        <v>331</v>
      </c>
      <c r="D607" t="s">
        <v>227</v>
      </c>
      <c r="E607" t="s">
        <v>335</v>
      </c>
      <c r="F607" t="s">
        <v>227</v>
      </c>
      <c r="G607">
        <v>12</v>
      </c>
      <c r="H607" t="s">
        <v>689</v>
      </c>
      <c r="I607" t="s">
        <v>690</v>
      </c>
      <c r="J607" t="s">
        <v>691</v>
      </c>
    </row>
    <row r="608" spans="2:10" x14ac:dyDescent="0.35">
      <c r="B608" t="s">
        <v>692</v>
      </c>
      <c r="C608" t="s">
        <v>693</v>
      </c>
      <c r="D608" t="s">
        <v>227</v>
      </c>
      <c r="E608" t="s">
        <v>335</v>
      </c>
      <c r="F608" t="s">
        <v>227</v>
      </c>
      <c r="G608">
        <v>19</v>
      </c>
      <c r="H608" t="s">
        <v>694</v>
      </c>
      <c r="I608" t="s">
        <v>695</v>
      </c>
      <c r="J608" t="s">
        <v>694</v>
      </c>
    </row>
    <row r="609" spans="2:10" x14ac:dyDescent="0.35">
      <c r="B609" t="s">
        <v>696</v>
      </c>
      <c r="C609" t="s">
        <v>693</v>
      </c>
      <c r="D609" t="s">
        <v>227</v>
      </c>
      <c r="E609" t="s">
        <v>335</v>
      </c>
      <c r="F609" t="s">
        <v>227</v>
      </c>
      <c r="G609">
        <v>20</v>
      </c>
      <c r="H609" t="s">
        <v>697</v>
      </c>
      <c r="I609" t="s">
        <v>698</v>
      </c>
      <c r="J609" t="s">
        <v>699</v>
      </c>
    </row>
    <row r="610" spans="2:10" x14ac:dyDescent="0.35">
      <c r="B610" t="s">
        <v>700</v>
      </c>
      <c r="C610" t="s">
        <v>693</v>
      </c>
      <c r="D610" t="s">
        <v>227</v>
      </c>
      <c r="E610" t="s">
        <v>335</v>
      </c>
      <c r="F610" t="s">
        <v>227</v>
      </c>
      <c r="G610">
        <v>20</v>
      </c>
      <c r="H610" t="s">
        <v>701</v>
      </c>
      <c r="I610" t="s">
        <v>702</v>
      </c>
      <c r="J610" t="s">
        <v>701</v>
      </c>
    </row>
    <row r="611" spans="2:10" x14ac:dyDescent="0.35">
      <c r="B611" t="s">
        <v>703</v>
      </c>
      <c r="C611" t="s">
        <v>704</v>
      </c>
      <c r="D611" t="s">
        <v>227</v>
      </c>
      <c r="E611" t="s">
        <v>335</v>
      </c>
      <c r="F611" t="s">
        <v>227</v>
      </c>
      <c r="G611">
        <v>25</v>
      </c>
      <c r="H611" t="s">
        <v>326</v>
      </c>
      <c r="I611" t="s">
        <v>640</v>
      </c>
      <c r="J611" t="s">
        <v>705</v>
      </c>
    </row>
    <row r="612" spans="2:10" x14ac:dyDescent="0.35">
      <c r="B612" t="s">
        <v>706</v>
      </c>
      <c r="C612" t="s">
        <v>704</v>
      </c>
      <c r="D612" t="s">
        <v>227</v>
      </c>
      <c r="E612" t="s">
        <v>335</v>
      </c>
      <c r="F612" t="s">
        <v>227</v>
      </c>
      <c r="G612">
        <v>26</v>
      </c>
      <c r="H612" t="s">
        <v>326</v>
      </c>
      <c r="I612" t="s">
        <v>707</v>
      </c>
      <c r="J612" t="s">
        <v>708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00000"/>
  </sheetPr>
  <dimension ref="A1:H41"/>
  <sheetViews>
    <sheetView workbookViewId="0"/>
  </sheetViews>
  <sheetFormatPr defaultRowHeight="14.5" x14ac:dyDescent="0.35"/>
  <cols>
    <col min="1" max="12" width="22" customWidth="1"/>
  </cols>
  <sheetData>
    <row r="1" spans="1:7" ht="18.5" customHeight="1" x14ac:dyDescent="0.45">
      <c r="A1" s="1" t="s">
        <v>709</v>
      </c>
    </row>
    <row r="3" spans="1:7" x14ac:dyDescent="0.35">
      <c r="A3" s="10" t="s">
        <v>146</v>
      </c>
      <c r="B3" s="10" t="s">
        <v>710</v>
      </c>
      <c r="C3" s="10" t="s">
        <v>273</v>
      </c>
      <c r="D3" s="10" t="s">
        <v>270</v>
      </c>
      <c r="E3" s="10" t="s">
        <v>7</v>
      </c>
      <c r="F3" s="10" t="s">
        <v>711</v>
      </c>
      <c r="G3" s="10" t="s">
        <v>269</v>
      </c>
    </row>
    <row r="4" spans="1:7" x14ac:dyDescent="0.35">
      <c r="A4" t="s">
        <v>288</v>
      </c>
      <c r="B4" t="s">
        <v>294</v>
      </c>
      <c r="C4" t="s">
        <v>285</v>
      </c>
      <c r="D4" t="s">
        <v>316</v>
      </c>
      <c r="E4" t="s">
        <v>32</v>
      </c>
      <c r="F4" t="s">
        <v>21</v>
      </c>
      <c r="G4" t="s">
        <v>96</v>
      </c>
    </row>
    <row r="5" spans="1:7" x14ac:dyDescent="0.35">
      <c r="A5" t="s">
        <v>24</v>
      </c>
      <c r="B5" t="s">
        <v>227</v>
      </c>
      <c r="C5" t="s">
        <v>293</v>
      </c>
      <c r="D5" t="s">
        <v>712</v>
      </c>
      <c r="E5" t="s">
        <v>38</v>
      </c>
      <c r="F5" t="s">
        <v>28</v>
      </c>
      <c r="G5" t="s">
        <v>338</v>
      </c>
    </row>
    <row r="6" spans="1:7" x14ac:dyDescent="0.35">
      <c r="A6" t="s">
        <v>297</v>
      </c>
      <c r="C6" t="s">
        <v>302</v>
      </c>
      <c r="D6" t="s">
        <v>312</v>
      </c>
      <c r="E6" t="s">
        <v>22</v>
      </c>
      <c r="F6" t="s">
        <v>34</v>
      </c>
    </row>
    <row r="7" spans="1:7" x14ac:dyDescent="0.35">
      <c r="A7" t="s">
        <v>305</v>
      </c>
      <c r="C7" t="s">
        <v>335</v>
      </c>
      <c r="D7" t="s">
        <v>713</v>
      </c>
      <c r="E7" t="s">
        <v>714</v>
      </c>
      <c r="F7" t="s">
        <v>40</v>
      </c>
    </row>
    <row r="8" spans="1:7" x14ac:dyDescent="0.35">
      <c r="A8" t="s">
        <v>345</v>
      </c>
      <c r="D8" t="s">
        <v>329</v>
      </c>
      <c r="E8" t="s">
        <v>715</v>
      </c>
      <c r="F8" t="s">
        <v>45</v>
      </c>
    </row>
    <row r="9" spans="1:7" x14ac:dyDescent="0.35">
      <c r="A9" t="s">
        <v>331</v>
      </c>
      <c r="D9" t="s">
        <v>321</v>
      </c>
      <c r="F9" t="s">
        <v>50</v>
      </c>
    </row>
    <row r="10" spans="1:7" x14ac:dyDescent="0.35">
      <c r="A10" t="s">
        <v>693</v>
      </c>
      <c r="D10" t="s">
        <v>282</v>
      </c>
      <c r="F10" t="s">
        <v>55</v>
      </c>
    </row>
    <row r="11" spans="1:7" x14ac:dyDescent="0.35">
      <c r="A11" t="s">
        <v>704</v>
      </c>
      <c r="D11" t="s">
        <v>716</v>
      </c>
      <c r="F11" t="s">
        <v>65</v>
      </c>
    </row>
    <row r="12" spans="1:7" x14ac:dyDescent="0.35">
      <c r="D12" t="s">
        <v>717</v>
      </c>
      <c r="F12" t="s">
        <v>75</v>
      </c>
    </row>
    <row r="13" spans="1:7" x14ac:dyDescent="0.35">
      <c r="D13" t="s">
        <v>718</v>
      </c>
      <c r="F13" t="s">
        <v>80</v>
      </c>
    </row>
    <row r="17" spans="1:8" x14ac:dyDescent="0.35">
      <c r="A17" s="7" t="s">
        <v>719</v>
      </c>
    </row>
    <row r="18" spans="1:8" x14ac:dyDescent="0.35">
      <c r="A18" s="10" t="s">
        <v>720</v>
      </c>
      <c r="B18" s="10" t="s">
        <v>721</v>
      </c>
      <c r="C18" s="10" t="s">
        <v>722</v>
      </c>
      <c r="D18" s="10" t="s">
        <v>723</v>
      </c>
      <c r="E18" s="10" t="s">
        <v>724</v>
      </c>
      <c r="F18" s="10" t="s">
        <v>725</v>
      </c>
      <c r="G18" s="10" t="s">
        <v>726</v>
      </c>
      <c r="H18" s="10" t="s">
        <v>727</v>
      </c>
    </row>
    <row r="19" spans="1:8" x14ac:dyDescent="0.35">
      <c r="A19" t="s">
        <v>614</v>
      </c>
      <c r="B19" t="s">
        <v>639</v>
      </c>
      <c r="C19" t="s">
        <v>324</v>
      </c>
      <c r="D19" t="s">
        <v>306</v>
      </c>
      <c r="E19" t="s">
        <v>346</v>
      </c>
      <c r="F19" t="s">
        <v>679</v>
      </c>
      <c r="G19" t="s">
        <v>692</v>
      </c>
      <c r="H19" t="s">
        <v>703</v>
      </c>
    </row>
    <row r="20" spans="1:8" x14ac:dyDescent="0.35">
      <c r="A20" t="s">
        <v>350</v>
      </c>
      <c r="B20" t="s">
        <v>280</v>
      </c>
      <c r="C20" t="s">
        <v>645</v>
      </c>
      <c r="D20" t="s">
        <v>652</v>
      </c>
      <c r="E20" t="s">
        <v>664</v>
      </c>
      <c r="F20" t="s">
        <v>332</v>
      </c>
      <c r="G20" t="s">
        <v>696</v>
      </c>
      <c r="H20" t="s">
        <v>706</v>
      </c>
    </row>
    <row r="21" spans="1:8" x14ac:dyDescent="0.35">
      <c r="A21" t="s">
        <v>620</v>
      </c>
      <c r="C21" t="s">
        <v>320</v>
      </c>
      <c r="D21" t="s">
        <v>653</v>
      </c>
      <c r="E21" t="s">
        <v>667</v>
      </c>
      <c r="F21" t="s">
        <v>684</v>
      </c>
      <c r="G21" t="s">
        <v>700</v>
      </c>
    </row>
    <row r="22" spans="1:8" x14ac:dyDescent="0.35">
      <c r="A22" t="s">
        <v>624</v>
      </c>
      <c r="C22" t="s">
        <v>298</v>
      </c>
      <c r="D22" t="s">
        <v>656</v>
      </c>
      <c r="E22" t="s">
        <v>671</v>
      </c>
      <c r="F22" t="s">
        <v>688</v>
      </c>
    </row>
    <row r="23" spans="1:8" x14ac:dyDescent="0.35">
      <c r="A23" t="s">
        <v>627</v>
      </c>
      <c r="D23" t="s">
        <v>659</v>
      </c>
      <c r="E23" t="s">
        <v>675</v>
      </c>
    </row>
    <row r="24" spans="1:8" x14ac:dyDescent="0.35">
      <c r="A24" t="s">
        <v>289</v>
      </c>
    </row>
    <row r="25" spans="1:8" x14ac:dyDescent="0.35">
      <c r="A25" t="s">
        <v>315</v>
      </c>
    </row>
    <row r="26" spans="1:8" x14ac:dyDescent="0.35">
      <c r="A26" t="s">
        <v>633</v>
      </c>
    </row>
    <row r="27" spans="1:8" x14ac:dyDescent="0.35">
      <c r="A27" t="s">
        <v>636</v>
      </c>
    </row>
    <row r="33" spans="1:8" x14ac:dyDescent="0.35">
      <c r="A33" s="7" t="s">
        <v>728</v>
      </c>
    </row>
    <row r="34" spans="1:8" x14ac:dyDescent="0.35">
      <c r="A34" s="10" t="s">
        <v>729</v>
      </c>
      <c r="B34" s="10" t="s">
        <v>730</v>
      </c>
      <c r="C34" s="10" t="s">
        <v>731</v>
      </c>
      <c r="D34" s="10" t="s">
        <v>732</v>
      </c>
      <c r="E34" s="10" t="s">
        <v>733</v>
      </c>
      <c r="F34" s="10" t="s">
        <v>734</v>
      </c>
      <c r="G34" s="10" t="s">
        <v>735</v>
      </c>
      <c r="H34" s="10" t="s">
        <v>736</v>
      </c>
    </row>
    <row r="35" spans="1:8" x14ac:dyDescent="0.35">
      <c r="A35" t="s">
        <v>290</v>
      </c>
      <c r="B35" t="s">
        <v>281</v>
      </c>
      <c r="C35" t="s">
        <v>325</v>
      </c>
      <c r="D35" t="s">
        <v>307</v>
      </c>
      <c r="E35" t="s">
        <v>737</v>
      </c>
      <c r="F35" t="s">
        <v>738</v>
      </c>
      <c r="G35" t="s">
        <v>739</v>
      </c>
      <c r="H35" t="s">
        <v>740</v>
      </c>
    </row>
    <row r="36" spans="1:8" x14ac:dyDescent="0.35">
      <c r="A36" t="s">
        <v>741</v>
      </c>
      <c r="B36" t="s">
        <v>742</v>
      </c>
      <c r="C36" t="s">
        <v>299</v>
      </c>
      <c r="D36" t="s">
        <v>743</v>
      </c>
      <c r="E36" t="s">
        <v>744</v>
      </c>
      <c r="F36" t="s">
        <v>745</v>
      </c>
      <c r="G36" t="s">
        <v>746</v>
      </c>
      <c r="H36" t="s">
        <v>747</v>
      </c>
    </row>
    <row r="37" spans="1:8" x14ac:dyDescent="0.35">
      <c r="A37" t="s">
        <v>748</v>
      </c>
      <c r="B37" t="s">
        <v>749</v>
      </c>
      <c r="C37" t="s">
        <v>750</v>
      </c>
      <c r="D37" t="s">
        <v>751</v>
      </c>
      <c r="E37" t="s">
        <v>752</v>
      </c>
      <c r="F37" t="s">
        <v>333</v>
      </c>
      <c r="G37" t="s">
        <v>753</v>
      </c>
    </row>
    <row r="38" spans="1:8" x14ac:dyDescent="0.35">
      <c r="A38" t="s">
        <v>754</v>
      </c>
      <c r="D38" t="s">
        <v>755</v>
      </c>
      <c r="E38" t="s">
        <v>756</v>
      </c>
      <c r="F38" t="s">
        <v>757</v>
      </c>
    </row>
    <row r="39" spans="1:8" x14ac:dyDescent="0.35">
      <c r="A39" t="s">
        <v>758</v>
      </c>
      <c r="E39" t="s">
        <v>759</v>
      </c>
    </row>
    <row r="40" spans="1:8" x14ac:dyDescent="0.35">
      <c r="A40" t="s">
        <v>760</v>
      </c>
    </row>
    <row r="41" spans="1:8" x14ac:dyDescent="0.35">
      <c r="A41" t="s">
        <v>761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00000"/>
  </sheetPr>
  <dimension ref="A1:J93"/>
  <sheetViews>
    <sheetView workbookViewId="0"/>
  </sheetViews>
  <sheetFormatPr defaultRowHeight="14.5" x14ac:dyDescent="0.35"/>
  <sheetData>
    <row r="1" spans="1:5" ht="15.5" customHeight="1" x14ac:dyDescent="0.35">
      <c r="A1" s="29" t="s">
        <v>762</v>
      </c>
      <c r="B1" s="29"/>
      <c r="C1" s="29"/>
      <c r="D1" s="29"/>
      <c r="E1" s="29"/>
    </row>
    <row r="2" spans="1:5" x14ac:dyDescent="0.35">
      <c r="A2" t="s">
        <v>763</v>
      </c>
    </row>
    <row r="4" spans="1:5" x14ac:dyDescent="0.35">
      <c r="A4" t="s">
        <v>764</v>
      </c>
    </row>
    <row r="6" spans="1:5" x14ac:dyDescent="0.35">
      <c r="A6" t="s">
        <v>765</v>
      </c>
    </row>
    <row r="7" spans="1:5" x14ac:dyDescent="0.35">
      <c r="A7" t="s">
        <v>766</v>
      </c>
    </row>
    <row r="9" spans="1:5" x14ac:dyDescent="0.35">
      <c r="A9" t="s">
        <v>767</v>
      </c>
    </row>
    <row r="10" spans="1:5" x14ac:dyDescent="0.35">
      <c r="A10" t="s">
        <v>768</v>
      </c>
    </row>
    <row r="12" spans="1:5" x14ac:dyDescent="0.35">
      <c r="A12" t="s">
        <v>769</v>
      </c>
    </row>
    <row r="13" spans="1:5" x14ac:dyDescent="0.35">
      <c r="A13" t="s">
        <v>770</v>
      </c>
    </row>
    <row r="16" spans="1:5" x14ac:dyDescent="0.35">
      <c r="A16" t="s">
        <v>771</v>
      </c>
    </row>
    <row r="17" spans="1:5" x14ac:dyDescent="0.35">
      <c r="A17" t="s">
        <v>772</v>
      </c>
    </row>
    <row r="19" spans="1:5" x14ac:dyDescent="0.35">
      <c r="A19" t="s">
        <v>338</v>
      </c>
      <c r="B19" t="s">
        <v>773</v>
      </c>
      <c r="C19" t="s">
        <v>774</v>
      </c>
      <c r="D19" t="s">
        <v>775</v>
      </c>
      <c r="E19" t="s">
        <v>776</v>
      </c>
    </row>
    <row r="20" spans="1:5" x14ac:dyDescent="0.35">
      <c r="A20" t="s">
        <v>777</v>
      </c>
      <c r="B20" t="s">
        <v>778</v>
      </c>
      <c r="C20" t="s">
        <v>779</v>
      </c>
      <c r="D20" t="s">
        <v>780</v>
      </c>
      <c r="E20" t="s">
        <v>781</v>
      </c>
    </row>
    <row r="21" spans="1:5" x14ac:dyDescent="0.35">
      <c r="A21" t="s">
        <v>782</v>
      </c>
      <c r="B21" t="s">
        <v>783</v>
      </c>
      <c r="C21" t="s">
        <v>784</v>
      </c>
      <c r="D21" t="s">
        <v>785</v>
      </c>
      <c r="E21" t="s">
        <v>786</v>
      </c>
    </row>
    <row r="22" spans="1:5" x14ac:dyDescent="0.35">
      <c r="A22" t="s">
        <v>787</v>
      </c>
      <c r="B22" t="s">
        <v>788</v>
      </c>
      <c r="C22" t="s">
        <v>789</v>
      </c>
      <c r="D22" t="s">
        <v>790</v>
      </c>
      <c r="E22" t="s">
        <v>791</v>
      </c>
    </row>
    <row r="23" spans="1:5" x14ac:dyDescent="0.35">
      <c r="A23" t="s">
        <v>792</v>
      </c>
      <c r="B23" t="s">
        <v>793</v>
      </c>
      <c r="C23" t="s">
        <v>794</v>
      </c>
      <c r="D23" t="s">
        <v>795</v>
      </c>
      <c r="E23" t="s">
        <v>796</v>
      </c>
    </row>
    <row r="24" spans="1:5" x14ac:dyDescent="0.35">
      <c r="A24" t="s">
        <v>797</v>
      </c>
      <c r="B24" t="s">
        <v>798</v>
      </c>
      <c r="C24" t="s">
        <v>799</v>
      </c>
      <c r="D24" t="s">
        <v>800</v>
      </c>
      <c r="E24" t="s">
        <v>786</v>
      </c>
    </row>
    <row r="27" spans="1:5" x14ac:dyDescent="0.35">
      <c r="A27" t="s">
        <v>801</v>
      </c>
    </row>
    <row r="28" spans="1:5" x14ac:dyDescent="0.35">
      <c r="A28" t="s">
        <v>802</v>
      </c>
      <c r="B28" t="s">
        <v>338</v>
      </c>
      <c r="C28" t="s">
        <v>803</v>
      </c>
      <c r="D28" t="s">
        <v>804</v>
      </c>
      <c r="E28" t="s">
        <v>805</v>
      </c>
    </row>
    <row r="29" spans="1:5" x14ac:dyDescent="0.35">
      <c r="A29" t="s">
        <v>806</v>
      </c>
      <c r="B29" t="s">
        <v>807</v>
      </c>
      <c r="C29" t="s">
        <v>808</v>
      </c>
      <c r="D29" t="s">
        <v>809</v>
      </c>
      <c r="E29" t="s">
        <v>810</v>
      </c>
    </row>
    <row r="30" spans="1:5" x14ac:dyDescent="0.35">
      <c r="A30" t="s">
        <v>811</v>
      </c>
      <c r="B30" t="s">
        <v>812</v>
      </c>
      <c r="C30" t="s">
        <v>813</v>
      </c>
      <c r="D30" t="s">
        <v>814</v>
      </c>
      <c r="E30" t="s">
        <v>815</v>
      </c>
    </row>
    <row r="31" spans="1:5" x14ac:dyDescent="0.35">
      <c r="A31" t="s">
        <v>816</v>
      </c>
      <c r="B31" t="s">
        <v>817</v>
      </c>
      <c r="C31" t="s">
        <v>818</v>
      </c>
      <c r="D31" t="s">
        <v>819</v>
      </c>
      <c r="E31" t="s">
        <v>820</v>
      </c>
    </row>
    <row r="32" spans="1:5" x14ac:dyDescent="0.35">
      <c r="A32" t="s">
        <v>821</v>
      </c>
      <c r="B32" t="s">
        <v>822</v>
      </c>
      <c r="C32" t="s">
        <v>823</v>
      </c>
      <c r="D32" t="s">
        <v>824</v>
      </c>
      <c r="E32" t="s">
        <v>825</v>
      </c>
    </row>
    <row r="33" spans="1:5" x14ac:dyDescent="0.35">
      <c r="A33" t="s">
        <v>826</v>
      </c>
      <c r="B33" t="s">
        <v>827</v>
      </c>
      <c r="C33" t="s">
        <v>828</v>
      </c>
      <c r="D33" t="s">
        <v>829</v>
      </c>
      <c r="E33" t="s">
        <v>830</v>
      </c>
    </row>
    <row r="34" spans="1:5" x14ac:dyDescent="0.35">
      <c r="A34" t="s">
        <v>831</v>
      </c>
      <c r="B34" t="s">
        <v>832</v>
      </c>
      <c r="C34" t="s">
        <v>833</v>
      </c>
      <c r="D34" t="s">
        <v>834</v>
      </c>
      <c r="E34" t="s">
        <v>835</v>
      </c>
    </row>
    <row r="35" spans="1:5" x14ac:dyDescent="0.35">
      <c r="A35" t="s">
        <v>836</v>
      </c>
      <c r="B35" t="s">
        <v>837</v>
      </c>
      <c r="C35" t="s">
        <v>838</v>
      </c>
      <c r="D35" t="s">
        <v>839</v>
      </c>
      <c r="E35" t="s">
        <v>840</v>
      </c>
    </row>
    <row r="38" spans="1:5" x14ac:dyDescent="0.35">
      <c r="A38" t="s">
        <v>841</v>
      </c>
    </row>
    <row r="40" spans="1:5" x14ac:dyDescent="0.35">
      <c r="A40" t="s">
        <v>842</v>
      </c>
      <c r="B40" t="s">
        <v>843</v>
      </c>
    </row>
    <row r="41" spans="1:5" x14ac:dyDescent="0.35">
      <c r="A41" t="s">
        <v>844</v>
      </c>
      <c r="B41" t="s">
        <v>845</v>
      </c>
    </row>
    <row r="42" spans="1:5" x14ac:dyDescent="0.35">
      <c r="A42" t="s">
        <v>846</v>
      </c>
      <c r="B42" t="s">
        <v>847</v>
      </c>
    </row>
    <row r="43" spans="1:5" x14ac:dyDescent="0.35">
      <c r="A43" t="s">
        <v>848</v>
      </c>
      <c r="B43" t="s">
        <v>849</v>
      </c>
    </row>
    <row r="44" spans="1:5" x14ac:dyDescent="0.35">
      <c r="A44" t="s">
        <v>850</v>
      </c>
      <c r="B44" t="s">
        <v>851</v>
      </c>
    </row>
    <row r="45" spans="1:5" x14ac:dyDescent="0.35">
      <c r="A45" t="s">
        <v>852</v>
      </c>
      <c r="B45" t="s">
        <v>853</v>
      </c>
    </row>
    <row r="46" spans="1:5" x14ac:dyDescent="0.35">
      <c r="A46" t="s">
        <v>854</v>
      </c>
      <c r="B46" t="s">
        <v>855</v>
      </c>
    </row>
    <row r="47" spans="1:5" x14ac:dyDescent="0.35">
      <c r="A47" t="s">
        <v>856</v>
      </c>
      <c r="B47" t="s">
        <v>857</v>
      </c>
    </row>
    <row r="48" spans="1:5" x14ac:dyDescent="0.35">
      <c r="A48" t="s">
        <v>858</v>
      </c>
      <c r="B48" t="s">
        <v>859</v>
      </c>
    </row>
    <row r="49" spans="1:3" x14ac:dyDescent="0.35">
      <c r="A49" t="s">
        <v>860</v>
      </c>
      <c r="B49" t="s">
        <v>861</v>
      </c>
    </row>
    <row r="50" spans="1:3" x14ac:dyDescent="0.35">
      <c r="A50" t="s">
        <v>862</v>
      </c>
      <c r="B50" t="s">
        <v>863</v>
      </c>
    </row>
    <row r="51" spans="1:3" x14ac:dyDescent="0.35">
      <c r="A51" t="s">
        <v>864</v>
      </c>
      <c r="B51" t="s">
        <v>865</v>
      </c>
    </row>
    <row r="52" spans="1:3" x14ac:dyDescent="0.35">
      <c r="A52" t="s">
        <v>866</v>
      </c>
      <c r="B52" t="s">
        <v>867</v>
      </c>
    </row>
    <row r="55" spans="1:3" x14ac:dyDescent="0.35">
      <c r="A55" t="s">
        <v>868</v>
      </c>
    </row>
    <row r="56" spans="1:3" ht="18.5" customHeight="1" x14ac:dyDescent="0.45">
      <c r="A56" s="15" t="s">
        <v>869</v>
      </c>
    </row>
    <row r="57" spans="1:3" x14ac:dyDescent="0.35">
      <c r="A57" t="s">
        <v>870</v>
      </c>
    </row>
    <row r="59" spans="1:3" ht="409.5" customHeight="1" x14ac:dyDescent="0.35">
      <c r="A59">
        <v>1</v>
      </c>
      <c r="B59" t="s">
        <v>871</v>
      </c>
      <c r="C59" s="57" t="s">
        <v>872</v>
      </c>
    </row>
    <row r="60" spans="1:3" ht="275.5" customHeight="1" x14ac:dyDescent="0.35">
      <c r="A60">
        <v>2</v>
      </c>
      <c r="B60" t="s">
        <v>873</v>
      </c>
      <c r="C60" s="57" t="s">
        <v>874</v>
      </c>
    </row>
    <row r="61" spans="1:3" ht="348" customHeight="1" x14ac:dyDescent="0.35">
      <c r="A61">
        <v>3</v>
      </c>
      <c r="B61" t="s">
        <v>875</v>
      </c>
      <c r="C61" s="57" t="s">
        <v>876</v>
      </c>
    </row>
    <row r="62" spans="1:3" ht="159.5" customHeight="1" x14ac:dyDescent="0.35">
      <c r="A62">
        <v>4</v>
      </c>
      <c r="B62" t="s">
        <v>877</v>
      </c>
      <c r="C62" s="57" t="s">
        <v>878</v>
      </c>
    </row>
    <row r="63" spans="1:3" ht="217.5" customHeight="1" x14ac:dyDescent="0.35">
      <c r="A63">
        <v>5</v>
      </c>
      <c r="B63" t="s">
        <v>879</v>
      </c>
      <c r="C63" s="57" t="s">
        <v>880</v>
      </c>
    </row>
    <row r="64" spans="1:3" ht="275.5" customHeight="1" x14ac:dyDescent="0.35">
      <c r="A64">
        <v>6</v>
      </c>
      <c r="B64" t="s">
        <v>881</v>
      </c>
      <c r="C64" s="57" t="s">
        <v>882</v>
      </c>
    </row>
    <row r="65" spans="1:10" ht="246.5" customHeight="1" x14ac:dyDescent="0.35">
      <c r="A65">
        <v>7</v>
      </c>
      <c r="B65" t="s">
        <v>883</v>
      </c>
      <c r="C65" s="57" t="s">
        <v>884</v>
      </c>
    </row>
    <row r="66" spans="1:10" ht="319" customHeight="1" x14ac:dyDescent="0.35">
      <c r="A66">
        <v>8</v>
      </c>
      <c r="B66" t="s">
        <v>885</v>
      </c>
      <c r="C66" s="57" t="s">
        <v>886</v>
      </c>
    </row>
    <row r="67" spans="1:10" ht="290" customHeight="1" x14ac:dyDescent="0.35">
      <c r="A67">
        <v>9</v>
      </c>
      <c r="B67" t="s">
        <v>887</v>
      </c>
      <c r="C67" s="57" t="s">
        <v>888</v>
      </c>
    </row>
    <row r="68" spans="1:10" ht="246.5" customHeight="1" x14ac:dyDescent="0.35">
      <c r="A68">
        <v>10</v>
      </c>
      <c r="B68" t="s">
        <v>889</v>
      </c>
      <c r="C68" s="57" t="s">
        <v>890</v>
      </c>
    </row>
    <row r="72" spans="1:10" x14ac:dyDescent="0.35">
      <c r="A72" t="s">
        <v>868</v>
      </c>
    </row>
    <row r="73" spans="1:10" ht="18.5" customHeight="1" x14ac:dyDescent="0.45">
      <c r="A73" s="15" t="s">
        <v>891</v>
      </c>
    </row>
    <row r="74" spans="1:10" x14ac:dyDescent="0.35">
      <c r="A74" t="s">
        <v>892</v>
      </c>
    </row>
    <row r="76" spans="1:10" x14ac:dyDescent="0.35">
      <c r="A76" t="s">
        <v>893</v>
      </c>
      <c r="B76" t="s">
        <v>894</v>
      </c>
      <c r="C76" t="s">
        <v>4</v>
      </c>
      <c r="D76" t="s">
        <v>11</v>
      </c>
      <c r="E76" t="s">
        <v>895</v>
      </c>
      <c r="F76" t="s">
        <v>896</v>
      </c>
      <c r="G76" t="s">
        <v>897</v>
      </c>
      <c r="H76" t="s">
        <v>898</v>
      </c>
      <c r="I76" t="s">
        <v>7</v>
      </c>
      <c r="J76" t="s">
        <v>8</v>
      </c>
    </row>
    <row r="77" spans="1:10" x14ac:dyDescent="0.35">
      <c r="A77" t="s">
        <v>899</v>
      </c>
      <c r="B77" t="s">
        <v>900</v>
      </c>
      <c r="C77" t="s">
        <v>901</v>
      </c>
      <c r="D77" t="s">
        <v>902</v>
      </c>
      <c r="E77" t="s">
        <v>592</v>
      </c>
      <c r="F77" t="s">
        <v>903</v>
      </c>
      <c r="G77" t="s">
        <v>904</v>
      </c>
    </row>
    <row r="78" spans="1:10" x14ac:dyDescent="0.35">
      <c r="A78" t="s">
        <v>905</v>
      </c>
      <c r="B78" t="s">
        <v>900</v>
      </c>
      <c r="C78" t="s">
        <v>906</v>
      </c>
      <c r="D78" t="s">
        <v>907</v>
      </c>
      <c r="E78" t="s">
        <v>592</v>
      </c>
      <c r="F78" t="s">
        <v>903</v>
      </c>
      <c r="G78" t="s">
        <v>908</v>
      </c>
    </row>
    <row r="79" spans="1:10" x14ac:dyDescent="0.35">
      <c r="A79" t="s">
        <v>909</v>
      </c>
      <c r="B79" t="s">
        <v>900</v>
      </c>
      <c r="C79" t="s">
        <v>58</v>
      </c>
      <c r="D79" t="s">
        <v>910</v>
      </c>
      <c r="E79" t="s">
        <v>592</v>
      </c>
      <c r="F79" t="s">
        <v>903</v>
      </c>
      <c r="G79" t="s">
        <v>908</v>
      </c>
    </row>
    <row r="80" spans="1:10" x14ac:dyDescent="0.35">
      <c r="A80" t="s">
        <v>911</v>
      </c>
      <c r="B80" t="s">
        <v>900</v>
      </c>
      <c r="C80" t="s">
        <v>912</v>
      </c>
      <c r="D80" t="s">
        <v>913</v>
      </c>
      <c r="E80" t="s">
        <v>592</v>
      </c>
      <c r="F80" t="s">
        <v>903</v>
      </c>
      <c r="G80" t="s">
        <v>908</v>
      </c>
    </row>
    <row r="81" spans="1:7" x14ac:dyDescent="0.35">
      <c r="A81" t="s">
        <v>914</v>
      </c>
      <c r="B81" t="s">
        <v>900</v>
      </c>
      <c r="C81" t="s">
        <v>915</v>
      </c>
      <c r="D81" t="s">
        <v>916</v>
      </c>
      <c r="E81" t="s">
        <v>592</v>
      </c>
      <c r="F81" t="s">
        <v>917</v>
      </c>
      <c r="G81" t="s">
        <v>918</v>
      </c>
    </row>
    <row r="82" spans="1:7" x14ac:dyDescent="0.35">
      <c r="A82" t="s">
        <v>919</v>
      </c>
      <c r="B82" t="s">
        <v>900</v>
      </c>
      <c r="C82" t="s">
        <v>920</v>
      </c>
      <c r="D82" t="s">
        <v>921</v>
      </c>
      <c r="E82" t="s">
        <v>592</v>
      </c>
      <c r="F82" t="s">
        <v>903</v>
      </c>
      <c r="G82" t="s">
        <v>922</v>
      </c>
    </row>
    <row r="83" spans="1:7" x14ac:dyDescent="0.35">
      <c r="A83" t="s">
        <v>923</v>
      </c>
      <c r="B83" t="s">
        <v>480</v>
      </c>
      <c r="C83" t="s">
        <v>924</v>
      </c>
      <c r="D83" t="s">
        <v>925</v>
      </c>
      <c r="E83" t="s">
        <v>926</v>
      </c>
      <c r="F83" t="s">
        <v>927</v>
      </c>
      <c r="G83" t="s">
        <v>928</v>
      </c>
    </row>
    <row r="84" spans="1:7" x14ac:dyDescent="0.35">
      <c r="A84" t="s">
        <v>929</v>
      </c>
      <c r="B84" t="s">
        <v>480</v>
      </c>
      <c r="C84" t="s">
        <v>930</v>
      </c>
      <c r="D84" t="s">
        <v>931</v>
      </c>
      <c r="E84" t="s">
        <v>926</v>
      </c>
      <c r="F84" t="s">
        <v>917</v>
      </c>
      <c r="G84" t="s">
        <v>932</v>
      </c>
    </row>
    <row r="85" spans="1:7" x14ac:dyDescent="0.35">
      <c r="A85" t="s">
        <v>933</v>
      </c>
      <c r="B85" t="s">
        <v>934</v>
      </c>
      <c r="C85" t="s">
        <v>935</v>
      </c>
      <c r="D85" t="s">
        <v>936</v>
      </c>
      <c r="E85" t="s">
        <v>592</v>
      </c>
      <c r="F85" t="s">
        <v>927</v>
      </c>
      <c r="G85" t="s">
        <v>937</v>
      </c>
    </row>
    <row r="86" spans="1:7" x14ac:dyDescent="0.35">
      <c r="A86" t="s">
        <v>938</v>
      </c>
      <c r="B86" t="s">
        <v>934</v>
      </c>
      <c r="C86" t="s">
        <v>939</v>
      </c>
      <c r="D86" t="s">
        <v>940</v>
      </c>
      <c r="E86" t="s">
        <v>592</v>
      </c>
      <c r="F86" t="s">
        <v>927</v>
      </c>
      <c r="G86" t="s">
        <v>937</v>
      </c>
    </row>
    <row r="87" spans="1:7" x14ac:dyDescent="0.35">
      <c r="A87" t="s">
        <v>941</v>
      </c>
      <c r="B87" t="s">
        <v>934</v>
      </c>
      <c r="C87" t="s">
        <v>942</v>
      </c>
      <c r="D87" t="s">
        <v>943</v>
      </c>
      <c r="E87" t="s">
        <v>592</v>
      </c>
      <c r="F87" t="s">
        <v>917</v>
      </c>
      <c r="G87" t="s">
        <v>944</v>
      </c>
    </row>
    <row r="88" spans="1:7" x14ac:dyDescent="0.35">
      <c r="A88" t="s">
        <v>945</v>
      </c>
      <c r="B88" t="s">
        <v>946</v>
      </c>
      <c r="C88" t="s">
        <v>947</v>
      </c>
      <c r="D88" t="s">
        <v>948</v>
      </c>
      <c r="E88" t="s">
        <v>592</v>
      </c>
      <c r="F88" t="s">
        <v>927</v>
      </c>
      <c r="G88" t="s">
        <v>904</v>
      </c>
    </row>
    <row r="89" spans="1:7" x14ac:dyDescent="0.35">
      <c r="A89" t="s">
        <v>949</v>
      </c>
      <c r="B89" t="s">
        <v>946</v>
      </c>
      <c r="C89" t="s">
        <v>950</v>
      </c>
      <c r="D89" t="s">
        <v>951</v>
      </c>
      <c r="E89" t="s">
        <v>926</v>
      </c>
      <c r="F89" t="s">
        <v>927</v>
      </c>
      <c r="G89" t="s">
        <v>952</v>
      </c>
    </row>
    <row r="90" spans="1:7" x14ac:dyDescent="0.35">
      <c r="A90" t="s">
        <v>953</v>
      </c>
      <c r="B90" t="s">
        <v>946</v>
      </c>
      <c r="C90" t="s">
        <v>954</v>
      </c>
      <c r="D90" t="s">
        <v>955</v>
      </c>
      <c r="E90" t="s">
        <v>592</v>
      </c>
      <c r="F90" t="s">
        <v>917</v>
      </c>
      <c r="G90" t="s">
        <v>904</v>
      </c>
    </row>
    <row r="91" spans="1:7" x14ac:dyDescent="0.35">
      <c r="A91" t="s">
        <v>956</v>
      </c>
      <c r="B91" t="s">
        <v>957</v>
      </c>
      <c r="C91" t="s">
        <v>958</v>
      </c>
      <c r="D91" t="s">
        <v>959</v>
      </c>
      <c r="E91" t="s">
        <v>592</v>
      </c>
      <c r="F91" t="s">
        <v>927</v>
      </c>
      <c r="G91" t="s">
        <v>904</v>
      </c>
    </row>
    <row r="92" spans="1:7" x14ac:dyDescent="0.35">
      <c r="A92" t="s">
        <v>960</v>
      </c>
      <c r="B92" t="s">
        <v>957</v>
      </c>
      <c r="C92" t="s">
        <v>961</v>
      </c>
      <c r="D92" t="s">
        <v>962</v>
      </c>
      <c r="E92" t="s">
        <v>592</v>
      </c>
      <c r="F92" t="s">
        <v>927</v>
      </c>
      <c r="G92" t="s">
        <v>963</v>
      </c>
    </row>
    <row r="93" spans="1:7" x14ac:dyDescent="0.35">
      <c r="A93" t="s">
        <v>964</v>
      </c>
      <c r="B93" t="s">
        <v>957</v>
      </c>
      <c r="C93" t="s">
        <v>965</v>
      </c>
      <c r="D93" t="s">
        <v>966</v>
      </c>
      <c r="E93" t="s">
        <v>967</v>
      </c>
      <c r="F93" t="s">
        <v>927</v>
      </c>
      <c r="G93" t="s">
        <v>230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00000"/>
  </sheetPr>
  <dimension ref="A1:E189"/>
  <sheetViews>
    <sheetView workbookViewId="0"/>
  </sheetViews>
  <sheetFormatPr defaultRowHeight="14.5" x14ac:dyDescent="0.35"/>
  <sheetData>
    <row r="1" spans="1:5" ht="15.5" customHeight="1" x14ac:dyDescent="0.35">
      <c r="A1" s="29" t="s">
        <v>968</v>
      </c>
      <c r="B1" s="29"/>
      <c r="C1" s="29"/>
      <c r="D1" s="29"/>
      <c r="E1" s="29"/>
    </row>
    <row r="2" spans="1:5" x14ac:dyDescent="0.35">
      <c r="A2" t="s">
        <v>969</v>
      </c>
    </row>
    <row r="4" spans="1:5" x14ac:dyDescent="0.35">
      <c r="A4" t="s">
        <v>970</v>
      </c>
    </row>
    <row r="5" spans="1:5" x14ac:dyDescent="0.35">
      <c r="A5" t="s">
        <v>971</v>
      </c>
      <c r="B5" t="s">
        <v>972</v>
      </c>
      <c r="C5" t="s">
        <v>973</v>
      </c>
    </row>
    <row r="6" spans="1:5" x14ac:dyDescent="0.35">
      <c r="A6" t="s">
        <v>974</v>
      </c>
      <c r="B6" t="s">
        <v>975</v>
      </c>
      <c r="C6" t="s">
        <v>976</v>
      </c>
    </row>
    <row r="7" spans="1:5" x14ac:dyDescent="0.35">
      <c r="A7" t="s">
        <v>977</v>
      </c>
      <c r="B7" t="s">
        <v>978</v>
      </c>
      <c r="C7" t="s">
        <v>979</v>
      </c>
    </row>
    <row r="8" spans="1:5" x14ac:dyDescent="0.35">
      <c r="A8" t="s">
        <v>980</v>
      </c>
      <c r="B8" t="s">
        <v>981</v>
      </c>
      <c r="C8" t="s">
        <v>982</v>
      </c>
    </row>
    <row r="9" spans="1:5" x14ac:dyDescent="0.35">
      <c r="A9" t="s">
        <v>983</v>
      </c>
      <c r="B9" t="s">
        <v>984</v>
      </c>
      <c r="C9" t="s">
        <v>985</v>
      </c>
    </row>
    <row r="10" spans="1:5" x14ac:dyDescent="0.35">
      <c r="A10" t="s">
        <v>986</v>
      </c>
      <c r="B10" t="s">
        <v>987</v>
      </c>
      <c r="C10" t="s">
        <v>988</v>
      </c>
    </row>
    <row r="11" spans="1:5" x14ac:dyDescent="0.35">
      <c r="A11" t="s">
        <v>58</v>
      </c>
      <c r="B11" t="s">
        <v>989</v>
      </c>
      <c r="C11" t="s">
        <v>990</v>
      </c>
    </row>
    <row r="12" spans="1:5" x14ac:dyDescent="0.35">
      <c r="A12" t="s">
        <v>991</v>
      </c>
      <c r="B12" t="s">
        <v>992</v>
      </c>
      <c r="C12" t="s">
        <v>993</v>
      </c>
    </row>
    <row r="13" spans="1:5" x14ac:dyDescent="0.35">
      <c r="A13" t="s">
        <v>994</v>
      </c>
      <c r="B13" t="s">
        <v>995</v>
      </c>
      <c r="C13" t="s">
        <v>996</v>
      </c>
    </row>
    <row r="14" spans="1:5" x14ac:dyDescent="0.35">
      <c r="A14" t="s">
        <v>997</v>
      </c>
      <c r="B14" t="s">
        <v>998</v>
      </c>
      <c r="C14" t="s">
        <v>999</v>
      </c>
    </row>
    <row r="15" spans="1:5" x14ac:dyDescent="0.35">
      <c r="A15" t="s">
        <v>947</v>
      </c>
      <c r="B15" t="s">
        <v>1000</v>
      </c>
      <c r="C15" t="s">
        <v>1001</v>
      </c>
    </row>
    <row r="16" spans="1:5" x14ac:dyDescent="0.35">
      <c r="A16" t="s">
        <v>1002</v>
      </c>
      <c r="B16" t="s">
        <v>1003</v>
      </c>
      <c r="C16" t="s">
        <v>1004</v>
      </c>
    </row>
    <row r="17" spans="1:3" x14ac:dyDescent="0.35">
      <c r="A17" t="s">
        <v>1005</v>
      </c>
      <c r="B17" t="s">
        <v>1006</v>
      </c>
      <c r="C17" t="s">
        <v>1007</v>
      </c>
    </row>
    <row r="18" spans="1:3" x14ac:dyDescent="0.35">
      <c r="A18" t="s">
        <v>290</v>
      </c>
      <c r="B18" t="s">
        <v>1008</v>
      </c>
      <c r="C18" t="s">
        <v>1009</v>
      </c>
    </row>
    <row r="19" spans="1:3" x14ac:dyDescent="0.35">
      <c r="A19" t="s">
        <v>201</v>
      </c>
      <c r="B19" t="s">
        <v>1010</v>
      </c>
      <c r="C19" t="s">
        <v>1011</v>
      </c>
    </row>
    <row r="20" spans="1:3" x14ac:dyDescent="0.35">
      <c r="A20" t="s">
        <v>1012</v>
      </c>
      <c r="B20" t="s">
        <v>1013</v>
      </c>
      <c r="C20" t="s">
        <v>1014</v>
      </c>
    </row>
    <row r="21" spans="1:3" x14ac:dyDescent="0.35">
      <c r="A21" t="s">
        <v>1015</v>
      </c>
      <c r="B21" t="s">
        <v>1016</v>
      </c>
      <c r="C21" t="s">
        <v>1017</v>
      </c>
    </row>
    <row r="22" spans="1:3" x14ac:dyDescent="0.35">
      <c r="A22" t="s">
        <v>1018</v>
      </c>
      <c r="B22" t="s">
        <v>1019</v>
      </c>
      <c r="C22" t="s">
        <v>1020</v>
      </c>
    </row>
    <row r="23" spans="1:3" x14ac:dyDescent="0.35">
      <c r="A23" t="s">
        <v>1021</v>
      </c>
      <c r="B23" t="s">
        <v>1022</v>
      </c>
      <c r="C23" t="s">
        <v>1023</v>
      </c>
    </row>
    <row r="24" spans="1:3" x14ac:dyDescent="0.35">
      <c r="A24" t="s">
        <v>1024</v>
      </c>
      <c r="B24" t="s">
        <v>1025</v>
      </c>
      <c r="C24" t="s">
        <v>1026</v>
      </c>
    </row>
    <row r="25" spans="1:3" x14ac:dyDescent="0.35">
      <c r="A25" t="s">
        <v>1027</v>
      </c>
      <c r="B25" t="s">
        <v>1028</v>
      </c>
      <c r="C25" t="s">
        <v>1029</v>
      </c>
    </row>
    <row r="26" spans="1:3" x14ac:dyDescent="0.35">
      <c r="A26" t="s">
        <v>1030</v>
      </c>
      <c r="B26" t="s">
        <v>1031</v>
      </c>
      <c r="C26" t="s">
        <v>1032</v>
      </c>
    </row>
    <row r="27" spans="1:3" x14ac:dyDescent="0.35">
      <c r="A27" t="s">
        <v>1033</v>
      </c>
      <c r="B27" t="s">
        <v>1034</v>
      </c>
      <c r="C27" t="s">
        <v>1035</v>
      </c>
    </row>
    <row r="28" spans="1:3" x14ac:dyDescent="0.35">
      <c r="A28" t="s">
        <v>1036</v>
      </c>
      <c r="B28" t="s">
        <v>1037</v>
      </c>
      <c r="C28" t="s">
        <v>1038</v>
      </c>
    </row>
    <row r="29" spans="1:3" x14ac:dyDescent="0.35">
      <c r="A29" t="s">
        <v>1039</v>
      </c>
      <c r="B29" t="s">
        <v>1040</v>
      </c>
      <c r="C29" t="s">
        <v>1041</v>
      </c>
    </row>
    <row r="30" spans="1:3" x14ac:dyDescent="0.35">
      <c r="A30" t="s">
        <v>480</v>
      </c>
      <c r="B30" t="s">
        <v>1042</v>
      </c>
      <c r="C30" t="s">
        <v>1043</v>
      </c>
    </row>
    <row r="31" spans="1:3" x14ac:dyDescent="0.35">
      <c r="A31" t="s">
        <v>1044</v>
      </c>
      <c r="B31" t="s">
        <v>1045</v>
      </c>
      <c r="C31" t="s">
        <v>1046</v>
      </c>
    </row>
    <row r="32" spans="1:3" x14ac:dyDescent="0.35">
      <c r="A32" t="s">
        <v>1047</v>
      </c>
      <c r="B32" t="s">
        <v>1048</v>
      </c>
      <c r="C32" t="s">
        <v>1049</v>
      </c>
    </row>
    <row r="33" spans="1:5" x14ac:dyDescent="0.35">
      <c r="A33" t="s">
        <v>1050</v>
      </c>
      <c r="B33" t="s">
        <v>1051</v>
      </c>
      <c r="C33" t="s">
        <v>1052</v>
      </c>
    </row>
    <row r="34" spans="1:5" x14ac:dyDescent="0.35">
      <c r="A34" t="s">
        <v>1053</v>
      </c>
      <c r="B34" t="s">
        <v>1054</v>
      </c>
      <c r="C34" t="s">
        <v>1055</v>
      </c>
    </row>
    <row r="35" spans="1:5" x14ac:dyDescent="0.35">
      <c r="A35" t="s">
        <v>1056</v>
      </c>
      <c r="B35" t="s">
        <v>1057</v>
      </c>
      <c r="C35" t="s">
        <v>1058</v>
      </c>
    </row>
    <row r="36" spans="1:5" x14ac:dyDescent="0.35">
      <c r="A36" t="s">
        <v>1059</v>
      </c>
      <c r="B36" t="s">
        <v>1060</v>
      </c>
      <c r="C36" t="s">
        <v>1061</v>
      </c>
    </row>
    <row r="37" spans="1:5" x14ac:dyDescent="0.35">
      <c r="A37" t="s">
        <v>1062</v>
      </c>
      <c r="B37" t="s">
        <v>1063</v>
      </c>
      <c r="C37" t="s">
        <v>1064</v>
      </c>
    </row>
    <row r="40" spans="1:5" x14ac:dyDescent="0.35">
      <c r="A40" t="s">
        <v>1065</v>
      </c>
    </row>
    <row r="42" spans="1:5" x14ac:dyDescent="0.35">
      <c r="A42" t="s">
        <v>1066</v>
      </c>
    </row>
    <row r="43" spans="1:5" x14ac:dyDescent="0.35">
      <c r="A43" t="s">
        <v>1067</v>
      </c>
      <c r="B43">
        <v>2024</v>
      </c>
      <c r="C43">
        <v>2025</v>
      </c>
      <c r="D43">
        <v>2026</v>
      </c>
      <c r="E43" t="s">
        <v>590</v>
      </c>
    </row>
    <row r="44" spans="1:5" x14ac:dyDescent="0.35">
      <c r="A44" s="58">
        <v>0.1</v>
      </c>
      <c r="B44">
        <v>0</v>
      </c>
      <c r="C44">
        <v>0</v>
      </c>
      <c r="D44">
        <v>0</v>
      </c>
      <c r="E44" s="58">
        <v>0.1</v>
      </c>
    </row>
    <row r="45" spans="1:5" x14ac:dyDescent="0.35">
      <c r="A45" s="58">
        <v>0.12</v>
      </c>
      <c r="B45">
        <v>23200</v>
      </c>
      <c r="C45">
        <v>23850</v>
      </c>
      <c r="D45">
        <v>24500</v>
      </c>
      <c r="E45" s="58">
        <v>0.12</v>
      </c>
    </row>
    <row r="46" spans="1:5" x14ac:dyDescent="0.35">
      <c r="A46" s="58">
        <v>0.22</v>
      </c>
      <c r="B46">
        <v>94300</v>
      </c>
      <c r="C46">
        <v>96950</v>
      </c>
      <c r="D46">
        <v>99150</v>
      </c>
      <c r="E46" s="58">
        <v>0.22</v>
      </c>
    </row>
    <row r="47" spans="1:5" x14ac:dyDescent="0.35">
      <c r="A47" s="58">
        <v>0.24</v>
      </c>
      <c r="B47">
        <v>201050</v>
      </c>
      <c r="C47">
        <v>206700</v>
      </c>
      <c r="D47">
        <v>211450</v>
      </c>
      <c r="E47" s="58">
        <v>0.24</v>
      </c>
    </row>
    <row r="48" spans="1:5" x14ac:dyDescent="0.35">
      <c r="A48" s="58">
        <v>0.32</v>
      </c>
      <c r="B48">
        <v>383900</v>
      </c>
      <c r="C48">
        <v>394600</v>
      </c>
      <c r="D48">
        <v>403650</v>
      </c>
      <c r="E48" s="58">
        <v>0.32</v>
      </c>
    </row>
    <row r="49" spans="1:5" x14ac:dyDescent="0.35">
      <c r="A49" s="58">
        <v>0.35</v>
      </c>
      <c r="B49">
        <v>487450</v>
      </c>
      <c r="C49">
        <v>501050</v>
      </c>
      <c r="D49">
        <v>512600</v>
      </c>
      <c r="E49" s="58">
        <v>0.35</v>
      </c>
    </row>
    <row r="50" spans="1:5" x14ac:dyDescent="0.35">
      <c r="A50" s="58">
        <v>0.37</v>
      </c>
      <c r="B50">
        <v>731200</v>
      </c>
      <c r="C50">
        <v>751600</v>
      </c>
      <c r="D50">
        <v>768950</v>
      </c>
      <c r="E50" s="58">
        <v>0.37</v>
      </c>
    </row>
    <row r="53" spans="1:5" x14ac:dyDescent="0.35">
      <c r="A53" t="s">
        <v>1068</v>
      </c>
    </row>
    <row r="54" spans="1:5" x14ac:dyDescent="0.35">
      <c r="A54" t="s">
        <v>598</v>
      </c>
      <c r="B54">
        <v>2024</v>
      </c>
      <c r="C54">
        <v>2025</v>
      </c>
      <c r="D54">
        <v>2026</v>
      </c>
      <c r="E54" t="s">
        <v>1069</v>
      </c>
    </row>
    <row r="55" spans="1:5" x14ac:dyDescent="0.35">
      <c r="A55" t="s">
        <v>1050</v>
      </c>
      <c r="B55">
        <v>29200</v>
      </c>
      <c r="C55">
        <v>30000</v>
      </c>
      <c r="D55">
        <v>30750</v>
      </c>
      <c r="E55" t="s">
        <v>1070</v>
      </c>
    </row>
    <row r="56" spans="1:5" x14ac:dyDescent="0.35">
      <c r="A56" t="s">
        <v>1044</v>
      </c>
      <c r="B56">
        <v>168600</v>
      </c>
      <c r="C56">
        <v>176100</v>
      </c>
      <c r="D56">
        <v>184500</v>
      </c>
      <c r="E56" t="s">
        <v>1071</v>
      </c>
    </row>
    <row r="57" spans="1:5" x14ac:dyDescent="0.35">
      <c r="A57" t="s">
        <v>1072</v>
      </c>
      <c r="B57">
        <v>250000</v>
      </c>
      <c r="C57">
        <v>250000</v>
      </c>
      <c r="D57">
        <v>250000</v>
      </c>
      <c r="E57" t="s">
        <v>1073</v>
      </c>
    </row>
    <row r="58" spans="1:5" x14ac:dyDescent="0.35">
      <c r="A58" t="s">
        <v>1074</v>
      </c>
      <c r="B58">
        <v>250000</v>
      </c>
      <c r="C58">
        <v>250000</v>
      </c>
      <c r="D58">
        <v>250000</v>
      </c>
      <c r="E58" t="s">
        <v>1075</v>
      </c>
    </row>
    <row r="59" spans="1:5" x14ac:dyDescent="0.35">
      <c r="A59" t="s">
        <v>1076</v>
      </c>
      <c r="B59">
        <v>383900</v>
      </c>
      <c r="C59">
        <v>394600</v>
      </c>
      <c r="D59">
        <v>403650</v>
      </c>
      <c r="E59" t="s">
        <v>1077</v>
      </c>
    </row>
    <row r="60" spans="1:5" x14ac:dyDescent="0.35">
      <c r="A60" t="s">
        <v>1078</v>
      </c>
      <c r="B60">
        <v>483900</v>
      </c>
      <c r="C60">
        <v>494600</v>
      </c>
      <c r="D60">
        <v>503650</v>
      </c>
      <c r="E60" t="s">
        <v>1079</v>
      </c>
    </row>
    <row r="61" spans="1:5" x14ac:dyDescent="0.35">
      <c r="A61" t="s">
        <v>1080</v>
      </c>
      <c r="B61">
        <v>23000</v>
      </c>
      <c r="C61">
        <v>23500</v>
      </c>
      <c r="D61">
        <v>24000</v>
      </c>
      <c r="E61" t="s">
        <v>1081</v>
      </c>
    </row>
    <row r="62" spans="1:5" x14ac:dyDescent="0.35">
      <c r="A62" t="s">
        <v>1082</v>
      </c>
      <c r="B62">
        <v>69000</v>
      </c>
      <c r="C62">
        <v>70000</v>
      </c>
      <c r="D62">
        <v>71000</v>
      </c>
      <c r="E62" t="s">
        <v>1083</v>
      </c>
    </row>
    <row r="63" spans="1:5" x14ac:dyDescent="0.35">
      <c r="A63" t="s">
        <v>1084</v>
      </c>
      <c r="B63">
        <v>8300</v>
      </c>
      <c r="C63">
        <v>8550</v>
      </c>
      <c r="D63">
        <v>8800</v>
      </c>
      <c r="E63" t="s">
        <v>1085</v>
      </c>
    </row>
    <row r="64" spans="1:5" x14ac:dyDescent="0.35">
      <c r="A64" t="s">
        <v>1086</v>
      </c>
      <c r="B64">
        <v>14600</v>
      </c>
      <c r="C64">
        <v>15000</v>
      </c>
      <c r="D64">
        <v>15400</v>
      </c>
      <c r="E64" t="s">
        <v>1087</v>
      </c>
    </row>
    <row r="65" spans="1:5" x14ac:dyDescent="0.35">
      <c r="A65" t="s">
        <v>1088</v>
      </c>
      <c r="B65">
        <v>610000</v>
      </c>
      <c r="C65">
        <v>626000</v>
      </c>
      <c r="D65">
        <v>644000</v>
      </c>
      <c r="E65" t="s">
        <v>1089</v>
      </c>
    </row>
    <row r="68" spans="1:5" x14ac:dyDescent="0.35">
      <c r="A68" t="s">
        <v>1090</v>
      </c>
    </row>
    <row r="69" spans="1:5" x14ac:dyDescent="0.35">
      <c r="A69" t="s">
        <v>1091</v>
      </c>
      <c r="B69" t="s">
        <v>1092</v>
      </c>
      <c r="C69" t="s">
        <v>1093</v>
      </c>
    </row>
    <row r="70" spans="1:5" x14ac:dyDescent="0.35">
      <c r="A70" t="s">
        <v>1094</v>
      </c>
      <c r="B70" t="s">
        <v>1095</v>
      </c>
      <c r="C70" t="s">
        <v>1096</v>
      </c>
    </row>
    <row r="71" spans="1:5" x14ac:dyDescent="0.35">
      <c r="A71" t="s">
        <v>1097</v>
      </c>
      <c r="B71" t="s">
        <v>1092</v>
      </c>
      <c r="C71" t="s">
        <v>1098</v>
      </c>
    </row>
    <row r="72" spans="1:5" x14ac:dyDescent="0.35">
      <c r="A72" t="s">
        <v>1099</v>
      </c>
      <c r="B72" t="s">
        <v>1100</v>
      </c>
      <c r="C72" t="s">
        <v>1101</v>
      </c>
    </row>
    <row r="76" spans="1:5" x14ac:dyDescent="0.35">
      <c r="A76" t="s">
        <v>1102</v>
      </c>
    </row>
    <row r="77" spans="1:5" x14ac:dyDescent="0.35">
      <c r="A77" t="s">
        <v>1103</v>
      </c>
    </row>
    <row r="79" spans="1:5" x14ac:dyDescent="0.35">
      <c r="A79" t="s">
        <v>1104</v>
      </c>
      <c r="B79" t="s">
        <v>1105</v>
      </c>
      <c r="C79" t="s">
        <v>7</v>
      </c>
      <c r="D79" t="s">
        <v>1106</v>
      </c>
      <c r="E79" t="s">
        <v>1069</v>
      </c>
    </row>
    <row r="80" spans="1:5" x14ac:dyDescent="0.35">
      <c r="A80" t="s">
        <v>1107</v>
      </c>
      <c r="B80" s="23">
        <v>9.2999999999999999E-2</v>
      </c>
      <c r="C80" t="s">
        <v>1108</v>
      </c>
      <c r="D80" t="s">
        <v>1109</v>
      </c>
      <c r="E80" t="s">
        <v>1110</v>
      </c>
    </row>
    <row r="81" spans="1:5" x14ac:dyDescent="0.35">
      <c r="A81" t="s">
        <v>1111</v>
      </c>
      <c r="B81" s="23">
        <v>6.8500000000000005E-2</v>
      </c>
      <c r="C81" t="s">
        <v>1108</v>
      </c>
      <c r="D81" t="s">
        <v>1112</v>
      </c>
      <c r="E81" t="s">
        <v>1113</v>
      </c>
    </row>
    <row r="82" spans="1:5" x14ac:dyDescent="0.35">
      <c r="A82" t="s">
        <v>1114</v>
      </c>
      <c r="B82" s="23">
        <v>9.1200000000000003E-2</v>
      </c>
      <c r="C82" t="s">
        <v>1108</v>
      </c>
      <c r="D82" t="s">
        <v>1112</v>
      </c>
      <c r="E82" t="s">
        <v>1115</v>
      </c>
    </row>
    <row r="83" spans="1:5" x14ac:dyDescent="0.35">
      <c r="A83" t="s">
        <v>1116</v>
      </c>
      <c r="B83" s="23">
        <v>0.09</v>
      </c>
      <c r="C83" t="s">
        <v>1108</v>
      </c>
      <c r="D83" t="s">
        <v>1112</v>
      </c>
      <c r="E83" t="s">
        <v>1117</v>
      </c>
    </row>
    <row r="84" spans="1:5" x14ac:dyDescent="0.35">
      <c r="A84" t="s">
        <v>1118</v>
      </c>
      <c r="B84" s="23">
        <v>9.8500000000000004E-2</v>
      </c>
      <c r="C84" t="s">
        <v>1108</v>
      </c>
      <c r="D84" t="s">
        <v>1112</v>
      </c>
      <c r="E84" t="s">
        <v>1117</v>
      </c>
    </row>
    <row r="85" spans="1:5" x14ac:dyDescent="0.35">
      <c r="A85" t="s">
        <v>1119</v>
      </c>
      <c r="B85" s="23">
        <v>0.11</v>
      </c>
      <c r="C85" t="s">
        <v>1108</v>
      </c>
      <c r="D85" t="s">
        <v>1112</v>
      </c>
      <c r="E85" t="s">
        <v>1120</v>
      </c>
    </row>
    <row r="86" spans="1:5" x14ac:dyDescent="0.35">
      <c r="A86" t="s">
        <v>1121</v>
      </c>
      <c r="B86" s="23">
        <v>0.05</v>
      </c>
      <c r="C86" t="s">
        <v>1108</v>
      </c>
      <c r="D86" t="s">
        <v>1122</v>
      </c>
      <c r="E86" t="s">
        <v>1123</v>
      </c>
    </row>
    <row r="87" spans="1:5" x14ac:dyDescent="0.35">
      <c r="A87" t="s">
        <v>1124</v>
      </c>
      <c r="B87" s="23">
        <v>8.7499999999999994E-2</v>
      </c>
      <c r="C87" t="s">
        <v>1108</v>
      </c>
      <c r="D87" t="s">
        <v>1125</v>
      </c>
    </row>
    <row r="88" spans="1:5" x14ac:dyDescent="0.35">
      <c r="A88" t="s">
        <v>1126</v>
      </c>
      <c r="B88" s="23">
        <v>0.08</v>
      </c>
      <c r="C88" t="s">
        <v>1108</v>
      </c>
      <c r="D88" t="s">
        <v>1125</v>
      </c>
      <c r="E88" t="s">
        <v>1127</v>
      </c>
    </row>
    <row r="89" spans="1:5" x14ac:dyDescent="0.35">
      <c r="A89" t="s">
        <v>1128</v>
      </c>
      <c r="B89" s="23">
        <v>6.9900000000000004E-2</v>
      </c>
      <c r="C89" t="s">
        <v>1129</v>
      </c>
      <c r="D89" t="s">
        <v>1125</v>
      </c>
      <c r="E89" t="s">
        <v>1130</v>
      </c>
    </row>
    <row r="90" spans="1:5" x14ac:dyDescent="0.35">
      <c r="A90" t="s">
        <v>1131</v>
      </c>
      <c r="B90" s="23">
        <v>7.6499999999999999E-2</v>
      </c>
      <c r="C90" t="s">
        <v>1108</v>
      </c>
      <c r="D90" t="s">
        <v>1125</v>
      </c>
    </row>
    <row r="91" spans="1:5" x14ac:dyDescent="0.35">
      <c r="A91" t="s">
        <v>1132</v>
      </c>
      <c r="B91" s="23">
        <v>7.1499999999999994E-2</v>
      </c>
      <c r="C91" t="s">
        <v>1108</v>
      </c>
      <c r="D91" t="s">
        <v>1125</v>
      </c>
    </row>
    <row r="92" spans="1:5" x14ac:dyDescent="0.35">
      <c r="A92" t="s">
        <v>1133</v>
      </c>
      <c r="B92" s="23">
        <v>6.7500000000000004E-2</v>
      </c>
      <c r="C92" t="s">
        <v>1108</v>
      </c>
      <c r="D92" t="s">
        <v>1125</v>
      </c>
    </row>
    <row r="93" spans="1:5" x14ac:dyDescent="0.35">
      <c r="A93" t="s">
        <v>1134</v>
      </c>
      <c r="B93" s="23">
        <v>6.4000000000000001E-2</v>
      </c>
      <c r="C93" t="s">
        <v>1108</v>
      </c>
      <c r="D93" t="s">
        <v>1125</v>
      </c>
    </row>
    <row r="94" spans="1:5" x14ac:dyDescent="0.35">
      <c r="A94" t="s">
        <v>1135</v>
      </c>
      <c r="B94" s="23">
        <v>6.6000000000000003E-2</v>
      </c>
      <c r="C94" t="s">
        <v>1108</v>
      </c>
      <c r="D94" t="s">
        <v>1125</v>
      </c>
    </row>
    <row r="95" spans="1:5" x14ac:dyDescent="0.35">
      <c r="A95" t="s">
        <v>1136</v>
      </c>
      <c r="B95" s="23">
        <v>5.9900000000000002E-2</v>
      </c>
      <c r="C95" t="s">
        <v>1108</v>
      </c>
      <c r="D95" t="s">
        <v>1125</v>
      </c>
    </row>
    <row r="96" spans="1:5" x14ac:dyDescent="0.35">
      <c r="A96" t="s">
        <v>1137</v>
      </c>
      <c r="B96" s="23">
        <v>5.8400000000000001E-2</v>
      </c>
      <c r="C96" t="s">
        <v>1108</v>
      </c>
      <c r="D96" t="s">
        <v>1125</v>
      </c>
    </row>
    <row r="97" spans="1:5" x14ac:dyDescent="0.35">
      <c r="A97" t="s">
        <v>893</v>
      </c>
      <c r="B97" s="23">
        <v>5.8000000000000003E-2</v>
      </c>
      <c r="C97" t="s">
        <v>1108</v>
      </c>
      <c r="D97" t="s">
        <v>1125</v>
      </c>
    </row>
    <row r="98" spans="1:5" x14ac:dyDescent="0.35">
      <c r="A98" t="s">
        <v>1138</v>
      </c>
      <c r="B98" s="23">
        <v>5.7500000000000002E-2</v>
      </c>
      <c r="C98" t="s">
        <v>1108</v>
      </c>
      <c r="D98" t="s">
        <v>1125</v>
      </c>
    </row>
    <row r="99" spans="1:5" x14ac:dyDescent="0.35">
      <c r="A99" t="s">
        <v>1139</v>
      </c>
      <c r="B99" s="23">
        <v>5.7500000000000002E-2</v>
      </c>
      <c r="C99" t="s">
        <v>1108</v>
      </c>
      <c r="D99" t="s">
        <v>1125</v>
      </c>
    </row>
    <row r="100" spans="1:5" x14ac:dyDescent="0.35">
      <c r="A100" t="s">
        <v>1140</v>
      </c>
      <c r="B100" s="23">
        <v>5.7000000000000002E-2</v>
      </c>
      <c r="C100" t="s">
        <v>1108</v>
      </c>
      <c r="D100" t="s">
        <v>1125</v>
      </c>
    </row>
    <row r="101" spans="1:5" x14ac:dyDescent="0.35">
      <c r="A101" t="s">
        <v>1141</v>
      </c>
      <c r="B101" s="23">
        <v>5.3900000000000003E-2</v>
      </c>
      <c r="C101" t="s">
        <v>1108</v>
      </c>
      <c r="D101" t="s">
        <v>1125</v>
      </c>
    </row>
    <row r="102" spans="1:5" x14ac:dyDescent="0.35">
      <c r="A102" t="s">
        <v>1142</v>
      </c>
      <c r="B102" s="23">
        <v>5.8999999999999997E-2</v>
      </c>
      <c r="C102" t="s">
        <v>1108</v>
      </c>
      <c r="D102" t="s">
        <v>1125</v>
      </c>
    </row>
    <row r="103" spans="1:5" x14ac:dyDescent="0.35">
      <c r="A103" t="s">
        <v>1143</v>
      </c>
      <c r="B103" s="23">
        <v>0.05</v>
      </c>
      <c r="C103" t="s">
        <v>1108</v>
      </c>
      <c r="D103" t="s">
        <v>588</v>
      </c>
      <c r="E103" t="s">
        <v>1144</v>
      </c>
    </row>
    <row r="104" spans="1:5" x14ac:dyDescent="0.35">
      <c r="A104" t="s">
        <v>1145</v>
      </c>
      <c r="B104" s="23">
        <v>0.05</v>
      </c>
      <c r="C104" t="s">
        <v>1108</v>
      </c>
      <c r="D104" t="s">
        <v>588</v>
      </c>
      <c r="E104" t="s">
        <v>1146</v>
      </c>
    </row>
    <row r="105" spans="1:5" x14ac:dyDescent="0.35">
      <c r="A105" t="s">
        <v>1147</v>
      </c>
      <c r="B105" s="23">
        <v>0.05</v>
      </c>
      <c r="C105" t="s">
        <v>1108</v>
      </c>
      <c r="D105" t="s">
        <v>588</v>
      </c>
    </row>
    <row r="106" spans="1:5" x14ac:dyDescent="0.35">
      <c r="A106" t="s">
        <v>1148</v>
      </c>
      <c r="B106" s="23">
        <v>4.9500000000000002E-2</v>
      </c>
      <c r="C106" t="s">
        <v>1108</v>
      </c>
      <c r="D106" t="s">
        <v>588</v>
      </c>
    </row>
    <row r="107" spans="1:5" x14ac:dyDescent="0.35">
      <c r="A107" t="s">
        <v>1149</v>
      </c>
      <c r="B107" s="23">
        <v>4.8000000000000001E-2</v>
      </c>
      <c r="C107" t="s">
        <v>1108</v>
      </c>
      <c r="D107" t="s">
        <v>588</v>
      </c>
    </row>
    <row r="108" spans="1:5" x14ac:dyDescent="0.35">
      <c r="A108" t="s">
        <v>1150</v>
      </c>
      <c r="B108" s="23">
        <v>4.7500000000000001E-2</v>
      </c>
      <c r="C108" t="s">
        <v>1108</v>
      </c>
      <c r="D108" t="s">
        <v>588</v>
      </c>
    </row>
    <row r="109" spans="1:5" x14ac:dyDescent="0.35">
      <c r="A109" t="s">
        <v>1151</v>
      </c>
      <c r="B109" s="23">
        <v>4.7E-2</v>
      </c>
      <c r="C109" t="s">
        <v>1108</v>
      </c>
      <c r="D109" t="s">
        <v>588</v>
      </c>
    </row>
    <row r="110" spans="1:5" x14ac:dyDescent="0.35">
      <c r="A110" t="s">
        <v>222</v>
      </c>
      <c r="B110" s="23">
        <v>4.5499999999999999E-2</v>
      </c>
      <c r="C110" t="s">
        <v>1108</v>
      </c>
      <c r="D110" t="s">
        <v>588</v>
      </c>
    </row>
    <row r="111" spans="1:5" x14ac:dyDescent="0.35">
      <c r="A111" t="s">
        <v>1152</v>
      </c>
      <c r="B111" s="23">
        <v>4.2500000000000003E-2</v>
      </c>
      <c r="C111" t="s">
        <v>1108</v>
      </c>
      <c r="D111" t="s">
        <v>588</v>
      </c>
      <c r="E111" t="s">
        <v>1153</v>
      </c>
    </row>
    <row r="112" spans="1:5" x14ac:dyDescent="0.35">
      <c r="A112" t="s">
        <v>1154</v>
      </c>
      <c r="B112" s="23">
        <v>4.2500000000000003E-2</v>
      </c>
      <c r="C112" t="s">
        <v>1108</v>
      </c>
      <c r="D112" t="s">
        <v>588</v>
      </c>
    </row>
    <row r="113" spans="1:5" x14ac:dyDescent="0.35">
      <c r="A113" t="s">
        <v>1155</v>
      </c>
      <c r="B113" s="23">
        <v>4.2500000000000003E-2</v>
      </c>
      <c r="C113" t="s">
        <v>1108</v>
      </c>
      <c r="D113" t="s">
        <v>588</v>
      </c>
    </row>
    <row r="114" spans="1:5" x14ac:dyDescent="0.35">
      <c r="A114" t="s">
        <v>1156</v>
      </c>
      <c r="B114" s="23">
        <v>0.04</v>
      </c>
      <c r="C114" t="s">
        <v>1108</v>
      </c>
      <c r="D114" t="s">
        <v>588</v>
      </c>
    </row>
    <row r="115" spans="1:5" x14ac:dyDescent="0.35">
      <c r="A115" t="s">
        <v>1157</v>
      </c>
      <c r="B115" s="23">
        <v>3.9E-2</v>
      </c>
      <c r="C115" t="s">
        <v>1108</v>
      </c>
      <c r="D115" t="s">
        <v>588</v>
      </c>
    </row>
    <row r="116" spans="1:5" x14ac:dyDescent="0.35">
      <c r="A116" t="s">
        <v>1158</v>
      </c>
      <c r="B116" s="23">
        <v>3.0499999999999999E-2</v>
      </c>
      <c r="C116" t="s">
        <v>1108</v>
      </c>
      <c r="D116" t="s">
        <v>588</v>
      </c>
    </row>
    <row r="117" spans="1:5" x14ac:dyDescent="0.35">
      <c r="A117" t="s">
        <v>1159</v>
      </c>
      <c r="B117" s="23">
        <v>2.5000000000000001E-2</v>
      </c>
      <c r="C117" t="s">
        <v>1108</v>
      </c>
      <c r="D117" t="s">
        <v>588</v>
      </c>
      <c r="E117" t="s">
        <v>1160</v>
      </c>
    </row>
    <row r="118" spans="1:5" x14ac:dyDescent="0.35">
      <c r="A118" t="s">
        <v>1161</v>
      </c>
      <c r="B118" t="s">
        <v>786</v>
      </c>
      <c r="C118" t="s">
        <v>1162</v>
      </c>
      <c r="D118" t="s">
        <v>335</v>
      </c>
      <c r="E118" t="s">
        <v>1163</v>
      </c>
    </row>
    <row r="119" spans="1:5" x14ac:dyDescent="0.35">
      <c r="A119" t="s">
        <v>1164</v>
      </c>
      <c r="B119" t="s">
        <v>786</v>
      </c>
      <c r="C119" t="s">
        <v>1162</v>
      </c>
      <c r="D119" t="s">
        <v>335</v>
      </c>
      <c r="E119" t="s">
        <v>1165</v>
      </c>
    </row>
    <row r="120" spans="1:5" x14ac:dyDescent="0.35">
      <c r="A120" t="s">
        <v>1166</v>
      </c>
      <c r="B120" t="s">
        <v>786</v>
      </c>
      <c r="C120" t="s">
        <v>1162</v>
      </c>
      <c r="D120" t="s">
        <v>335</v>
      </c>
      <c r="E120" t="s">
        <v>1167</v>
      </c>
    </row>
    <row r="121" spans="1:5" x14ac:dyDescent="0.35">
      <c r="A121" t="s">
        <v>1168</v>
      </c>
      <c r="B121" t="s">
        <v>786</v>
      </c>
      <c r="C121" t="s">
        <v>1169</v>
      </c>
      <c r="D121" t="s">
        <v>335</v>
      </c>
    </row>
    <row r="122" spans="1:5" x14ac:dyDescent="0.35">
      <c r="A122" t="s">
        <v>1170</v>
      </c>
      <c r="B122" t="s">
        <v>786</v>
      </c>
      <c r="C122" t="s">
        <v>1169</v>
      </c>
      <c r="D122" t="s">
        <v>335</v>
      </c>
    </row>
    <row r="123" spans="1:5" x14ac:dyDescent="0.35">
      <c r="A123" t="s">
        <v>1171</v>
      </c>
      <c r="B123" t="s">
        <v>786</v>
      </c>
      <c r="C123" t="s">
        <v>1169</v>
      </c>
      <c r="D123" t="s">
        <v>335</v>
      </c>
    </row>
    <row r="124" spans="1:5" x14ac:dyDescent="0.35">
      <c r="A124" t="s">
        <v>1172</v>
      </c>
      <c r="B124" t="s">
        <v>786</v>
      </c>
      <c r="C124" t="s">
        <v>1169</v>
      </c>
      <c r="D124" t="s">
        <v>335</v>
      </c>
    </row>
    <row r="125" spans="1:5" x14ac:dyDescent="0.35">
      <c r="A125" t="s">
        <v>1173</v>
      </c>
      <c r="B125" t="s">
        <v>786</v>
      </c>
      <c r="C125" t="s">
        <v>1169</v>
      </c>
      <c r="D125" t="s">
        <v>335</v>
      </c>
    </row>
    <row r="126" spans="1:5" x14ac:dyDescent="0.35">
      <c r="A126" t="s">
        <v>1174</v>
      </c>
      <c r="B126" t="s">
        <v>786</v>
      </c>
      <c r="C126" t="s">
        <v>1169</v>
      </c>
      <c r="D126" t="s">
        <v>335</v>
      </c>
    </row>
    <row r="127" spans="1:5" x14ac:dyDescent="0.35">
      <c r="A127" t="s">
        <v>1175</v>
      </c>
      <c r="B127" t="s">
        <v>786</v>
      </c>
      <c r="C127" t="s">
        <v>1169</v>
      </c>
      <c r="D127" t="s">
        <v>335</v>
      </c>
    </row>
    <row r="128" spans="1:5" x14ac:dyDescent="0.35">
      <c r="A128" t="s">
        <v>1176</v>
      </c>
      <c r="B128" t="s">
        <v>786</v>
      </c>
      <c r="C128" t="s">
        <v>1169</v>
      </c>
      <c r="D128" t="s">
        <v>335</v>
      </c>
    </row>
    <row r="129" spans="1:5" x14ac:dyDescent="0.35">
      <c r="A129" t="s">
        <v>1177</v>
      </c>
      <c r="B129" t="s">
        <v>786</v>
      </c>
      <c r="C129" t="s">
        <v>1169</v>
      </c>
      <c r="D129" t="s">
        <v>335</v>
      </c>
      <c r="E129" t="s">
        <v>1178</v>
      </c>
    </row>
    <row r="132" spans="1:5" x14ac:dyDescent="0.35">
      <c r="A132" t="s">
        <v>868</v>
      </c>
    </row>
    <row r="133" spans="1:5" ht="18.5" customHeight="1" x14ac:dyDescent="0.45">
      <c r="A133" s="15" t="s">
        <v>1179</v>
      </c>
    </row>
    <row r="134" spans="1:5" x14ac:dyDescent="0.35">
      <c r="A134" t="s">
        <v>1180</v>
      </c>
    </row>
    <row r="136" spans="1:5" x14ac:dyDescent="0.35">
      <c r="A136" t="s">
        <v>1181</v>
      </c>
    </row>
    <row r="138" spans="1:5" x14ac:dyDescent="0.35">
      <c r="A138" t="s">
        <v>1182</v>
      </c>
    </row>
    <row r="139" spans="1:5" x14ac:dyDescent="0.35">
      <c r="A139" t="s">
        <v>1183</v>
      </c>
    </row>
    <row r="140" spans="1:5" x14ac:dyDescent="0.35">
      <c r="A140" t="s">
        <v>1184</v>
      </c>
    </row>
    <row r="141" spans="1:5" x14ac:dyDescent="0.35">
      <c r="A141" t="s">
        <v>1185</v>
      </c>
    </row>
    <row r="142" spans="1:5" x14ac:dyDescent="0.35">
      <c r="A142" t="s">
        <v>1186</v>
      </c>
    </row>
    <row r="144" spans="1:5" x14ac:dyDescent="0.35">
      <c r="A144" t="s">
        <v>1187</v>
      </c>
    </row>
    <row r="145" spans="1:1" x14ac:dyDescent="0.35">
      <c r="A145" t="s">
        <v>1188</v>
      </c>
    </row>
    <row r="146" spans="1:1" x14ac:dyDescent="0.35">
      <c r="A146" t="s">
        <v>1189</v>
      </c>
    </row>
    <row r="147" spans="1:1" x14ac:dyDescent="0.35">
      <c r="A147" t="s">
        <v>1190</v>
      </c>
    </row>
    <row r="148" spans="1:1" x14ac:dyDescent="0.35">
      <c r="A148" t="s">
        <v>1191</v>
      </c>
    </row>
    <row r="149" spans="1:1" x14ac:dyDescent="0.35">
      <c r="A149" t="s">
        <v>1192</v>
      </c>
    </row>
    <row r="151" spans="1:1" x14ac:dyDescent="0.35">
      <c r="A151" t="s">
        <v>1193</v>
      </c>
    </row>
    <row r="153" spans="1:1" x14ac:dyDescent="0.35">
      <c r="A153" t="s">
        <v>1194</v>
      </c>
    </row>
    <row r="154" spans="1:1" x14ac:dyDescent="0.35">
      <c r="A154" t="s">
        <v>1195</v>
      </c>
    </row>
    <row r="155" spans="1:1" x14ac:dyDescent="0.35">
      <c r="A155" t="s">
        <v>1196</v>
      </c>
    </row>
    <row r="156" spans="1:1" x14ac:dyDescent="0.35">
      <c r="A156" t="s">
        <v>1197</v>
      </c>
    </row>
    <row r="157" spans="1:1" x14ac:dyDescent="0.35">
      <c r="A157" t="s">
        <v>1198</v>
      </c>
    </row>
    <row r="159" spans="1:1" x14ac:dyDescent="0.35">
      <c r="A159" t="s">
        <v>1199</v>
      </c>
    </row>
    <row r="161" spans="1:5" x14ac:dyDescent="0.35">
      <c r="A161" t="s">
        <v>1200</v>
      </c>
    </row>
    <row r="162" spans="1:5" x14ac:dyDescent="0.35">
      <c r="A162" t="s">
        <v>1201</v>
      </c>
    </row>
    <row r="163" spans="1:5" x14ac:dyDescent="0.35">
      <c r="A163" t="s">
        <v>1202</v>
      </c>
    </row>
    <row r="164" spans="1:5" x14ac:dyDescent="0.35">
      <c r="A164" t="s">
        <v>1203</v>
      </c>
    </row>
    <row r="165" spans="1:5" x14ac:dyDescent="0.35">
      <c r="A165" t="s">
        <v>1204</v>
      </c>
    </row>
    <row r="167" spans="1:5" x14ac:dyDescent="0.35">
      <c r="A167" t="s">
        <v>1205</v>
      </c>
    </row>
    <row r="169" spans="1:5" x14ac:dyDescent="0.35">
      <c r="A169" t="s">
        <v>1206</v>
      </c>
      <c r="B169" t="s">
        <v>1207</v>
      </c>
      <c r="C169" t="s">
        <v>273</v>
      </c>
      <c r="D169" t="s">
        <v>1208</v>
      </c>
      <c r="E169" t="s">
        <v>1209</v>
      </c>
    </row>
    <row r="170" spans="1:5" x14ac:dyDescent="0.35">
      <c r="A170" t="s">
        <v>1210</v>
      </c>
      <c r="B170" t="s">
        <v>1211</v>
      </c>
      <c r="C170" t="s">
        <v>293</v>
      </c>
      <c r="D170">
        <v>-15000</v>
      </c>
      <c r="E170">
        <v>-25000</v>
      </c>
    </row>
    <row r="171" spans="1:5" x14ac:dyDescent="0.35">
      <c r="A171" t="s">
        <v>1212</v>
      </c>
      <c r="B171" t="s">
        <v>1213</v>
      </c>
      <c r="C171" t="s">
        <v>293</v>
      </c>
      <c r="D171">
        <v>-8000</v>
      </c>
    </row>
    <row r="173" spans="1:5" x14ac:dyDescent="0.35">
      <c r="A173" t="s">
        <v>1214</v>
      </c>
      <c r="D173">
        <v>-23000</v>
      </c>
      <c r="E173">
        <v>-25000</v>
      </c>
    </row>
    <row r="175" spans="1:5" x14ac:dyDescent="0.35">
      <c r="A175" t="s">
        <v>1215</v>
      </c>
    </row>
    <row r="177" spans="1:5" x14ac:dyDescent="0.35">
      <c r="A177" t="s">
        <v>1216</v>
      </c>
      <c r="B177" t="s">
        <v>1217</v>
      </c>
      <c r="C177" t="s">
        <v>1218</v>
      </c>
      <c r="D177" t="s">
        <v>1219</v>
      </c>
      <c r="E177" t="s">
        <v>1220</v>
      </c>
    </row>
    <row r="178" spans="1:5" x14ac:dyDescent="0.35">
      <c r="A178" t="s">
        <v>1221</v>
      </c>
      <c r="B178">
        <v>5000</v>
      </c>
      <c r="C178">
        <v>-10000</v>
      </c>
      <c r="D178">
        <v>-5000</v>
      </c>
    </row>
    <row r="179" spans="1:5" x14ac:dyDescent="0.35">
      <c r="A179" t="s">
        <v>1222</v>
      </c>
      <c r="B179">
        <v>-8000</v>
      </c>
      <c r="C179">
        <v>-15000</v>
      </c>
      <c r="D179">
        <v>-23000</v>
      </c>
    </row>
    <row r="181" spans="1:5" x14ac:dyDescent="0.35">
      <c r="A181" t="s">
        <v>1223</v>
      </c>
    </row>
    <row r="182" spans="1:5" x14ac:dyDescent="0.35">
      <c r="A182" t="s">
        <v>1224</v>
      </c>
    </row>
    <row r="183" spans="1:5" x14ac:dyDescent="0.35">
      <c r="A183" t="s">
        <v>1225</v>
      </c>
    </row>
    <row r="185" spans="1:5" x14ac:dyDescent="0.35">
      <c r="A185" t="s">
        <v>1226</v>
      </c>
    </row>
    <row r="187" spans="1:5" x14ac:dyDescent="0.35">
      <c r="A187" t="s">
        <v>265</v>
      </c>
      <c r="B187" t="s">
        <v>1227</v>
      </c>
      <c r="C187" t="s">
        <v>1228</v>
      </c>
      <c r="D187" t="s">
        <v>1229</v>
      </c>
      <c r="E187" t="s">
        <v>1230</v>
      </c>
    </row>
    <row r="188" spans="1:5" x14ac:dyDescent="0.35">
      <c r="A188">
        <v>2023</v>
      </c>
      <c r="C188">
        <v>-50000</v>
      </c>
      <c r="D188">
        <v>-50000</v>
      </c>
      <c r="E188">
        <v>100000</v>
      </c>
    </row>
    <row r="189" spans="1:5" x14ac:dyDescent="0.35">
      <c r="A189">
        <v>2024</v>
      </c>
      <c r="B189">
        <v>-20000</v>
      </c>
      <c r="D189">
        <v>-20000</v>
      </c>
      <c r="E189">
        <v>75000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00000"/>
  </sheetPr>
  <dimension ref="A1:G77"/>
  <sheetViews>
    <sheetView workbookViewId="0"/>
  </sheetViews>
  <sheetFormatPr defaultRowHeight="14.5" x14ac:dyDescent="0.35"/>
  <sheetData>
    <row r="1" spans="1:7" ht="15.5" customHeight="1" x14ac:dyDescent="0.35">
      <c r="A1" s="29" t="s">
        <v>1231</v>
      </c>
      <c r="B1" s="29"/>
      <c r="C1" s="29"/>
      <c r="D1" s="29"/>
      <c r="E1" s="29"/>
      <c r="F1" s="29"/>
      <c r="G1" s="29"/>
    </row>
    <row r="2" spans="1:7" x14ac:dyDescent="0.35">
      <c r="A2" t="s">
        <v>1232</v>
      </c>
    </row>
    <row r="4" spans="1:7" x14ac:dyDescent="0.35">
      <c r="A4" t="s">
        <v>1233</v>
      </c>
      <c r="E4" t="s">
        <v>1234</v>
      </c>
    </row>
    <row r="5" spans="1:7" x14ac:dyDescent="0.35">
      <c r="A5" t="s">
        <v>11</v>
      </c>
      <c r="B5" t="s">
        <v>6</v>
      </c>
      <c r="C5" t="s">
        <v>8</v>
      </c>
      <c r="E5" t="s">
        <v>598</v>
      </c>
      <c r="F5" t="s">
        <v>1235</v>
      </c>
      <c r="G5" t="s">
        <v>1236</v>
      </c>
    </row>
    <row r="6" spans="1:7" x14ac:dyDescent="0.35">
      <c r="A6" t="s">
        <v>1237</v>
      </c>
      <c r="B6">
        <f t="array" aca="1" ref="B6" ca="1">INDIRECT("Y"&amp;Active_Year&amp;"!J28")</f>
        <v>0</v>
      </c>
      <c r="C6" t="s">
        <v>1238</v>
      </c>
      <c r="E6" t="s">
        <v>1239</v>
      </c>
      <c r="F6">
        <f ca="1">IF(B6&gt;=0, 0, B6)</f>
        <v>0</v>
      </c>
      <c r="G6" t="s">
        <v>1240</v>
      </c>
    </row>
    <row r="7" spans="1:7" x14ac:dyDescent="0.35">
      <c r="A7" t="s">
        <v>1241</v>
      </c>
      <c r="B7">
        <f t="array" aca="1" ref="B7" ca="1">INDIRECT("Y"&amp;Active_Year&amp;"!J31")+INDIRECT("Y"&amp;Active_Year&amp;"!J32")</f>
        <v>25000</v>
      </c>
      <c r="C7" t="s">
        <v>1242</v>
      </c>
      <c r="E7" t="s">
        <v>1243</v>
      </c>
      <c r="F7">
        <f ca="1">IF(B7&gt;=0, 0, MAX(B7, -3000))</f>
        <v>0</v>
      </c>
      <c r="G7" t="s">
        <v>1244</v>
      </c>
    </row>
    <row r="8" spans="1:7" x14ac:dyDescent="0.35">
      <c r="A8" t="s">
        <v>1245</v>
      </c>
      <c r="B8">
        <f t="array" aca="1" ref="B8" ca="1">INDIRECT("Y"&amp;Active_Year&amp;"!J26")+INDIRECT("Y"&amp;Active_Year&amp;"!J27")</f>
        <v>200000</v>
      </c>
      <c r="C8" t="s">
        <v>1246</v>
      </c>
      <c r="E8" t="s">
        <v>1247</v>
      </c>
      <c r="F8">
        <f ca="1">MAX(0, B7)</f>
        <v>25000</v>
      </c>
      <c r="G8" t="s">
        <v>1248</v>
      </c>
    </row>
    <row r="9" spans="1:7" x14ac:dyDescent="0.35">
      <c r="A9" t="s">
        <v>1249</v>
      </c>
      <c r="B9">
        <f t="array" aca="1" ref="B9" ca="1">IFERROR(INDIRECT("Y"&amp;(Active_Year-1)&amp;"!N18"),0)</f>
        <v>0</v>
      </c>
      <c r="C9" t="s">
        <v>1250</v>
      </c>
      <c r="E9" t="s">
        <v>1251</v>
      </c>
      <c r="F9">
        <f>IF(B27&gt;0, MIN(B27, B9*0.8), 0)</f>
        <v>0</v>
      </c>
      <c r="G9" t="s">
        <v>1252</v>
      </c>
    </row>
    <row r="11" spans="1:7" x14ac:dyDescent="0.35">
      <c r="A11" t="s">
        <v>1253</v>
      </c>
    </row>
    <row r="12" spans="1:7" x14ac:dyDescent="0.35">
      <c r="A12" t="s">
        <v>1254</v>
      </c>
      <c r="B12">
        <f ca="1">F6+F7+F9</f>
        <v>0</v>
      </c>
      <c r="C12" t="s">
        <v>1255</v>
      </c>
    </row>
    <row r="13" spans="1:7" x14ac:dyDescent="0.35">
      <c r="A13" t="s">
        <v>1256</v>
      </c>
      <c r="B13">
        <f ca="1">F8</f>
        <v>25000</v>
      </c>
      <c r="C13" t="s">
        <v>1257</v>
      </c>
    </row>
    <row r="15" spans="1:7" x14ac:dyDescent="0.35">
      <c r="A15" t="s">
        <v>1258</v>
      </c>
    </row>
    <row r="17" spans="1:4" x14ac:dyDescent="0.35">
      <c r="A17" t="s">
        <v>1259</v>
      </c>
    </row>
    <row r="18" spans="1:4" x14ac:dyDescent="0.35">
      <c r="A18" t="s">
        <v>1260</v>
      </c>
    </row>
    <row r="20" spans="1:4" x14ac:dyDescent="0.35">
      <c r="A20" t="s">
        <v>1261</v>
      </c>
    </row>
    <row r="21" spans="1:4" x14ac:dyDescent="0.35">
      <c r="A21" t="s">
        <v>1262</v>
      </c>
    </row>
    <row r="23" spans="1:4" x14ac:dyDescent="0.35">
      <c r="A23" t="s">
        <v>1263</v>
      </c>
      <c r="B23" t="s">
        <v>6</v>
      </c>
      <c r="C23" t="s">
        <v>1264</v>
      </c>
      <c r="D23" t="s">
        <v>8</v>
      </c>
    </row>
    <row r="24" spans="1:4" x14ac:dyDescent="0.35">
      <c r="A24" t="s">
        <v>1265</v>
      </c>
      <c r="B24">
        <v>0</v>
      </c>
      <c r="D24" t="s">
        <v>1266</v>
      </c>
    </row>
    <row r="25" spans="1:4" x14ac:dyDescent="0.35">
      <c r="A25" t="s">
        <v>1267</v>
      </c>
      <c r="B25">
        <v>0</v>
      </c>
      <c r="D25" t="s">
        <v>1268</v>
      </c>
    </row>
    <row r="26" spans="1:4" x14ac:dyDescent="0.35">
      <c r="A26" t="s">
        <v>1269</v>
      </c>
      <c r="B26">
        <v>0</v>
      </c>
      <c r="D26" t="s">
        <v>1270</v>
      </c>
    </row>
    <row r="27" spans="1:4" x14ac:dyDescent="0.35">
      <c r="A27" t="s">
        <v>1271</v>
      </c>
      <c r="B27">
        <v>0</v>
      </c>
      <c r="D27" t="s">
        <v>1272</v>
      </c>
    </row>
    <row r="28" spans="1:4" x14ac:dyDescent="0.35">
      <c r="A28" t="s">
        <v>1273</v>
      </c>
      <c r="B28">
        <v>0</v>
      </c>
      <c r="D28" t="s">
        <v>1274</v>
      </c>
    </row>
    <row r="29" spans="1:4" x14ac:dyDescent="0.35">
      <c r="A29" t="s">
        <v>1275</v>
      </c>
      <c r="B29">
        <v>0</v>
      </c>
      <c r="D29" t="s">
        <v>1276</v>
      </c>
    </row>
    <row r="30" spans="1:4" x14ac:dyDescent="0.35">
      <c r="A30" t="s">
        <v>1277</v>
      </c>
      <c r="B30">
        <f>SUM(B24:B29)</f>
        <v>0</v>
      </c>
    </row>
    <row r="32" spans="1:4" x14ac:dyDescent="0.35">
      <c r="A32" t="s">
        <v>1278</v>
      </c>
    </row>
    <row r="33" spans="1:7" x14ac:dyDescent="0.35">
      <c r="A33" t="s">
        <v>11</v>
      </c>
      <c r="B33" t="s">
        <v>1279</v>
      </c>
      <c r="C33" t="s">
        <v>1280</v>
      </c>
      <c r="D33" t="s">
        <v>1281</v>
      </c>
      <c r="E33" t="s">
        <v>1282</v>
      </c>
      <c r="F33" t="s">
        <v>1283</v>
      </c>
      <c r="G33" t="s">
        <v>8</v>
      </c>
    </row>
    <row r="34" spans="1:7" x14ac:dyDescent="0.35">
      <c r="A34" t="s">
        <v>1284</v>
      </c>
      <c r="B34">
        <v>0</v>
      </c>
      <c r="D34">
        <f>B34</f>
        <v>0</v>
      </c>
      <c r="G34" t="s">
        <v>1285</v>
      </c>
    </row>
    <row r="35" spans="1:7" x14ac:dyDescent="0.35">
      <c r="A35" t="s">
        <v>1286</v>
      </c>
      <c r="C35">
        <v>0</v>
      </c>
      <c r="D35">
        <f>C35</f>
        <v>0</v>
      </c>
      <c r="G35" t="s">
        <v>1285</v>
      </c>
    </row>
    <row r="36" spans="1:7" x14ac:dyDescent="0.35">
      <c r="A36" t="s">
        <v>1287</v>
      </c>
      <c r="B36" s="12">
        <f ca="1">MIN(0, INDIRECT("Y"&amp;Active_Year&amp;"!J32"))</f>
        <v>0</v>
      </c>
      <c r="C36" s="12">
        <f ca="1">MIN(0, INDIRECT("Y"&amp;Active_Year&amp;"!J31"))</f>
        <v>0</v>
      </c>
      <c r="D36" s="12">
        <f ca="1">B36+C36</f>
        <v>0</v>
      </c>
      <c r="G36" t="s">
        <v>1288</v>
      </c>
    </row>
    <row r="37" spans="1:7" x14ac:dyDescent="0.35">
      <c r="A37" t="s">
        <v>1289</v>
      </c>
      <c r="B37" s="12">
        <f ca="1">B34+B36</f>
        <v>0</v>
      </c>
      <c r="C37" s="12">
        <f ca="1">C35+C36</f>
        <v>0</v>
      </c>
      <c r="D37" s="12">
        <f ca="1">B37+C37</f>
        <v>0</v>
      </c>
      <c r="G37" t="s">
        <v>1290</v>
      </c>
    </row>
    <row r="38" spans="1:7" x14ac:dyDescent="0.35">
      <c r="A38" t="s">
        <v>1291</v>
      </c>
      <c r="E38">
        <v>-3000</v>
      </c>
      <c r="G38" t="s">
        <v>1292</v>
      </c>
    </row>
    <row r="39" spans="1:7" x14ac:dyDescent="0.35">
      <c r="A39" t="s">
        <v>1293</v>
      </c>
      <c r="F39" s="12">
        <f ca="1">IF(D37&gt;=0, 0, MAX(D37, -3000))</f>
        <v>0</v>
      </c>
      <c r="G39" t="s">
        <v>1294</v>
      </c>
    </row>
    <row r="40" spans="1:7" x14ac:dyDescent="0.35">
      <c r="A40" t="s">
        <v>1295</v>
      </c>
      <c r="B40" s="12">
        <f ca="1">IF(B37&lt;0, B37-F39, 0)</f>
        <v>0</v>
      </c>
      <c r="G40" t="s">
        <v>1296</v>
      </c>
    </row>
    <row r="41" spans="1:7" x14ac:dyDescent="0.35">
      <c r="A41" t="s">
        <v>1297</v>
      </c>
      <c r="C41" s="12">
        <f ca="1">IF(C37&lt;0, C37, 0)</f>
        <v>0</v>
      </c>
      <c r="G41" t="s">
        <v>1298</v>
      </c>
    </row>
    <row r="43" spans="1:7" x14ac:dyDescent="0.35">
      <c r="A43" t="s">
        <v>1299</v>
      </c>
    </row>
    <row r="44" spans="1:7" x14ac:dyDescent="0.35">
      <c r="A44" t="s">
        <v>11</v>
      </c>
      <c r="B44" t="s">
        <v>1300</v>
      </c>
      <c r="C44" t="s">
        <v>1301</v>
      </c>
      <c r="D44" t="s">
        <v>1281</v>
      </c>
      <c r="E44" t="s">
        <v>1282</v>
      </c>
      <c r="F44" t="s">
        <v>1283</v>
      </c>
      <c r="G44" t="s">
        <v>8</v>
      </c>
    </row>
    <row r="45" spans="1:7" x14ac:dyDescent="0.35">
      <c r="A45" t="s">
        <v>1302</v>
      </c>
      <c r="B45">
        <v>0</v>
      </c>
      <c r="G45" t="s">
        <v>1303</v>
      </c>
    </row>
    <row r="46" spans="1:7" x14ac:dyDescent="0.35">
      <c r="A46" t="s">
        <v>1304</v>
      </c>
      <c r="C46">
        <v>0</v>
      </c>
      <c r="G46" t="s">
        <v>1305</v>
      </c>
    </row>
    <row r="47" spans="1:7" x14ac:dyDescent="0.35">
      <c r="A47" t="s">
        <v>1306</v>
      </c>
      <c r="D47">
        <f>B45+C46</f>
        <v>0</v>
      </c>
    </row>
    <row r="48" spans="1:7" x14ac:dyDescent="0.35">
      <c r="A48" t="s">
        <v>1307</v>
      </c>
      <c r="D48" s="12">
        <f t="array" aca="1" ref="D48" ca="1">INDIRECT("Y"&amp;Active_Year&amp;"!N18")</f>
        <v>-80550</v>
      </c>
      <c r="G48" t="s">
        <v>1308</v>
      </c>
    </row>
    <row r="49" spans="1:7" x14ac:dyDescent="0.35">
      <c r="A49" t="s">
        <v>1309</v>
      </c>
      <c r="E49" s="12">
        <f>IF(C46&gt;0, D48*0.8, 0)</f>
        <v>0</v>
      </c>
      <c r="G49" t="s">
        <v>1310</v>
      </c>
    </row>
    <row r="50" spans="1:7" x14ac:dyDescent="0.35">
      <c r="A50" t="s">
        <v>1311</v>
      </c>
      <c r="F50" s="12">
        <f ca="1">MIN(B45, MAX(0, D48))</f>
        <v>0</v>
      </c>
      <c r="G50" t="s">
        <v>1312</v>
      </c>
    </row>
    <row r="51" spans="1:7" x14ac:dyDescent="0.35">
      <c r="A51" t="s">
        <v>1313</v>
      </c>
      <c r="F51" s="12">
        <f>MIN(C46, MAX(0, E49))</f>
        <v>0</v>
      </c>
      <c r="G51" t="s">
        <v>1314</v>
      </c>
    </row>
    <row r="52" spans="1:7" x14ac:dyDescent="0.35">
      <c r="A52" t="s">
        <v>1315</v>
      </c>
      <c r="F52" s="12">
        <f ca="1">F50+F51</f>
        <v>0</v>
      </c>
    </row>
    <row r="53" spans="1:7" x14ac:dyDescent="0.35">
      <c r="A53" t="s">
        <v>1316</v>
      </c>
      <c r="B53" s="12">
        <f ca="1">MAX(0, B45-F50)</f>
        <v>0</v>
      </c>
      <c r="C53" s="12">
        <f>MAX(0, C46-F51)</f>
        <v>0</v>
      </c>
      <c r="D53" s="12">
        <f ca="1">B53+C53</f>
        <v>0</v>
      </c>
      <c r="G53" t="s">
        <v>1317</v>
      </c>
    </row>
    <row r="55" spans="1:7" x14ac:dyDescent="0.35">
      <c r="A55" t="s">
        <v>1318</v>
      </c>
    </row>
    <row r="56" spans="1:7" x14ac:dyDescent="0.35">
      <c r="A56" t="s">
        <v>11</v>
      </c>
      <c r="B56" t="s">
        <v>1319</v>
      </c>
      <c r="C56" t="s">
        <v>1320</v>
      </c>
      <c r="D56" t="s">
        <v>1281</v>
      </c>
      <c r="E56" t="s">
        <v>1282</v>
      </c>
      <c r="F56" t="s">
        <v>1235</v>
      </c>
      <c r="G56" t="s">
        <v>8</v>
      </c>
    </row>
    <row r="57" spans="1:7" x14ac:dyDescent="0.35">
      <c r="A57" t="s">
        <v>1321</v>
      </c>
      <c r="B57">
        <v>0</v>
      </c>
      <c r="G57" t="s">
        <v>1322</v>
      </c>
    </row>
    <row r="58" spans="1:7" x14ac:dyDescent="0.35">
      <c r="A58" t="s">
        <v>1323</v>
      </c>
      <c r="C58">
        <v>0</v>
      </c>
      <c r="G58" t="s">
        <v>1324</v>
      </c>
    </row>
    <row r="59" spans="1:7" x14ac:dyDescent="0.35">
      <c r="A59" t="s">
        <v>1325</v>
      </c>
      <c r="B59" s="12">
        <f t="array" aca="1" ref="B59" ca="1">INDIRECT("Y"&amp;Active_Year&amp;"!J28")</f>
        <v>0</v>
      </c>
      <c r="D59" s="12">
        <f ca="1">B59+C58</f>
        <v>0</v>
      </c>
      <c r="G59" t="s">
        <v>1326</v>
      </c>
    </row>
    <row r="60" spans="1:7" x14ac:dyDescent="0.35">
      <c r="A60" t="s">
        <v>1327</v>
      </c>
      <c r="B60" s="12">
        <f ca="1">B57+B59</f>
        <v>0</v>
      </c>
      <c r="C60">
        <f>C58</f>
        <v>0</v>
      </c>
      <c r="D60" s="12">
        <f ca="1">B60+C60</f>
        <v>0</v>
      </c>
      <c r="G60" t="s">
        <v>1328</v>
      </c>
    </row>
    <row r="61" spans="1:7" x14ac:dyDescent="0.35">
      <c r="A61" t="s">
        <v>1329</v>
      </c>
      <c r="D61" s="12">
        <f t="array" aca="1" ref="D61" ca="1">INDIRECT("Y"&amp;Active_Year&amp;"!N15")</f>
        <v>-95550</v>
      </c>
      <c r="G61" t="s">
        <v>1330</v>
      </c>
    </row>
    <row r="62" spans="1:7" x14ac:dyDescent="0.35">
      <c r="A62" t="s">
        <v>1331</v>
      </c>
      <c r="E62" s="12">
        <f ca="1">MAX(0, 25000-MAX(0,(D61-100000)*0.5))</f>
        <v>25000</v>
      </c>
      <c r="G62" t="s">
        <v>1332</v>
      </c>
    </row>
    <row r="63" spans="1:7" x14ac:dyDescent="0.35">
      <c r="A63" t="s">
        <v>1333</v>
      </c>
      <c r="F63" s="12">
        <f ca="1">IF(B60&lt;0, MAX(B60, -E62), 0)</f>
        <v>0</v>
      </c>
      <c r="G63" t="s">
        <v>1334</v>
      </c>
    </row>
    <row r="64" spans="1:7" x14ac:dyDescent="0.35">
      <c r="A64" t="s">
        <v>1335</v>
      </c>
      <c r="F64">
        <f>IF(C60&lt;0, MAX(C60, 0), 0)</f>
        <v>0</v>
      </c>
      <c r="G64" t="s">
        <v>1336</v>
      </c>
    </row>
    <row r="65" spans="1:7" x14ac:dyDescent="0.35">
      <c r="A65" t="s">
        <v>1337</v>
      </c>
      <c r="F65" s="12">
        <f ca="1">F63+F64</f>
        <v>0</v>
      </c>
    </row>
    <row r="66" spans="1:7" x14ac:dyDescent="0.35">
      <c r="A66" t="s">
        <v>1338</v>
      </c>
      <c r="B66" s="12">
        <f ca="1">MIN(0, B60-F63)</f>
        <v>0</v>
      </c>
      <c r="G66" t="s">
        <v>1339</v>
      </c>
    </row>
    <row r="67" spans="1:7" x14ac:dyDescent="0.35">
      <c r="A67" t="s">
        <v>1340</v>
      </c>
      <c r="C67">
        <f>MIN(0, C60-F64)</f>
        <v>0</v>
      </c>
    </row>
    <row r="69" spans="1:7" x14ac:dyDescent="0.35">
      <c r="A69" t="s">
        <v>1341</v>
      </c>
    </row>
    <row r="71" spans="1:7" x14ac:dyDescent="0.35">
      <c r="A71" t="s">
        <v>1291</v>
      </c>
      <c r="B71" t="s">
        <v>1342</v>
      </c>
    </row>
    <row r="72" spans="1:7" x14ac:dyDescent="0.35">
      <c r="A72" t="s">
        <v>1343</v>
      </c>
      <c r="B72" t="s">
        <v>1344</v>
      </c>
    </row>
    <row r="73" spans="1:7" x14ac:dyDescent="0.35">
      <c r="A73" t="s">
        <v>1345</v>
      </c>
      <c r="B73" t="s">
        <v>1346</v>
      </c>
    </row>
    <row r="74" spans="1:7" x14ac:dyDescent="0.35">
      <c r="A74" t="s">
        <v>1347</v>
      </c>
      <c r="B74" t="s">
        <v>1348</v>
      </c>
    </row>
    <row r="75" spans="1:7" x14ac:dyDescent="0.35">
      <c r="A75" t="s">
        <v>1349</v>
      </c>
      <c r="B75" t="s">
        <v>1350</v>
      </c>
    </row>
    <row r="76" spans="1:7" x14ac:dyDescent="0.35">
      <c r="A76" t="s">
        <v>1351</v>
      </c>
      <c r="B76" t="s">
        <v>1352</v>
      </c>
    </row>
    <row r="77" spans="1:7" x14ac:dyDescent="0.35">
      <c r="A77" t="s">
        <v>1353</v>
      </c>
      <c r="B77" t="s">
        <v>1354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00000"/>
  </sheetPr>
  <dimension ref="B1:I69"/>
  <sheetViews>
    <sheetView workbookViewId="0"/>
  </sheetViews>
  <sheetFormatPr defaultRowHeight="14.5" x14ac:dyDescent="0.35"/>
  <sheetData>
    <row r="1" spans="2:9" ht="15.5" customHeight="1" x14ac:dyDescent="0.35">
      <c r="B1" s="29" t="s">
        <v>1355</v>
      </c>
      <c r="C1" s="29"/>
      <c r="D1" s="29"/>
      <c r="E1" s="29"/>
      <c r="F1" s="29"/>
      <c r="G1" s="29"/>
      <c r="H1" s="29"/>
      <c r="I1" s="29"/>
    </row>
    <row r="2" spans="2:9" x14ac:dyDescent="0.35">
      <c r="B2" t="s">
        <v>1356</v>
      </c>
    </row>
    <row r="3" spans="2:9" x14ac:dyDescent="0.35">
      <c r="B3" t="s">
        <v>1357</v>
      </c>
      <c r="C3" t="s">
        <v>1358</v>
      </c>
      <c r="D3" t="s">
        <v>1359</v>
      </c>
      <c r="E3" t="s">
        <v>1360</v>
      </c>
      <c r="F3" t="s">
        <v>1361</v>
      </c>
      <c r="G3" t="s">
        <v>1362</v>
      </c>
      <c r="H3" t="s">
        <v>1363</v>
      </c>
      <c r="I3" t="s">
        <v>1364</v>
      </c>
    </row>
    <row r="4" spans="2:9" x14ac:dyDescent="0.35">
      <c r="B4">
        <v>1</v>
      </c>
      <c r="C4" t="s">
        <v>1365</v>
      </c>
      <c r="D4" t="s">
        <v>1366</v>
      </c>
      <c r="E4" t="str">
        <f t="array" aca="1" ref="E4" ca="1">IF(OrdIncome&gt;=191950,"≥32% bracket",IF(OrdIncome&gt;=100525,"24% bracket",IF(OrdIncome&gt;=47150,"22% bracket",IF(OrdIncome&gt;0,"&lt;22% bracket","No income"))))</f>
        <v>≥32% bracket</v>
      </c>
      <c r="F4" t="s">
        <v>1150</v>
      </c>
      <c r="G4" t="s">
        <v>1367</v>
      </c>
    </row>
    <row r="5" spans="2:9" x14ac:dyDescent="0.35">
      <c r="B5">
        <v>2</v>
      </c>
      <c r="C5" t="s">
        <v>1365</v>
      </c>
      <c r="D5" t="s">
        <v>1368</v>
      </c>
      <c r="E5" t="str">
        <f t="array" aca="1" ref="E5" ca="1">IF(IFERROR(INDIRECT("Y"&amp;Active_Year&amp;"!I130"),0)&gt;0.15,TEXT(INDIRECT("Y"&amp;Active_Year&amp;"!I130"),"0.0%")&amp;" — above 15%",TEXT(IFERROR(INDIRECT("Y"&amp;Active_Year&amp;"!I130"),0),"0.0%")&amp;" effective rate")</f>
        <v>NIIT — above 15%</v>
      </c>
      <c r="F5" t="s">
        <v>1150</v>
      </c>
      <c r="G5" t="s">
        <v>1369</v>
      </c>
    </row>
    <row r="6" spans="2:9" x14ac:dyDescent="0.35">
      <c r="B6">
        <v>3</v>
      </c>
      <c r="C6" t="s">
        <v>474</v>
      </c>
      <c r="D6" t="s">
        <v>1370</v>
      </c>
      <c r="E6" t="str">
        <f t="array" aca="1" ref="E6" ca="1">IF(QBI_Income&gt;0, IF(QBI_Deduction&lt;&gt;0, "QBI Deduction: "&amp;TEXT(QBI_Deduction,"$#,##0"), "⚠️ QBI eligible but $0 deduction"), "No QBI-eligible income")</f>
        <v>⚠️ QBI eligible but $0 deduction</v>
      </c>
      <c r="F6" t="s">
        <v>786</v>
      </c>
      <c r="G6" t="s">
        <v>1371</v>
      </c>
    </row>
    <row r="7" spans="2:9" x14ac:dyDescent="0.35">
      <c r="B7">
        <v>4</v>
      </c>
      <c r="C7" t="s">
        <v>1372</v>
      </c>
      <c r="D7" t="s">
        <v>1373</v>
      </c>
      <c r="E7" t="str">
        <f t="array" aca="1" ref="E7" ca="1">IF(AND(AGI&gt;250000,StdItemDed&lt;0),"High income + itemized — AMT risk","Low AMT risk")</f>
        <v>Low AMT risk</v>
      </c>
      <c r="F7" t="s">
        <v>1150</v>
      </c>
      <c r="G7" t="s">
        <v>1374</v>
      </c>
    </row>
    <row r="8" spans="2:9" x14ac:dyDescent="0.35">
      <c r="B8">
        <v>5</v>
      </c>
      <c r="C8" t="s">
        <v>480</v>
      </c>
      <c r="D8" t="s">
        <v>1375</v>
      </c>
      <c r="E8" t="str">
        <f t="array" aca="1" ref="E8" ca="1">IF(BI_SE_SUBJECT&gt;0,"SE income: "&amp;TEXT(BI_SE_SUBJECT,"$#,##0")&amp;" — S-Corp candidate?",IF(BI_SE_SUBJECT&lt;0,"SE loss: "&amp;TEXT(BI_SE_SUBJECT,"$#,##0"),"No SE income"))</f>
        <v>No SE income</v>
      </c>
      <c r="F8" t="s">
        <v>1150</v>
      </c>
      <c r="G8" t="s">
        <v>1376</v>
      </c>
    </row>
    <row r="9" spans="2:9" x14ac:dyDescent="0.35">
      <c r="B9">
        <v>6</v>
      </c>
      <c r="C9" t="s">
        <v>1377</v>
      </c>
      <c r="D9" t="s">
        <v>1378</v>
      </c>
      <c r="E9" t="str">
        <f t="array" aca="1" ref="E9" ca="1">IF(BI_SE_SUBJECT+BI_ACTIVE_NONSE+BI_PASSIVE&lt;&gt;0, "Business income detected", "No business income")</f>
        <v>Business income detected</v>
      </c>
      <c r="F9" t="s">
        <v>1379</v>
      </c>
      <c r="G9" t="s">
        <v>1380</v>
      </c>
    </row>
    <row r="10" spans="2:9" x14ac:dyDescent="0.35">
      <c r="B10">
        <v>7</v>
      </c>
      <c r="C10" t="s">
        <v>1381</v>
      </c>
      <c r="D10" t="s">
        <v>1382</v>
      </c>
      <c r="E10" t="str">
        <f t="array" aca="1" ref="E10" ca="1">IF(BI_SE_SUBJECT&gt;0, "SE income: "&amp;TEXT(BI_SE_SUBJECT,"$#,##0")&amp;" — S-Corp candidate", "No SE income")</f>
        <v>No SE income</v>
      </c>
      <c r="F10" t="s">
        <v>786</v>
      </c>
      <c r="G10" t="s">
        <v>1383</v>
      </c>
    </row>
    <row r="11" spans="2:9" x14ac:dyDescent="0.35">
      <c r="B11">
        <v>8</v>
      </c>
      <c r="C11" t="s">
        <v>1384</v>
      </c>
      <c r="D11" t="s">
        <v>1385</v>
      </c>
      <c r="E11" t="str">
        <f t="array" aca="1" ref="E11" ca="1">IF(BI_PASSIVE&lt;0, "Passive loss: "&amp;TEXT(BI_PASSIVE,"$#,##0"), "No passive losses")</f>
        <v>No passive losses</v>
      </c>
      <c r="F11" t="s">
        <v>786</v>
      </c>
      <c r="G11" t="s">
        <v>1386</v>
      </c>
    </row>
    <row r="12" spans="2:9" x14ac:dyDescent="0.35">
      <c r="B12">
        <v>9</v>
      </c>
      <c r="C12" t="s">
        <v>1387</v>
      </c>
      <c r="D12" t="s">
        <v>1388</v>
      </c>
      <c r="E12" t="str">
        <f t="array" aca="1" ref="E12" ca="1">IF(BI_PASSIVE&lt;&gt;0, "Passive activity: "&amp;TEXT(BI_PASSIVE,"$#,##0"), "No passive activity")</f>
        <v>No passive activity</v>
      </c>
      <c r="F12" t="s">
        <v>786</v>
      </c>
      <c r="G12" t="s">
        <v>1389</v>
      </c>
    </row>
    <row r="13" spans="2:9" x14ac:dyDescent="0.35">
      <c r="B13">
        <v>10</v>
      </c>
      <c r="C13" t="s">
        <v>1390</v>
      </c>
      <c r="D13" t="s">
        <v>1391</v>
      </c>
      <c r="E13" t="str">
        <f t="array" aca="1" ref="E13" ca="1">IF(BI_PASSIVE&lt;&gt;0, "Rental/passive present — evaluate cost seg", "No rental property detected")</f>
        <v>No rental property detected</v>
      </c>
      <c r="F13" t="s">
        <v>786</v>
      </c>
      <c r="G13" t="s">
        <v>1392</v>
      </c>
    </row>
    <row r="14" spans="2:9" x14ac:dyDescent="0.35">
      <c r="B14">
        <v>11</v>
      </c>
      <c r="C14" t="s">
        <v>1393</v>
      </c>
      <c r="D14" t="s">
        <v>1394</v>
      </c>
      <c r="E14" t="s">
        <v>227</v>
      </c>
      <c r="F14" t="s">
        <v>1150</v>
      </c>
      <c r="G14" t="s">
        <v>1395</v>
      </c>
    </row>
    <row r="15" spans="2:9" x14ac:dyDescent="0.35">
      <c r="B15">
        <v>12</v>
      </c>
      <c r="C15" t="s">
        <v>305</v>
      </c>
      <c r="D15" t="s">
        <v>1396</v>
      </c>
      <c r="E15" t="str">
        <f t="array" aca="1" ref="E15" ca="1">IF(CG_LT+CG_ST&gt;0,"Net gains: "&amp;TEXT(CG_LT+CG_ST,"$#,##0"),IF(CG_LT+CG_ST&lt;0,"Net losses: "&amp;TEXT(CG_LT+CG_ST,"$#,##0"),"No capital activity"))</f>
        <v>Net gains: $25,000</v>
      </c>
      <c r="F15" t="s">
        <v>1150</v>
      </c>
      <c r="G15" t="s">
        <v>1397</v>
      </c>
    </row>
    <row r="16" spans="2:9" x14ac:dyDescent="0.35">
      <c r="B16">
        <v>13</v>
      </c>
      <c r="C16" t="s">
        <v>1398</v>
      </c>
      <c r="D16" t="s">
        <v>1399</v>
      </c>
      <c r="E16" t="str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>None detected — bunching opportunity?</v>
      </c>
      <c r="F16" t="s">
        <v>1150</v>
      </c>
      <c r="G16" t="s">
        <v>1400</v>
      </c>
    </row>
    <row r="17" spans="2:7" x14ac:dyDescent="0.35">
      <c r="B17">
        <v>14</v>
      </c>
      <c r="C17" t="s">
        <v>334</v>
      </c>
      <c r="D17" t="s">
        <v>1401</v>
      </c>
      <c r="E17" t="str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>SALT: $10,000 (cap $10K)</v>
      </c>
      <c r="F17" t="s">
        <v>335</v>
      </c>
      <c r="G17" t="s">
        <v>1402</v>
      </c>
    </row>
    <row r="18" spans="2:7" x14ac:dyDescent="0.35">
      <c r="B18">
        <v>15</v>
      </c>
      <c r="C18" t="s">
        <v>1403</v>
      </c>
      <c r="D18" t="s">
        <v>1404</v>
      </c>
      <c r="E18" t="str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>No retirement/adj detected</v>
      </c>
      <c r="F18" t="s">
        <v>1405</v>
      </c>
      <c r="G18" t="s">
        <v>1406</v>
      </c>
    </row>
    <row r="19" spans="2:7" x14ac:dyDescent="0.35">
      <c r="B19">
        <v>16</v>
      </c>
      <c r="C19" t="s">
        <v>662</v>
      </c>
      <c r="D19" t="s">
        <v>1407</v>
      </c>
      <c r="E19" t="s">
        <v>1408</v>
      </c>
      <c r="F19" t="s">
        <v>1405</v>
      </c>
      <c r="G19" t="s">
        <v>1409</v>
      </c>
    </row>
    <row r="20" spans="2:7" x14ac:dyDescent="0.35">
      <c r="B20">
        <v>17</v>
      </c>
      <c r="C20" t="s">
        <v>1410</v>
      </c>
      <c r="D20" t="s">
        <v>1411</v>
      </c>
      <c r="E20" t="str">
        <f>IF(Control_Panel!C19&gt;0,Control_Panel!C19&amp;" dependents — hiring children?","No dependents")</f>
        <v>2 dependents — hiring children?</v>
      </c>
      <c r="F20" t="s">
        <v>1150</v>
      </c>
      <c r="G20" t="s">
        <v>1412</v>
      </c>
    </row>
    <row r="21" spans="2:7" x14ac:dyDescent="0.35">
      <c r="B21">
        <v>18</v>
      </c>
      <c r="C21" t="s">
        <v>906</v>
      </c>
      <c r="D21" t="s">
        <v>1413</v>
      </c>
      <c r="E21" t="str">
        <f t="array" aca="1" ref="E21" ca="1">IF(BI_SE_SUBJECT+BI_ACTIVE_NONSE&gt;0, "Business income present — Augusta eligible", "No business income")</f>
        <v>Business income present — Augusta eligible</v>
      </c>
      <c r="F21" t="s">
        <v>786</v>
      </c>
      <c r="G21" t="s">
        <v>1414</v>
      </c>
    </row>
    <row r="22" spans="2:7" x14ac:dyDescent="0.35">
      <c r="B22">
        <v>19</v>
      </c>
      <c r="C22" t="s">
        <v>58</v>
      </c>
      <c r="D22" t="s">
        <v>1415</v>
      </c>
      <c r="E22" t="str">
        <f t="array" aca="1" ref="E22" ca="1">IF(W2_OWNER&gt;0, "S-Corp owner comp: "&amp;TEXT(W2_OWNER,"$#,##0")&amp;" — accountable plan eligible", "No S-Corp owner comp")</f>
        <v>S-Corp owner comp: $100,000 — accountable plan eligible</v>
      </c>
      <c r="F22" t="s">
        <v>786</v>
      </c>
      <c r="G22" t="s">
        <v>1416</v>
      </c>
    </row>
    <row r="23" spans="2:7" x14ac:dyDescent="0.35">
      <c r="B23">
        <v>20</v>
      </c>
      <c r="C23" t="s">
        <v>201</v>
      </c>
      <c r="D23" t="s">
        <v>1417</v>
      </c>
      <c r="E23" t="str">
        <f t="array" aca="1" ref="E23" ca="1">IF(AND(MAGI&gt;250000,NII&gt;0),"⚠️ NIIT exposure: MAGI "&amp;TEXT(MAGI,"$#,##0")&amp;", NII "&amp;TEXT(NII,"$#,##0"),IF(MAGI&gt;250000,"MAGI above threshold but NII≤0","AGI "&amp;TEXT(AGI,"$#,##0")&amp;" under $250K MFJ"))</f>
        <v>⚠️ NIIT exposure: MAGI $335,500, NII $35,500</v>
      </c>
      <c r="F23" t="s">
        <v>1150</v>
      </c>
      <c r="G23" t="s">
        <v>1418</v>
      </c>
    </row>
    <row r="24" spans="2:7" x14ac:dyDescent="0.35">
      <c r="B24">
        <v>21</v>
      </c>
      <c r="C24" t="s">
        <v>705</v>
      </c>
      <c r="D24" t="s">
        <v>1419</v>
      </c>
      <c r="E24" t="s">
        <v>1150</v>
      </c>
      <c r="F24" t="s">
        <v>1150</v>
      </c>
      <c r="G24" t="s">
        <v>1420</v>
      </c>
    </row>
    <row r="25" spans="2:7" x14ac:dyDescent="0.35">
      <c r="B25">
        <v>22</v>
      </c>
      <c r="C25" t="s">
        <v>1421</v>
      </c>
      <c r="D25" t="s">
        <v>1422</v>
      </c>
      <c r="E25" t="s">
        <v>1423</v>
      </c>
      <c r="F25" t="s">
        <v>1424</v>
      </c>
      <c r="G25" t="s">
        <v>1425</v>
      </c>
    </row>
    <row r="26" spans="2:7" x14ac:dyDescent="0.35">
      <c r="B26">
        <v>23</v>
      </c>
      <c r="C26" t="s">
        <v>1426</v>
      </c>
      <c r="D26" t="s">
        <v>1427</v>
      </c>
      <c r="E26" t="s">
        <v>1428</v>
      </c>
      <c r="F26" t="s">
        <v>1424</v>
      </c>
      <c r="G26" t="s">
        <v>1429</v>
      </c>
    </row>
    <row r="27" spans="2:7" x14ac:dyDescent="0.35">
      <c r="B27">
        <v>24</v>
      </c>
      <c r="C27" t="s">
        <v>1430</v>
      </c>
      <c r="D27" t="s">
        <v>1431</v>
      </c>
      <c r="E27" t="s">
        <v>1432</v>
      </c>
      <c r="F27" t="s">
        <v>1424</v>
      </c>
      <c r="G27" t="s">
        <v>1433</v>
      </c>
    </row>
    <row r="28" spans="2:7" x14ac:dyDescent="0.35">
      <c r="B28">
        <v>25</v>
      </c>
      <c r="C28" t="s">
        <v>1434</v>
      </c>
      <c r="D28" t="s">
        <v>1435</v>
      </c>
      <c r="E28" t="str">
        <f>IF(Control_Panel!C19&gt;0,Control_Panel!C19&amp;" dependents — verify CTC claimed","No dependents — N/A")</f>
        <v>2 dependents — verify CTC claimed</v>
      </c>
      <c r="F28" t="s">
        <v>1436</v>
      </c>
      <c r="G28" t="s">
        <v>1437</v>
      </c>
    </row>
    <row r="29" spans="2:7" x14ac:dyDescent="0.35">
      <c r="B29">
        <v>26</v>
      </c>
      <c r="C29" t="s">
        <v>1438</v>
      </c>
      <c r="D29" t="s">
        <v>1439</v>
      </c>
      <c r="E29" t="str">
        <f t="array" aca="1" ref="E29" ca="1">IF(W2_OWNER&gt;0, "W-2: "&amp;TEXT(W2_OWNER,"$#,##0")&amp;" vs K-1: "&amp;TEXT(BI_ACTIVE_NONSE,"$#,##0")&amp;" ("&amp;TEXT(IFERROR(W2_OWNER/(W2_OWNER+BI_ACTIVE_NONSE),0),"0%")&amp;")", "No S-Corp owner comp")</f>
        <v>W-2: $100,000 vs K-1: $200,000 (33%)</v>
      </c>
      <c r="F29" t="s">
        <v>786</v>
      </c>
      <c r="G29" t="s">
        <v>1440</v>
      </c>
    </row>
    <row r="31" spans="2:7" x14ac:dyDescent="0.35">
      <c r="B31" t="s">
        <v>1441</v>
      </c>
    </row>
    <row r="32" spans="2:7" x14ac:dyDescent="0.35">
      <c r="B32" t="s">
        <v>1442</v>
      </c>
      <c r="C32">
        <v>2</v>
      </c>
      <c r="D32" t="s">
        <v>1443</v>
      </c>
      <c r="E32">
        <v>0</v>
      </c>
      <c r="F32" t="s">
        <v>1444</v>
      </c>
      <c r="G32">
        <v>11</v>
      </c>
    </row>
    <row r="34" spans="2:7" x14ac:dyDescent="0.35">
      <c r="B34" t="s">
        <v>1445</v>
      </c>
    </row>
    <row r="35" spans="2:7" x14ac:dyDescent="0.35">
      <c r="B35" t="s">
        <v>1446</v>
      </c>
      <c r="C35" t="s">
        <v>1403</v>
      </c>
      <c r="D35" t="s">
        <v>1404</v>
      </c>
      <c r="E35" t="s">
        <v>1447</v>
      </c>
      <c r="F35" t="s">
        <v>1405</v>
      </c>
      <c r="G35" t="s">
        <v>1406</v>
      </c>
    </row>
    <row r="36" spans="2:7" x14ac:dyDescent="0.35">
      <c r="B36" t="s">
        <v>1448</v>
      </c>
      <c r="C36" t="s">
        <v>662</v>
      </c>
      <c r="D36" t="s">
        <v>1407</v>
      </c>
      <c r="E36" t="s">
        <v>1408</v>
      </c>
      <c r="F36" t="s">
        <v>1405</v>
      </c>
      <c r="G36" t="s">
        <v>1409</v>
      </c>
    </row>
    <row r="37" spans="2:7" x14ac:dyDescent="0.35">
      <c r="B37" t="s">
        <v>1449</v>
      </c>
      <c r="C37" t="s">
        <v>1434</v>
      </c>
      <c r="D37" t="s">
        <v>1435</v>
      </c>
      <c r="E37" t="s">
        <v>1450</v>
      </c>
      <c r="F37" t="s">
        <v>1436</v>
      </c>
      <c r="G37" t="s">
        <v>1437</v>
      </c>
    </row>
    <row r="39" spans="2:7" x14ac:dyDescent="0.35">
      <c r="B39" t="s">
        <v>1451</v>
      </c>
    </row>
    <row r="40" spans="2:7" x14ac:dyDescent="0.35">
      <c r="B40" t="s">
        <v>1452</v>
      </c>
      <c r="C40" t="s">
        <v>474</v>
      </c>
      <c r="D40" t="s">
        <v>1370</v>
      </c>
      <c r="E40" t="str">
        <f ca="1">E6</f>
        <v>⚠️ QBI eligible but $0 deduction</v>
      </c>
      <c r="F40" t="s">
        <v>786</v>
      </c>
      <c r="G40" t="s">
        <v>1371</v>
      </c>
    </row>
    <row r="41" spans="2:7" x14ac:dyDescent="0.35">
      <c r="B41" t="s">
        <v>1453</v>
      </c>
      <c r="C41" t="s">
        <v>1377</v>
      </c>
      <c r="D41" t="s">
        <v>1378</v>
      </c>
      <c r="E41" t="str">
        <f ca="1">E9</f>
        <v>Business income detected</v>
      </c>
      <c r="F41" t="s">
        <v>1379</v>
      </c>
      <c r="G41" t="s">
        <v>1380</v>
      </c>
    </row>
    <row r="42" spans="2:7" x14ac:dyDescent="0.35">
      <c r="B42" t="s">
        <v>1454</v>
      </c>
      <c r="C42" t="s">
        <v>1381</v>
      </c>
      <c r="D42" t="s">
        <v>1382</v>
      </c>
      <c r="E42" t="str">
        <f ca="1">E10</f>
        <v>No SE income</v>
      </c>
      <c r="F42" t="s">
        <v>786</v>
      </c>
      <c r="G42" t="s">
        <v>1383</v>
      </c>
    </row>
    <row r="43" spans="2:7" x14ac:dyDescent="0.35">
      <c r="B43" t="s">
        <v>1455</v>
      </c>
      <c r="C43" t="s">
        <v>1387</v>
      </c>
      <c r="D43" t="s">
        <v>1388</v>
      </c>
      <c r="E43" t="str">
        <f ca="1">E12</f>
        <v>No passive activity</v>
      </c>
      <c r="F43" t="s">
        <v>786</v>
      </c>
      <c r="G43" t="s">
        <v>1389</v>
      </c>
    </row>
    <row r="44" spans="2:7" x14ac:dyDescent="0.35">
      <c r="B44" t="s">
        <v>1456</v>
      </c>
      <c r="C44" t="s">
        <v>1390</v>
      </c>
      <c r="D44" t="s">
        <v>1391</v>
      </c>
      <c r="E44" t="str">
        <f ca="1">E13</f>
        <v>No rental property detected</v>
      </c>
      <c r="F44" t="s">
        <v>786</v>
      </c>
      <c r="G44" t="s">
        <v>1392</v>
      </c>
    </row>
    <row r="45" spans="2:7" x14ac:dyDescent="0.35">
      <c r="B45" t="s">
        <v>1457</v>
      </c>
      <c r="C45" t="s">
        <v>906</v>
      </c>
      <c r="D45" t="s">
        <v>1413</v>
      </c>
      <c r="E45" t="str">
        <f ca="1">E21</f>
        <v>Business income present — Augusta eligible</v>
      </c>
      <c r="F45" t="s">
        <v>786</v>
      </c>
      <c r="G45" t="s">
        <v>1414</v>
      </c>
    </row>
    <row r="46" spans="2:7" x14ac:dyDescent="0.35">
      <c r="B46" t="s">
        <v>1458</v>
      </c>
      <c r="C46" t="s">
        <v>1438</v>
      </c>
      <c r="D46" t="s">
        <v>1439</v>
      </c>
      <c r="E46" t="str">
        <f ca="1">E29</f>
        <v>W-2: $100,000 vs K-1: $200,000 (33%)</v>
      </c>
      <c r="F46" t="s">
        <v>786</v>
      </c>
      <c r="G46" t="s">
        <v>1440</v>
      </c>
    </row>
    <row r="48" spans="2:7" x14ac:dyDescent="0.35">
      <c r="B48" t="s">
        <v>1459</v>
      </c>
    </row>
    <row r="49" spans="2:7" x14ac:dyDescent="0.35">
      <c r="B49" t="s">
        <v>1460</v>
      </c>
      <c r="C49" t="s">
        <v>1421</v>
      </c>
      <c r="D49" t="s">
        <v>1422</v>
      </c>
      <c r="E49" t="s">
        <v>1423</v>
      </c>
      <c r="F49" t="s">
        <v>1424</v>
      </c>
      <c r="G49" t="s">
        <v>1425</v>
      </c>
    </row>
    <row r="50" spans="2:7" x14ac:dyDescent="0.35">
      <c r="B50" t="s">
        <v>1461</v>
      </c>
      <c r="C50" t="s">
        <v>1426</v>
      </c>
      <c r="D50" t="s">
        <v>1427</v>
      </c>
      <c r="E50" t="s">
        <v>1428</v>
      </c>
      <c r="F50" t="s">
        <v>1424</v>
      </c>
      <c r="G50" t="s">
        <v>1429</v>
      </c>
    </row>
    <row r="51" spans="2:7" x14ac:dyDescent="0.35">
      <c r="B51" t="s">
        <v>1462</v>
      </c>
      <c r="C51" t="s">
        <v>1430</v>
      </c>
      <c r="D51" t="s">
        <v>1431</v>
      </c>
      <c r="E51" t="s">
        <v>1432</v>
      </c>
      <c r="F51" t="s">
        <v>1424</v>
      </c>
      <c r="G51" t="s">
        <v>1433</v>
      </c>
    </row>
    <row r="53" spans="2:7" x14ac:dyDescent="0.35">
      <c r="B53" t="s">
        <v>1463</v>
      </c>
    </row>
    <row r="54" spans="2:7" x14ac:dyDescent="0.35">
      <c r="B54" t="s">
        <v>1464</v>
      </c>
      <c r="C54" t="s">
        <v>1365</v>
      </c>
      <c r="D54" t="s">
        <v>1366</v>
      </c>
      <c r="E54" t="str">
        <f ca="1">E4</f>
        <v>≥32% bracket</v>
      </c>
      <c r="F54" t="s">
        <v>1150</v>
      </c>
      <c r="G54" t="s">
        <v>1367</v>
      </c>
    </row>
    <row r="55" spans="2:7" x14ac:dyDescent="0.35">
      <c r="B55" t="s">
        <v>1465</v>
      </c>
      <c r="C55" t="s">
        <v>1365</v>
      </c>
      <c r="D55" t="s">
        <v>1368</v>
      </c>
      <c r="E55" t="str">
        <f ca="1">E5</f>
        <v>NIIT — above 15%</v>
      </c>
      <c r="F55" t="s">
        <v>1150</v>
      </c>
      <c r="G55" t="s">
        <v>1369</v>
      </c>
    </row>
    <row r="56" spans="2:7" x14ac:dyDescent="0.35">
      <c r="B56" t="s">
        <v>1466</v>
      </c>
      <c r="C56" t="s">
        <v>1372</v>
      </c>
      <c r="D56" t="s">
        <v>1373</v>
      </c>
      <c r="E56" t="str">
        <f ca="1">E7</f>
        <v>Low AMT risk</v>
      </c>
      <c r="F56" t="s">
        <v>1150</v>
      </c>
      <c r="G56" t="s">
        <v>1374</v>
      </c>
    </row>
    <row r="57" spans="2:7" x14ac:dyDescent="0.35">
      <c r="B57" t="s">
        <v>1467</v>
      </c>
      <c r="C57" t="s">
        <v>480</v>
      </c>
      <c r="D57" t="s">
        <v>1375</v>
      </c>
      <c r="E57" t="str">
        <f ca="1">E8</f>
        <v>No SE income</v>
      </c>
      <c r="F57" t="s">
        <v>1150</v>
      </c>
      <c r="G57" t="s">
        <v>1376</v>
      </c>
    </row>
    <row r="58" spans="2:7" x14ac:dyDescent="0.35">
      <c r="B58" t="s">
        <v>1468</v>
      </c>
      <c r="C58" t="s">
        <v>1384</v>
      </c>
      <c r="D58" t="s">
        <v>1385</v>
      </c>
      <c r="E58" t="str">
        <f ca="1">E11</f>
        <v>No passive losses</v>
      </c>
      <c r="F58" t="s">
        <v>786</v>
      </c>
      <c r="G58" t="s">
        <v>1386</v>
      </c>
    </row>
    <row r="59" spans="2:7" x14ac:dyDescent="0.35">
      <c r="B59" t="s">
        <v>1469</v>
      </c>
      <c r="C59" t="s">
        <v>1393</v>
      </c>
      <c r="D59" t="s">
        <v>1394</v>
      </c>
      <c r="E59" t="s">
        <v>227</v>
      </c>
      <c r="F59" t="s">
        <v>1150</v>
      </c>
      <c r="G59" t="s">
        <v>1395</v>
      </c>
    </row>
    <row r="60" spans="2:7" x14ac:dyDescent="0.35">
      <c r="B60" t="s">
        <v>1470</v>
      </c>
      <c r="C60" t="s">
        <v>305</v>
      </c>
      <c r="D60" t="s">
        <v>1396</v>
      </c>
      <c r="E60" t="str">
        <f ca="1">E15</f>
        <v>Net gains: $25,000</v>
      </c>
      <c r="F60" t="s">
        <v>1150</v>
      </c>
      <c r="G60" t="s">
        <v>1397</v>
      </c>
    </row>
    <row r="61" spans="2:7" x14ac:dyDescent="0.35">
      <c r="B61" t="s">
        <v>1471</v>
      </c>
      <c r="C61" t="s">
        <v>1398</v>
      </c>
      <c r="D61" t="s">
        <v>1399</v>
      </c>
      <c r="E61" t="str">
        <f>E16</f>
        <v>None detected — bunching opportunity?</v>
      </c>
      <c r="F61" t="s">
        <v>1150</v>
      </c>
      <c r="G61" t="s">
        <v>1400</v>
      </c>
    </row>
    <row r="62" spans="2:7" x14ac:dyDescent="0.35">
      <c r="B62" t="s">
        <v>1472</v>
      </c>
      <c r="C62" t="s">
        <v>334</v>
      </c>
      <c r="D62" t="s">
        <v>1401</v>
      </c>
      <c r="E62" t="str">
        <f>E17</f>
        <v>SALT: $10,000 (cap $10K)</v>
      </c>
      <c r="F62" t="s">
        <v>335</v>
      </c>
      <c r="G62" t="s">
        <v>1402</v>
      </c>
    </row>
    <row r="63" spans="2:7" x14ac:dyDescent="0.35">
      <c r="B63" t="s">
        <v>1473</v>
      </c>
      <c r="C63" t="s">
        <v>1410</v>
      </c>
      <c r="D63" t="s">
        <v>1411</v>
      </c>
      <c r="E63" t="str">
        <f>E20</f>
        <v>2 dependents — hiring children?</v>
      </c>
      <c r="F63" t="s">
        <v>1150</v>
      </c>
      <c r="G63" t="s">
        <v>1412</v>
      </c>
    </row>
    <row r="64" spans="2:7" x14ac:dyDescent="0.35">
      <c r="B64" t="s">
        <v>1474</v>
      </c>
      <c r="C64" t="s">
        <v>58</v>
      </c>
      <c r="D64" t="s">
        <v>1415</v>
      </c>
      <c r="E64" t="str">
        <f ca="1">E22</f>
        <v>S-Corp owner comp: $100,000 — accountable plan eligible</v>
      </c>
      <c r="F64" t="s">
        <v>786</v>
      </c>
      <c r="G64" t="s">
        <v>1416</v>
      </c>
    </row>
    <row r="65" spans="2:7" x14ac:dyDescent="0.35">
      <c r="B65" t="s">
        <v>1475</v>
      </c>
      <c r="C65" t="s">
        <v>201</v>
      </c>
      <c r="D65" t="s">
        <v>1417</v>
      </c>
      <c r="E65" t="str">
        <f ca="1">E23</f>
        <v>⚠️ NIIT exposure: MAGI $335,500, NII $35,500</v>
      </c>
      <c r="F65" t="s">
        <v>1150</v>
      </c>
      <c r="G65" t="s">
        <v>1418</v>
      </c>
    </row>
    <row r="66" spans="2:7" x14ac:dyDescent="0.35">
      <c r="B66" t="s">
        <v>1476</v>
      </c>
      <c r="C66" t="s">
        <v>705</v>
      </c>
      <c r="D66" t="s">
        <v>1419</v>
      </c>
      <c r="E66" t="s">
        <v>1150</v>
      </c>
      <c r="F66" t="s">
        <v>1150</v>
      </c>
      <c r="G66" t="s">
        <v>1420</v>
      </c>
    </row>
    <row r="69" spans="2:7" x14ac:dyDescent="0.35">
      <c r="B69" t="s">
        <v>1477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00000"/>
  </sheetPr>
  <dimension ref="A1:F35"/>
  <sheetViews>
    <sheetView workbookViewId="0"/>
  </sheetViews>
  <sheetFormatPr defaultRowHeight="14.5" x14ac:dyDescent="0.35"/>
  <sheetData>
    <row r="1" spans="1:6" ht="15.5" customHeight="1" x14ac:dyDescent="0.35">
      <c r="A1" s="29" t="s">
        <v>1478</v>
      </c>
      <c r="B1" s="29"/>
      <c r="C1" s="29"/>
      <c r="D1" s="29"/>
      <c r="E1" s="29"/>
      <c r="F1" s="29"/>
    </row>
    <row r="2" spans="1:6" x14ac:dyDescent="0.35">
      <c r="A2" t="s">
        <v>1479</v>
      </c>
    </row>
    <row r="4" spans="1:6" x14ac:dyDescent="0.35">
      <c r="A4" s="17" t="s">
        <v>1480</v>
      </c>
    </row>
    <row r="5" spans="1:6" x14ac:dyDescent="0.35">
      <c r="A5" t="s">
        <v>1481</v>
      </c>
      <c r="B5" t="s">
        <v>265</v>
      </c>
      <c r="C5" t="s">
        <v>1482</v>
      </c>
      <c r="D5" t="s">
        <v>422</v>
      </c>
      <c r="E5" t="s">
        <v>1483</v>
      </c>
    </row>
    <row r="6" spans="1:6" x14ac:dyDescent="0.35">
      <c r="A6" t="s">
        <v>1484</v>
      </c>
      <c r="B6">
        <f>Active_Year</f>
        <v>2025</v>
      </c>
      <c r="D6" t="s">
        <v>1485</v>
      </c>
      <c r="E6" t="s">
        <v>1486</v>
      </c>
    </row>
    <row r="7" spans="1:6" x14ac:dyDescent="0.35">
      <c r="A7" t="s">
        <v>1487</v>
      </c>
      <c r="B7">
        <f>Active_Year-1</f>
        <v>2024</v>
      </c>
      <c r="D7" t="s">
        <v>1488</v>
      </c>
      <c r="E7" t="s">
        <v>1489</v>
      </c>
    </row>
    <row r="8" spans="1:6" x14ac:dyDescent="0.35">
      <c r="A8" t="s">
        <v>1490</v>
      </c>
      <c r="B8">
        <f>Active_Year-2</f>
        <v>2023</v>
      </c>
      <c r="D8" t="s">
        <v>1491</v>
      </c>
      <c r="E8" t="s">
        <v>1492</v>
      </c>
    </row>
    <row r="11" spans="1:6" x14ac:dyDescent="0.35">
      <c r="A11" s="17" t="s">
        <v>1493</v>
      </c>
    </row>
    <row r="12" spans="1:6" x14ac:dyDescent="0.35">
      <c r="A12" t="s">
        <v>1494</v>
      </c>
      <c r="B12" t="s">
        <v>1495</v>
      </c>
      <c r="C12" t="s">
        <v>1496</v>
      </c>
      <c r="D12" t="s">
        <v>8</v>
      </c>
    </row>
    <row r="13" spans="1:6" x14ac:dyDescent="0.35">
      <c r="A13" t="s">
        <v>1497</v>
      </c>
      <c r="B13" t="s">
        <v>1498</v>
      </c>
      <c r="C13" t="s">
        <v>1499</v>
      </c>
      <c r="D13" t="s">
        <v>1500</v>
      </c>
    </row>
    <row r="14" spans="1:6" x14ac:dyDescent="0.35">
      <c r="A14" t="s">
        <v>1501</v>
      </c>
      <c r="B14" t="s">
        <v>1502</v>
      </c>
      <c r="C14" t="s">
        <v>1503</v>
      </c>
      <c r="D14" t="s">
        <v>1504</v>
      </c>
    </row>
    <row r="15" spans="1:6" x14ac:dyDescent="0.35">
      <c r="A15" t="s">
        <v>1505</v>
      </c>
      <c r="B15" t="s">
        <v>1502</v>
      </c>
      <c r="C15" t="s">
        <v>1506</v>
      </c>
      <c r="D15" t="s">
        <v>1507</v>
      </c>
    </row>
    <row r="16" spans="1:6" x14ac:dyDescent="0.35">
      <c r="A16" t="s">
        <v>1508</v>
      </c>
      <c r="B16" t="s">
        <v>1509</v>
      </c>
      <c r="C16" t="s">
        <v>1510</v>
      </c>
      <c r="D16" t="s">
        <v>1511</v>
      </c>
    </row>
    <row r="17" spans="1:4" x14ac:dyDescent="0.35">
      <c r="A17" t="s">
        <v>1512</v>
      </c>
      <c r="B17" t="s">
        <v>1513</v>
      </c>
      <c r="C17" t="s">
        <v>1514</v>
      </c>
      <c r="D17" t="s">
        <v>1515</v>
      </c>
    </row>
    <row r="19" spans="1:4" x14ac:dyDescent="0.35">
      <c r="A19" s="17" t="s">
        <v>1516</v>
      </c>
    </row>
    <row r="20" spans="1:4" x14ac:dyDescent="0.35">
      <c r="A20" t="s">
        <v>1517</v>
      </c>
      <c r="B20" t="s">
        <v>1518</v>
      </c>
      <c r="C20" t="s">
        <v>1519</v>
      </c>
    </row>
    <row r="21" spans="1:4" x14ac:dyDescent="0.35">
      <c r="A21" t="s">
        <v>1502</v>
      </c>
      <c r="B21" t="s">
        <v>1520</v>
      </c>
      <c r="C21" t="s">
        <v>1521</v>
      </c>
    </row>
    <row r="22" spans="1:4" x14ac:dyDescent="0.35">
      <c r="A22" t="s">
        <v>1509</v>
      </c>
      <c r="B22" t="s">
        <v>234</v>
      </c>
      <c r="C22" t="s">
        <v>1522</v>
      </c>
    </row>
    <row r="23" spans="1:4" x14ac:dyDescent="0.35">
      <c r="A23" t="s">
        <v>1523</v>
      </c>
      <c r="B23" t="s">
        <v>1524</v>
      </c>
      <c r="C23" t="s">
        <v>1525</v>
      </c>
    </row>
    <row r="24" spans="1:4" x14ac:dyDescent="0.35">
      <c r="A24" t="s">
        <v>1526</v>
      </c>
      <c r="B24" t="s">
        <v>1527</v>
      </c>
      <c r="C24" t="s">
        <v>1528</v>
      </c>
    </row>
    <row r="25" spans="1:4" x14ac:dyDescent="0.35">
      <c r="A25" t="s">
        <v>1529</v>
      </c>
      <c r="B25" t="s">
        <v>1530</v>
      </c>
      <c r="C25" t="s">
        <v>1531</v>
      </c>
    </row>
    <row r="26" spans="1:4" x14ac:dyDescent="0.35">
      <c r="A26" t="s">
        <v>1532</v>
      </c>
      <c r="B26" t="s">
        <v>1533</v>
      </c>
      <c r="C26" t="s">
        <v>1534</v>
      </c>
    </row>
    <row r="27" spans="1:4" x14ac:dyDescent="0.35">
      <c r="A27" t="s">
        <v>1535</v>
      </c>
      <c r="B27" t="s">
        <v>1536</v>
      </c>
      <c r="C27" t="s">
        <v>1537</v>
      </c>
    </row>
    <row r="28" spans="1:4" x14ac:dyDescent="0.35">
      <c r="A28" t="s">
        <v>1538</v>
      </c>
      <c r="B28" t="s">
        <v>1539</v>
      </c>
      <c r="C28" t="s">
        <v>1540</v>
      </c>
    </row>
    <row r="30" spans="1:4" x14ac:dyDescent="0.35">
      <c r="A30" s="17" t="s">
        <v>1541</v>
      </c>
    </row>
    <row r="31" spans="1:4" x14ac:dyDescent="0.35">
      <c r="A31" t="s">
        <v>1542</v>
      </c>
    </row>
    <row r="32" spans="1:4" x14ac:dyDescent="0.35">
      <c r="A32" t="s">
        <v>1543</v>
      </c>
    </row>
    <row r="33" spans="1:1" x14ac:dyDescent="0.35">
      <c r="A33" t="s">
        <v>1544</v>
      </c>
    </row>
    <row r="34" spans="1:1" x14ac:dyDescent="0.35">
      <c r="A34" t="s">
        <v>1545</v>
      </c>
    </row>
    <row r="35" spans="1:1" x14ac:dyDescent="0.35">
      <c r="A35" t="s">
        <v>1546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00000"/>
  </sheetPr>
  <dimension ref="A1:I24"/>
  <sheetViews>
    <sheetView workbookViewId="0"/>
  </sheetViews>
  <sheetFormatPr defaultRowHeight="14.5" x14ac:dyDescent="0.35"/>
  <sheetData>
    <row r="1" spans="1:9" ht="15.5" customHeight="1" x14ac:dyDescent="0.35">
      <c r="A1" s="29" t="s">
        <v>1547</v>
      </c>
      <c r="B1" s="29"/>
      <c r="C1" s="29"/>
      <c r="D1" s="29"/>
      <c r="E1" s="29"/>
      <c r="F1" s="29"/>
      <c r="G1" s="29"/>
      <c r="H1" s="29"/>
      <c r="I1" s="29"/>
    </row>
    <row r="2" spans="1:9" x14ac:dyDescent="0.35">
      <c r="A2" t="s">
        <v>1548</v>
      </c>
    </row>
    <row r="4" spans="1:9" x14ac:dyDescent="0.35">
      <c r="A4" t="s">
        <v>265</v>
      </c>
      <c r="B4" t="s">
        <v>10</v>
      </c>
      <c r="C4" t="s">
        <v>11</v>
      </c>
      <c r="D4" t="s">
        <v>1549</v>
      </c>
      <c r="E4" t="s">
        <v>1550</v>
      </c>
      <c r="F4" t="s">
        <v>1551</v>
      </c>
      <c r="G4" t="s">
        <v>1552</v>
      </c>
      <c r="H4" t="s">
        <v>1553</v>
      </c>
      <c r="I4" t="s">
        <v>8</v>
      </c>
    </row>
    <row r="12" spans="1:9" x14ac:dyDescent="0.35">
      <c r="A12" t="s">
        <v>1554</v>
      </c>
    </row>
    <row r="14" spans="1:9" x14ac:dyDescent="0.35">
      <c r="A14" t="s">
        <v>1555</v>
      </c>
    </row>
    <row r="15" spans="1:9" x14ac:dyDescent="0.35">
      <c r="A15" t="s">
        <v>1556</v>
      </c>
    </row>
    <row r="16" spans="1:9" x14ac:dyDescent="0.35">
      <c r="A16" t="s">
        <v>1557</v>
      </c>
    </row>
    <row r="17" spans="1:1" x14ac:dyDescent="0.35">
      <c r="A17" t="s">
        <v>1558</v>
      </c>
    </row>
    <row r="18" spans="1:1" x14ac:dyDescent="0.35">
      <c r="A18" t="s">
        <v>1559</v>
      </c>
    </row>
    <row r="20" spans="1:1" x14ac:dyDescent="0.35">
      <c r="A20" t="s">
        <v>1560</v>
      </c>
    </row>
    <row r="21" spans="1:1" x14ac:dyDescent="0.35">
      <c r="A21" t="s">
        <v>1561</v>
      </c>
    </row>
    <row r="22" spans="1:1" x14ac:dyDescent="0.35">
      <c r="A22" t="s">
        <v>1562</v>
      </c>
    </row>
    <row r="23" spans="1:1" x14ac:dyDescent="0.35">
      <c r="A23" t="s">
        <v>1563</v>
      </c>
    </row>
    <row r="24" spans="1:1" x14ac:dyDescent="0.35">
      <c r="A24" t="s">
        <v>1564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C00000"/>
  </sheetPr>
  <dimension ref="A1:G25"/>
  <sheetViews>
    <sheetView workbookViewId="0"/>
  </sheetViews>
  <sheetFormatPr defaultRowHeight="14.5" x14ac:dyDescent="0.35"/>
  <sheetData>
    <row r="1" spans="1:7" ht="15.5" customHeight="1" x14ac:dyDescent="0.35">
      <c r="A1" s="29" t="s">
        <v>1565</v>
      </c>
      <c r="B1" s="29"/>
      <c r="C1" s="29"/>
      <c r="D1" s="29"/>
      <c r="E1" s="29"/>
      <c r="F1" s="29"/>
      <c r="G1" s="29"/>
    </row>
    <row r="2" spans="1:7" x14ac:dyDescent="0.35">
      <c r="A2" t="s">
        <v>1566</v>
      </c>
    </row>
    <row r="4" spans="1:7" x14ac:dyDescent="0.35">
      <c r="A4" t="s">
        <v>1567</v>
      </c>
      <c r="B4" t="s">
        <v>1568</v>
      </c>
      <c r="C4" t="s">
        <v>1517</v>
      </c>
      <c r="D4" t="s">
        <v>1569</v>
      </c>
      <c r="E4" t="s">
        <v>1570</v>
      </c>
      <c r="F4" t="s">
        <v>1571</v>
      </c>
      <c r="G4" t="s">
        <v>8</v>
      </c>
    </row>
    <row r="5" spans="1:7" x14ac:dyDescent="0.35">
      <c r="A5" s="73"/>
      <c r="F5" s="72"/>
    </row>
    <row r="6" spans="1:7" x14ac:dyDescent="0.35">
      <c r="A6" s="73"/>
    </row>
    <row r="7" spans="1:7" x14ac:dyDescent="0.35">
      <c r="A7" s="73"/>
    </row>
    <row r="8" spans="1:7" x14ac:dyDescent="0.35">
      <c r="A8" s="73"/>
    </row>
    <row r="9" spans="1:7" x14ac:dyDescent="0.35">
      <c r="A9" s="73"/>
    </row>
    <row r="10" spans="1:7" x14ac:dyDescent="0.35">
      <c r="A10" s="73"/>
      <c r="F10" s="72"/>
    </row>
    <row r="11" spans="1:7" x14ac:dyDescent="0.35">
      <c r="A11" s="73"/>
    </row>
    <row r="12" spans="1:7" x14ac:dyDescent="0.35">
      <c r="A12" s="73"/>
    </row>
    <row r="13" spans="1:7" x14ac:dyDescent="0.35">
      <c r="A13" s="73"/>
    </row>
    <row r="14" spans="1:7" x14ac:dyDescent="0.35">
      <c r="A14" s="73"/>
    </row>
    <row r="15" spans="1:7" x14ac:dyDescent="0.35">
      <c r="A15" s="73"/>
    </row>
    <row r="16" spans="1:7" x14ac:dyDescent="0.35">
      <c r="A16" s="73"/>
    </row>
    <row r="17" spans="1:6" x14ac:dyDescent="0.35">
      <c r="A17" s="73"/>
    </row>
    <row r="18" spans="1:6" x14ac:dyDescent="0.35">
      <c r="A18" s="73"/>
      <c r="F18" s="12"/>
    </row>
    <row r="19" spans="1:6" x14ac:dyDescent="0.35">
      <c r="A19" s="73"/>
    </row>
    <row r="22" spans="1:6" ht="15.5" customHeight="1" x14ac:dyDescent="0.35">
      <c r="A22" s="49"/>
    </row>
    <row r="23" spans="1:6" x14ac:dyDescent="0.35">
      <c r="A23" s="70"/>
      <c r="B23" s="70"/>
      <c r="C23" s="70"/>
    </row>
    <row r="24" spans="1:6" x14ac:dyDescent="0.35">
      <c r="B24" s="71"/>
    </row>
    <row r="25" spans="1:6" x14ac:dyDescent="0.35">
      <c r="B25" s="7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00000"/>
  </sheetPr>
  <dimension ref="A1:E247"/>
  <sheetViews>
    <sheetView workbookViewId="0"/>
  </sheetViews>
  <sheetFormatPr defaultRowHeight="14.5" x14ac:dyDescent="0.35"/>
  <sheetData>
    <row r="1" spans="1:5" ht="18.5" customHeight="1" x14ac:dyDescent="0.45">
      <c r="A1" s="14" t="s">
        <v>1572</v>
      </c>
      <c r="B1" s="29"/>
      <c r="C1" s="29"/>
      <c r="D1" s="29"/>
      <c r="E1" s="29"/>
    </row>
    <row r="2" spans="1:5" x14ac:dyDescent="0.35">
      <c r="A2" t="s">
        <v>1573</v>
      </c>
    </row>
    <row r="4" spans="1:5" x14ac:dyDescent="0.35">
      <c r="A4" s="17" t="s">
        <v>1574</v>
      </c>
    </row>
    <row r="5" spans="1:5" x14ac:dyDescent="0.35">
      <c r="A5" t="s">
        <v>1575</v>
      </c>
    </row>
    <row r="6" spans="1:5" x14ac:dyDescent="0.35">
      <c r="A6" t="s">
        <v>1576</v>
      </c>
    </row>
    <row r="7" spans="1:5" x14ac:dyDescent="0.35">
      <c r="A7" t="s">
        <v>1577</v>
      </c>
    </row>
    <row r="9" spans="1:5" x14ac:dyDescent="0.35">
      <c r="A9" s="17" t="s">
        <v>1578</v>
      </c>
    </row>
    <row r="10" spans="1:5" x14ac:dyDescent="0.35">
      <c r="A10" t="s">
        <v>1579</v>
      </c>
    </row>
    <row r="11" spans="1:5" x14ac:dyDescent="0.35">
      <c r="A11" t="s">
        <v>1580</v>
      </c>
    </row>
    <row r="12" spans="1:5" x14ac:dyDescent="0.35">
      <c r="A12" t="s">
        <v>1581</v>
      </c>
    </row>
    <row r="13" spans="1:5" x14ac:dyDescent="0.35">
      <c r="A13" t="s">
        <v>1582</v>
      </c>
    </row>
    <row r="14" spans="1:5" x14ac:dyDescent="0.35">
      <c r="A14" t="s">
        <v>1583</v>
      </c>
    </row>
    <row r="15" spans="1:5" x14ac:dyDescent="0.35">
      <c r="A15" t="s">
        <v>1584</v>
      </c>
    </row>
    <row r="16" spans="1:5" x14ac:dyDescent="0.35">
      <c r="A16" t="s">
        <v>1585</v>
      </c>
    </row>
    <row r="17" spans="1:1" x14ac:dyDescent="0.35">
      <c r="A17" t="s">
        <v>1586</v>
      </c>
    </row>
    <row r="19" spans="1:1" x14ac:dyDescent="0.35">
      <c r="A19" t="s">
        <v>1587</v>
      </c>
    </row>
    <row r="20" spans="1:1" x14ac:dyDescent="0.35">
      <c r="A20" t="s">
        <v>1588</v>
      </c>
    </row>
    <row r="21" spans="1:1" x14ac:dyDescent="0.35">
      <c r="A21" t="s">
        <v>1589</v>
      </c>
    </row>
    <row r="22" spans="1:1" x14ac:dyDescent="0.35">
      <c r="A22" t="s">
        <v>1590</v>
      </c>
    </row>
    <row r="24" spans="1:1" x14ac:dyDescent="0.35">
      <c r="A24" s="17" t="s">
        <v>1591</v>
      </c>
    </row>
    <row r="25" spans="1:1" x14ac:dyDescent="0.35">
      <c r="A25" t="s">
        <v>1592</v>
      </c>
    </row>
    <row r="26" spans="1:1" x14ac:dyDescent="0.35">
      <c r="A26" t="s">
        <v>1593</v>
      </c>
    </row>
    <row r="27" spans="1:1" x14ac:dyDescent="0.35">
      <c r="A27" t="s">
        <v>1594</v>
      </c>
    </row>
    <row r="28" spans="1:1" x14ac:dyDescent="0.35">
      <c r="A28" t="s">
        <v>1595</v>
      </c>
    </row>
    <row r="29" spans="1:1" x14ac:dyDescent="0.35">
      <c r="A29" t="s">
        <v>1596</v>
      </c>
    </row>
    <row r="30" spans="1:1" x14ac:dyDescent="0.35">
      <c r="A30" t="s">
        <v>1597</v>
      </c>
    </row>
    <row r="31" spans="1:1" x14ac:dyDescent="0.35">
      <c r="A31" t="s">
        <v>1598</v>
      </c>
    </row>
    <row r="33" spans="1:1" x14ac:dyDescent="0.35">
      <c r="A33" s="17" t="s">
        <v>1599</v>
      </c>
    </row>
    <row r="34" spans="1:1" x14ac:dyDescent="0.35">
      <c r="A34" t="s">
        <v>1600</v>
      </c>
    </row>
    <row r="35" spans="1:1" x14ac:dyDescent="0.35">
      <c r="A35" t="s">
        <v>1601</v>
      </c>
    </row>
    <row r="36" spans="1:1" x14ac:dyDescent="0.35">
      <c r="A36" t="s">
        <v>1602</v>
      </c>
    </row>
    <row r="38" spans="1:1" x14ac:dyDescent="0.35">
      <c r="A38" s="17" t="s">
        <v>1603</v>
      </c>
    </row>
    <row r="39" spans="1:1" x14ac:dyDescent="0.35">
      <c r="A39" t="s">
        <v>1604</v>
      </c>
    </row>
    <row r="40" spans="1:1" x14ac:dyDescent="0.35">
      <c r="A40" t="s">
        <v>1605</v>
      </c>
    </row>
    <row r="41" spans="1:1" x14ac:dyDescent="0.35">
      <c r="A41" t="s">
        <v>1606</v>
      </c>
    </row>
    <row r="42" spans="1:1" x14ac:dyDescent="0.35">
      <c r="A42" t="s">
        <v>1607</v>
      </c>
    </row>
    <row r="43" spans="1:1" x14ac:dyDescent="0.35">
      <c r="A43" s="17"/>
    </row>
    <row r="44" spans="1:1" x14ac:dyDescent="0.35">
      <c r="A44" t="s">
        <v>1608</v>
      </c>
    </row>
    <row r="45" spans="1:1" x14ac:dyDescent="0.35">
      <c r="A45" t="s">
        <v>1609</v>
      </c>
    </row>
    <row r="46" spans="1:1" x14ac:dyDescent="0.35">
      <c r="A46" t="s">
        <v>1610</v>
      </c>
    </row>
    <row r="47" spans="1:1" x14ac:dyDescent="0.35">
      <c r="A47" t="s">
        <v>1611</v>
      </c>
    </row>
    <row r="48" spans="1:1" x14ac:dyDescent="0.35">
      <c r="A48" t="s">
        <v>1612</v>
      </c>
    </row>
    <row r="49" spans="1:3" x14ac:dyDescent="0.35">
      <c r="A49" t="s">
        <v>1613</v>
      </c>
    </row>
    <row r="50" spans="1:3" x14ac:dyDescent="0.35">
      <c r="A50" s="17" t="s">
        <v>1614</v>
      </c>
    </row>
    <row r="52" spans="1:3" x14ac:dyDescent="0.35">
      <c r="A52" t="s">
        <v>1615</v>
      </c>
    </row>
    <row r="53" spans="1:3" x14ac:dyDescent="0.35">
      <c r="A53" t="s">
        <v>1616</v>
      </c>
    </row>
    <row r="54" spans="1:3" x14ac:dyDescent="0.35">
      <c r="A54" t="s">
        <v>1617</v>
      </c>
    </row>
    <row r="55" spans="1:3" x14ac:dyDescent="0.35">
      <c r="A55" t="s">
        <v>1618</v>
      </c>
    </row>
    <row r="56" spans="1:3" x14ac:dyDescent="0.35">
      <c r="A56" t="s">
        <v>1619</v>
      </c>
    </row>
    <row r="57" spans="1:3" x14ac:dyDescent="0.35">
      <c r="A57" t="s">
        <v>1620</v>
      </c>
    </row>
    <row r="60" spans="1:3" x14ac:dyDescent="0.35">
      <c r="A60" t="s">
        <v>868</v>
      </c>
    </row>
    <row r="61" spans="1:3" ht="18.5" customHeight="1" x14ac:dyDescent="0.45">
      <c r="A61" s="14" t="s">
        <v>1621</v>
      </c>
    </row>
    <row r="62" spans="1:3" x14ac:dyDescent="0.35">
      <c r="A62" t="s">
        <v>1622</v>
      </c>
    </row>
    <row r="64" spans="1:3" x14ac:dyDescent="0.35">
      <c r="A64" t="s">
        <v>1623</v>
      </c>
      <c r="B64" t="s">
        <v>1624</v>
      </c>
      <c r="C64" t="s">
        <v>11</v>
      </c>
    </row>
    <row r="65" spans="1:3" x14ac:dyDescent="0.35">
      <c r="A65" t="s">
        <v>1625</v>
      </c>
      <c r="B65" t="s">
        <v>264</v>
      </c>
      <c r="C65" t="s">
        <v>1626</v>
      </c>
    </row>
    <row r="66" spans="1:3" x14ac:dyDescent="0.35">
      <c r="A66" t="s">
        <v>1627</v>
      </c>
      <c r="B66" t="s">
        <v>265</v>
      </c>
      <c r="C66" t="s">
        <v>1628</v>
      </c>
    </row>
    <row r="67" spans="1:3" x14ac:dyDescent="0.35">
      <c r="A67" t="s">
        <v>1629</v>
      </c>
      <c r="B67" t="s">
        <v>266</v>
      </c>
      <c r="C67" t="s">
        <v>1630</v>
      </c>
    </row>
    <row r="68" spans="1:3" x14ac:dyDescent="0.35">
      <c r="A68" t="s">
        <v>1631</v>
      </c>
      <c r="B68" t="s">
        <v>267</v>
      </c>
      <c r="C68" t="s">
        <v>1632</v>
      </c>
    </row>
    <row r="69" spans="1:3" x14ac:dyDescent="0.35">
      <c r="A69" t="s">
        <v>1633</v>
      </c>
      <c r="B69" t="s">
        <v>146</v>
      </c>
      <c r="C69" t="s">
        <v>1634</v>
      </c>
    </row>
    <row r="70" spans="1:3" x14ac:dyDescent="0.35">
      <c r="A70" t="s">
        <v>1635</v>
      </c>
      <c r="B70" t="s">
        <v>147</v>
      </c>
      <c r="C70" t="s">
        <v>1636</v>
      </c>
    </row>
    <row r="71" spans="1:3" x14ac:dyDescent="0.35">
      <c r="A71" t="s">
        <v>1637</v>
      </c>
      <c r="B71" t="s">
        <v>268</v>
      </c>
      <c r="C71" t="s">
        <v>1638</v>
      </c>
    </row>
    <row r="72" spans="1:3" x14ac:dyDescent="0.35">
      <c r="A72" t="s">
        <v>1639</v>
      </c>
      <c r="B72" t="s">
        <v>269</v>
      </c>
      <c r="C72" t="s">
        <v>1640</v>
      </c>
    </row>
    <row r="73" spans="1:3" x14ac:dyDescent="0.35">
      <c r="A73" t="s">
        <v>1641</v>
      </c>
      <c r="B73" t="s">
        <v>270</v>
      </c>
      <c r="C73" t="s">
        <v>1642</v>
      </c>
    </row>
    <row r="74" spans="1:3" x14ac:dyDescent="0.35">
      <c r="A74" t="s">
        <v>1643</v>
      </c>
      <c r="B74" t="s">
        <v>148</v>
      </c>
      <c r="C74" t="s">
        <v>1644</v>
      </c>
    </row>
    <row r="75" spans="1:3" x14ac:dyDescent="0.35">
      <c r="A75" t="s">
        <v>1645</v>
      </c>
      <c r="B75" t="s">
        <v>149</v>
      </c>
      <c r="C75" t="s">
        <v>1646</v>
      </c>
    </row>
    <row r="76" spans="1:3" x14ac:dyDescent="0.35">
      <c r="A76" t="s">
        <v>1647</v>
      </c>
      <c r="B76" t="s">
        <v>150</v>
      </c>
      <c r="C76" t="s">
        <v>1648</v>
      </c>
    </row>
    <row r="77" spans="1:3" x14ac:dyDescent="0.35">
      <c r="A77" t="s">
        <v>1649</v>
      </c>
      <c r="B77" t="s">
        <v>271</v>
      </c>
      <c r="C77" t="s">
        <v>1650</v>
      </c>
    </row>
    <row r="78" spans="1:3" x14ac:dyDescent="0.35">
      <c r="A78" t="s">
        <v>1651</v>
      </c>
      <c r="B78" t="s">
        <v>272</v>
      </c>
      <c r="C78" t="s">
        <v>1652</v>
      </c>
    </row>
    <row r="79" spans="1:3" x14ac:dyDescent="0.35">
      <c r="A79" t="s">
        <v>1653</v>
      </c>
      <c r="B79" t="s">
        <v>273</v>
      </c>
      <c r="C79" t="s">
        <v>1654</v>
      </c>
    </row>
    <row r="80" spans="1:3" x14ac:dyDescent="0.35">
      <c r="A80" t="s">
        <v>1655</v>
      </c>
      <c r="B80" t="s">
        <v>274</v>
      </c>
      <c r="C80" t="s">
        <v>1656</v>
      </c>
    </row>
    <row r="81" spans="1:3" x14ac:dyDescent="0.35">
      <c r="A81" t="s">
        <v>1657</v>
      </c>
      <c r="B81" t="s">
        <v>275</v>
      </c>
      <c r="C81" t="s">
        <v>1658</v>
      </c>
    </row>
    <row r="82" spans="1:3" x14ac:dyDescent="0.35">
      <c r="A82" t="s">
        <v>1659</v>
      </c>
      <c r="B82" t="s">
        <v>276</v>
      </c>
      <c r="C82" t="s">
        <v>1660</v>
      </c>
    </row>
    <row r="83" spans="1:3" x14ac:dyDescent="0.35">
      <c r="A83" t="s">
        <v>1661</v>
      </c>
      <c r="B83" t="s">
        <v>8</v>
      </c>
      <c r="C83" t="s">
        <v>1662</v>
      </c>
    </row>
    <row r="86" spans="1:3" x14ac:dyDescent="0.35">
      <c r="A86" t="s">
        <v>868</v>
      </c>
    </row>
    <row r="87" spans="1:3" ht="18.5" customHeight="1" x14ac:dyDescent="0.45">
      <c r="A87" s="14" t="s">
        <v>1663</v>
      </c>
    </row>
    <row r="88" spans="1:3" x14ac:dyDescent="0.35">
      <c r="A88" t="s">
        <v>1664</v>
      </c>
    </row>
    <row r="90" spans="1:3" x14ac:dyDescent="0.35">
      <c r="A90" t="s">
        <v>1665</v>
      </c>
      <c r="B90" t="s">
        <v>11</v>
      </c>
      <c r="C90" t="s">
        <v>1666</v>
      </c>
    </row>
    <row r="91" spans="1:3" x14ac:dyDescent="0.35">
      <c r="A91" t="s">
        <v>1667</v>
      </c>
      <c r="B91" t="s">
        <v>1668</v>
      </c>
      <c r="C91" t="s">
        <v>1669</v>
      </c>
    </row>
    <row r="92" spans="1:3" x14ac:dyDescent="0.35">
      <c r="B92" t="s">
        <v>1670</v>
      </c>
    </row>
    <row r="93" spans="1:3" x14ac:dyDescent="0.35">
      <c r="B93" t="s">
        <v>1671</v>
      </c>
    </row>
    <row r="95" spans="1:3" x14ac:dyDescent="0.35">
      <c r="A95" t="s">
        <v>120</v>
      </c>
      <c r="B95" t="s">
        <v>1672</v>
      </c>
      <c r="C95" t="s">
        <v>1673</v>
      </c>
    </row>
    <row r="96" spans="1:3" x14ac:dyDescent="0.35">
      <c r="B96" t="s">
        <v>1674</v>
      </c>
    </row>
    <row r="97" spans="1:3" x14ac:dyDescent="0.35">
      <c r="B97" t="s">
        <v>1675</v>
      </c>
    </row>
    <row r="99" spans="1:3" x14ac:dyDescent="0.35">
      <c r="A99" t="s">
        <v>124</v>
      </c>
      <c r="B99" t="s">
        <v>1676</v>
      </c>
      <c r="C99" t="s">
        <v>1677</v>
      </c>
    </row>
    <row r="100" spans="1:3" x14ac:dyDescent="0.35">
      <c r="B100" t="s">
        <v>1678</v>
      </c>
    </row>
    <row r="102" spans="1:3" x14ac:dyDescent="0.35">
      <c r="A102" t="s">
        <v>1679</v>
      </c>
      <c r="B102" t="s">
        <v>1680</v>
      </c>
      <c r="C102" t="s">
        <v>1681</v>
      </c>
    </row>
    <row r="103" spans="1:3" x14ac:dyDescent="0.35">
      <c r="B103" t="s">
        <v>1682</v>
      </c>
    </row>
    <row r="104" spans="1:3" x14ac:dyDescent="0.35">
      <c r="B104" t="s">
        <v>1683</v>
      </c>
    </row>
    <row r="106" spans="1:3" x14ac:dyDescent="0.35">
      <c r="A106" t="s">
        <v>132</v>
      </c>
      <c r="B106" t="s">
        <v>1684</v>
      </c>
      <c r="C106" t="s">
        <v>1685</v>
      </c>
    </row>
    <row r="107" spans="1:3" x14ac:dyDescent="0.35">
      <c r="B107" t="s">
        <v>1686</v>
      </c>
    </row>
    <row r="108" spans="1:3" x14ac:dyDescent="0.35">
      <c r="B108" t="s">
        <v>1687</v>
      </c>
    </row>
    <row r="110" spans="1:3" x14ac:dyDescent="0.35">
      <c r="A110" t="s">
        <v>1688</v>
      </c>
      <c r="B110" t="s">
        <v>1689</v>
      </c>
      <c r="C110" t="s">
        <v>1690</v>
      </c>
    </row>
    <row r="111" spans="1:3" x14ac:dyDescent="0.35">
      <c r="B111" t="s">
        <v>1691</v>
      </c>
    </row>
    <row r="112" spans="1:3" x14ac:dyDescent="0.35">
      <c r="B112" t="s">
        <v>1692</v>
      </c>
    </row>
    <row r="114" spans="1:1" x14ac:dyDescent="0.35">
      <c r="A114" t="s">
        <v>1693</v>
      </c>
    </row>
    <row r="117" spans="1:1" x14ac:dyDescent="0.35">
      <c r="A117" t="s">
        <v>868</v>
      </c>
    </row>
    <row r="118" spans="1:1" ht="18.5" customHeight="1" x14ac:dyDescent="0.45">
      <c r="A118" s="68" t="s">
        <v>1694</v>
      </c>
    </row>
    <row r="119" spans="1:1" x14ac:dyDescent="0.35">
      <c r="A119" s="63" t="s">
        <v>1695</v>
      </c>
    </row>
    <row r="121" spans="1:1" x14ac:dyDescent="0.35">
      <c r="A121" t="s">
        <v>1696</v>
      </c>
    </row>
    <row r="123" spans="1:1" x14ac:dyDescent="0.35">
      <c r="A123" t="s">
        <v>1697</v>
      </c>
    </row>
    <row r="124" spans="1:1" x14ac:dyDescent="0.35">
      <c r="A124" t="s">
        <v>1698</v>
      </c>
    </row>
    <row r="125" spans="1:1" x14ac:dyDescent="0.35">
      <c r="A125" t="s">
        <v>1699</v>
      </c>
    </row>
    <row r="126" spans="1:1" x14ac:dyDescent="0.35">
      <c r="A126" t="s">
        <v>1700</v>
      </c>
    </row>
    <row r="128" spans="1:1" x14ac:dyDescent="0.35">
      <c r="A128" t="s">
        <v>1701</v>
      </c>
    </row>
    <row r="129" spans="1:1" x14ac:dyDescent="0.35">
      <c r="A129" t="s">
        <v>1702</v>
      </c>
    </row>
    <row r="132" spans="1:1" x14ac:dyDescent="0.35">
      <c r="A132" t="s">
        <v>1703</v>
      </c>
    </row>
    <row r="134" spans="1:1" x14ac:dyDescent="0.35">
      <c r="A134" t="s">
        <v>1704</v>
      </c>
    </row>
    <row r="135" spans="1:1" x14ac:dyDescent="0.35">
      <c r="A135" t="s">
        <v>1705</v>
      </c>
    </row>
    <row r="137" spans="1:1" x14ac:dyDescent="0.35">
      <c r="A137" t="s">
        <v>1706</v>
      </c>
    </row>
    <row r="138" spans="1:1" x14ac:dyDescent="0.35">
      <c r="A138" t="s">
        <v>1707</v>
      </c>
    </row>
    <row r="139" spans="1:1" x14ac:dyDescent="0.35">
      <c r="A139" t="s">
        <v>1708</v>
      </c>
    </row>
    <row r="140" spans="1:1" x14ac:dyDescent="0.35">
      <c r="A140" t="s">
        <v>1709</v>
      </c>
    </row>
    <row r="141" spans="1:1" x14ac:dyDescent="0.35">
      <c r="A141" t="s">
        <v>1710</v>
      </c>
    </row>
    <row r="142" spans="1:1" x14ac:dyDescent="0.35">
      <c r="A142" t="s">
        <v>1711</v>
      </c>
    </row>
    <row r="143" spans="1:1" x14ac:dyDescent="0.35">
      <c r="A143" t="s">
        <v>1712</v>
      </c>
    </row>
    <row r="144" spans="1:1" x14ac:dyDescent="0.35">
      <c r="A144" t="s">
        <v>1713</v>
      </c>
    </row>
    <row r="145" spans="1:1" x14ac:dyDescent="0.35">
      <c r="A145" t="s">
        <v>1714</v>
      </c>
    </row>
    <row r="146" spans="1:1" x14ac:dyDescent="0.35">
      <c r="A146" t="s">
        <v>1715</v>
      </c>
    </row>
    <row r="149" spans="1:1" x14ac:dyDescent="0.35">
      <c r="A149" t="s">
        <v>1716</v>
      </c>
    </row>
    <row r="151" spans="1:1" x14ac:dyDescent="0.35">
      <c r="A151" t="s">
        <v>1717</v>
      </c>
    </row>
    <row r="152" spans="1:1" x14ac:dyDescent="0.35">
      <c r="A152" t="s">
        <v>1718</v>
      </c>
    </row>
    <row r="154" spans="1:1" x14ac:dyDescent="0.35">
      <c r="A154" t="s">
        <v>1719</v>
      </c>
    </row>
    <row r="155" spans="1:1" x14ac:dyDescent="0.35">
      <c r="A155" t="s">
        <v>1720</v>
      </c>
    </row>
    <row r="156" spans="1:1" x14ac:dyDescent="0.35">
      <c r="A156" t="s">
        <v>1721</v>
      </c>
    </row>
    <row r="158" spans="1:1" x14ac:dyDescent="0.35">
      <c r="A158" t="s">
        <v>1722</v>
      </c>
    </row>
    <row r="159" spans="1:1" x14ac:dyDescent="0.35">
      <c r="A159" t="s">
        <v>1723</v>
      </c>
    </row>
    <row r="160" spans="1:1" x14ac:dyDescent="0.35">
      <c r="A160" t="s">
        <v>1724</v>
      </c>
    </row>
    <row r="161" spans="1:1" x14ac:dyDescent="0.35">
      <c r="A161" t="s">
        <v>1725</v>
      </c>
    </row>
    <row r="162" spans="1:1" x14ac:dyDescent="0.35">
      <c r="A162" t="s">
        <v>1726</v>
      </c>
    </row>
    <row r="163" spans="1:1" x14ac:dyDescent="0.35">
      <c r="A163" t="s">
        <v>1712</v>
      </c>
    </row>
    <row r="164" spans="1:1" x14ac:dyDescent="0.35">
      <c r="A164" t="s">
        <v>1727</v>
      </c>
    </row>
    <row r="165" spans="1:1" x14ac:dyDescent="0.35">
      <c r="A165" t="s">
        <v>1728</v>
      </c>
    </row>
    <row r="166" spans="1:1" x14ac:dyDescent="0.35">
      <c r="A166" t="s">
        <v>1729</v>
      </c>
    </row>
    <row r="167" spans="1:1" x14ac:dyDescent="0.35">
      <c r="A167" t="s">
        <v>1730</v>
      </c>
    </row>
    <row r="168" spans="1:1" x14ac:dyDescent="0.35">
      <c r="A168" t="s">
        <v>1731</v>
      </c>
    </row>
    <row r="169" spans="1:1" x14ac:dyDescent="0.35">
      <c r="A169" t="s">
        <v>1732</v>
      </c>
    </row>
    <row r="170" spans="1:1" x14ac:dyDescent="0.35">
      <c r="A170" t="s">
        <v>1733</v>
      </c>
    </row>
    <row r="171" spans="1:1" x14ac:dyDescent="0.35">
      <c r="A171" t="s">
        <v>1712</v>
      </c>
    </row>
    <row r="172" spans="1:1" x14ac:dyDescent="0.35">
      <c r="A172" t="s">
        <v>1727</v>
      </c>
    </row>
    <row r="173" spans="1:1" x14ac:dyDescent="0.35">
      <c r="A173" t="s">
        <v>1734</v>
      </c>
    </row>
    <row r="174" spans="1:1" x14ac:dyDescent="0.35">
      <c r="A174" t="s">
        <v>1727</v>
      </c>
    </row>
    <row r="175" spans="1:1" x14ac:dyDescent="0.35">
      <c r="A175" t="s">
        <v>1735</v>
      </c>
    </row>
    <row r="176" spans="1:1" x14ac:dyDescent="0.35">
      <c r="A176" t="s">
        <v>1736</v>
      </c>
    </row>
    <row r="177" spans="1:1" x14ac:dyDescent="0.35">
      <c r="A177" t="s">
        <v>1737</v>
      </c>
    </row>
    <row r="178" spans="1:1" x14ac:dyDescent="0.35">
      <c r="A178" t="s">
        <v>1727</v>
      </c>
    </row>
    <row r="179" spans="1:1" x14ac:dyDescent="0.35">
      <c r="A179" t="s">
        <v>1738</v>
      </c>
    </row>
    <row r="180" spans="1:1" x14ac:dyDescent="0.35">
      <c r="A180" t="s">
        <v>1739</v>
      </c>
    </row>
    <row r="181" spans="1:1" x14ac:dyDescent="0.35">
      <c r="A181" t="s">
        <v>1740</v>
      </c>
    </row>
    <row r="182" spans="1:1" x14ac:dyDescent="0.35">
      <c r="A182" t="s">
        <v>1741</v>
      </c>
    </row>
    <row r="183" spans="1:1" x14ac:dyDescent="0.35">
      <c r="A183" t="s">
        <v>1712</v>
      </c>
    </row>
    <row r="184" spans="1:1" x14ac:dyDescent="0.35">
      <c r="A184" t="s">
        <v>1715</v>
      </c>
    </row>
    <row r="186" spans="1:1" x14ac:dyDescent="0.35">
      <c r="A186" t="s">
        <v>1742</v>
      </c>
    </row>
    <row r="187" spans="1:1" x14ac:dyDescent="0.35">
      <c r="A187" t="s">
        <v>1743</v>
      </c>
    </row>
    <row r="188" spans="1:1" x14ac:dyDescent="0.35">
      <c r="A188" t="s">
        <v>1744</v>
      </c>
    </row>
    <row r="189" spans="1:1" x14ac:dyDescent="0.35">
      <c r="A189" t="s">
        <v>1745</v>
      </c>
    </row>
    <row r="190" spans="1:1" x14ac:dyDescent="0.35">
      <c r="A190" t="s">
        <v>1746</v>
      </c>
    </row>
    <row r="191" spans="1:1" x14ac:dyDescent="0.35">
      <c r="A191" t="s">
        <v>1747</v>
      </c>
    </row>
    <row r="192" spans="1:1" x14ac:dyDescent="0.35">
      <c r="A192" t="s">
        <v>1727</v>
      </c>
    </row>
    <row r="193" spans="1:1" x14ac:dyDescent="0.35">
      <c r="A193" t="s">
        <v>1748</v>
      </c>
    </row>
    <row r="194" spans="1:1" x14ac:dyDescent="0.35">
      <c r="A194" t="s">
        <v>1749</v>
      </c>
    </row>
    <row r="195" spans="1:1" x14ac:dyDescent="0.35">
      <c r="A195" t="s">
        <v>1750</v>
      </c>
    </row>
    <row r="196" spans="1:1" x14ac:dyDescent="0.35">
      <c r="A196" t="s">
        <v>1751</v>
      </c>
    </row>
    <row r="197" spans="1:1" x14ac:dyDescent="0.35">
      <c r="A197" t="s">
        <v>1727</v>
      </c>
    </row>
    <row r="198" spans="1:1" x14ac:dyDescent="0.35">
      <c r="A198" t="s">
        <v>1752</v>
      </c>
    </row>
    <row r="199" spans="1:1" x14ac:dyDescent="0.35">
      <c r="A199" t="s">
        <v>1753</v>
      </c>
    </row>
    <row r="200" spans="1:1" x14ac:dyDescent="0.35">
      <c r="A200" t="s">
        <v>1727</v>
      </c>
    </row>
    <row r="201" spans="1:1" x14ac:dyDescent="0.35">
      <c r="A201" t="s">
        <v>1754</v>
      </c>
    </row>
    <row r="202" spans="1:1" x14ac:dyDescent="0.35">
      <c r="A202" t="s">
        <v>1708</v>
      </c>
    </row>
    <row r="203" spans="1:1" x14ac:dyDescent="0.35">
      <c r="A203" t="s">
        <v>1755</v>
      </c>
    </row>
    <row r="204" spans="1:1" x14ac:dyDescent="0.35">
      <c r="A204" t="s">
        <v>1713</v>
      </c>
    </row>
    <row r="205" spans="1:1" x14ac:dyDescent="0.35">
      <c r="A205" t="s">
        <v>1727</v>
      </c>
    </row>
    <row r="206" spans="1:1" x14ac:dyDescent="0.35">
      <c r="A206" t="s">
        <v>1756</v>
      </c>
    </row>
    <row r="207" spans="1:1" x14ac:dyDescent="0.35">
      <c r="A207" t="s">
        <v>1757</v>
      </c>
    </row>
    <row r="208" spans="1:1" x14ac:dyDescent="0.35">
      <c r="A208" t="s">
        <v>1758</v>
      </c>
    </row>
    <row r="209" spans="1:1" x14ac:dyDescent="0.35">
      <c r="A209" t="s">
        <v>1759</v>
      </c>
    </row>
    <row r="210" spans="1:1" x14ac:dyDescent="0.35">
      <c r="A210" t="s">
        <v>1760</v>
      </c>
    </row>
    <row r="211" spans="1:1" x14ac:dyDescent="0.35">
      <c r="A211" t="s">
        <v>1761</v>
      </c>
    </row>
    <row r="212" spans="1:1" x14ac:dyDescent="0.35">
      <c r="A212" t="s">
        <v>1762</v>
      </c>
    </row>
    <row r="213" spans="1:1" x14ac:dyDescent="0.35">
      <c r="A213" t="s">
        <v>1763</v>
      </c>
    </row>
    <row r="214" spans="1:1" x14ac:dyDescent="0.35">
      <c r="A214" t="s">
        <v>1727</v>
      </c>
    </row>
    <row r="215" spans="1:1" x14ac:dyDescent="0.35">
      <c r="A215" t="s">
        <v>1764</v>
      </c>
    </row>
    <row r="216" spans="1:1" x14ac:dyDescent="0.35">
      <c r="A216" t="s">
        <v>1765</v>
      </c>
    </row>
    <row r="217" spans="1:1" x14ac:dyDescent="0.35">
      <c r="A217" t="s">
        <v>1766</v>
      </c>
    </row>
    <row r="220" spans="1:1" x14ac:dyDescent="0.35">
      <c r="A220" t="s">
        <v>868</v>
      </c>
    </row>
    <row r="221" spans="1:1" ht="18.5" customHeight="1" x14ac:dyDescent="0.45">
      <c r="A221" s="15" t="s">
        <v>1767</v>
      </c>
    </row>
    <row r="223" spans="1:1" x14ac:dyDescent="0.35">
      <c r="A223" t="s">
        <v>1768</v>
      </c>
    </row>
    <row r="224" spans="1:1" x14ac:dyDescent="0.35">
      <c r="A224" t="s">
        <v>1769</v>
      </c>
    </row>
    <row r="226" spans="1:1" x14ac:dyDescent="0.35">
      <c r="A226" t="s">
        <v>1770</v>
      </c>
    </row>
    <row r="227" spans="1:1" x14ac:dyDescent="0.35">
      <c r="A227" t="s">
        <v>1771</v>
      </c>
    </row>
    <row r="228" spans="1:1" x14ac:dyDescent="0.35">
      <c r="A228" t="s">
        <v>1772</v>
      </c>
    </row>
    <row r="229" spans="1:1" x14ac:dyDescent="0.35">
      <c r="A229" t="s">
        <v>1773</v>
      </c>
    </row>
    <row r="230" spans="1:1" x14ac:dyDescent="0.35">
      <c r="A230" t="s">
        <v>1774</v>
      </c>
    </row>
    <row r="231" spans="1:1" x14ac:dyDescent="0.35">
      <c r="A231" t="s">
        <v>1775</v>
      </c>
    </row>
    <row r="233" spans="1:1" x14ac:dyDescent="0.35">
      <c r="A233" t="s">
        <v>1776</v>
      </c>
    </row>
    <row r="234" spans="1:1" x14ac:dyDescent="0.35">
      <c r="A234" t="s">
        <v>1777</v>
      </c>
    </row>
    <row r="235" spans="1:1" x14ac:dyDescent="0.35">
      <c r="A235" t="s">
        <v>1778</v>
      </c>
    </row>
    <row r="236" spans="1:1" x14ac:dyDescent="0.35">
      <c r="A236" t="s">
        <v>1779</v>
      </c>
    </row>
    <row r="237" spans="1:1" x14ac:dyDescent="0.35">
      <c r="A237" t="s">
        <v>1780</v>
      </c>
    </row>
    <row r="238" spans="1:1" x14ac:dyDescent="0.35">
      <c r="A238" t="s">
        <v>1781</v>
      </c>
    </row>
    <row r="240" spans="1:1" x14ac:dyDescent="0.35">
      <c r="A240" t="s">
        <v>1782</v>
      </c>
    </row>
    <row r="241" spans="1:1" x14ac:dyDescent="0.35">
      <c r="A241" t="s">
        <v>1783</v>
      </c>
    </row>
    <row r="242" spans="1:1" x14ac:dyDescent="0.35">
      <c r="A242" t="s">
        <v>1784</v>
      </c>
    </row>
    <row r="243" spans="1:1" x14ac:dyDescent="0.35">
      <c r="A243" t="s">
        <v>1785</v>
      </c>
    </row>
    <row r="245" spans="1:1" x14ac:dyDescent="0.35">
      <c r="A245" t="s">
        <v>1786</v>
      </c>
    </row>
    <row r="246" spans="1:1" x14ac:dyDescent="0.35">
      <c r="A246" t="s">
        <v>1787</v>
      </c>
    </row>
    <row r="247" spans="1:1" x14ac:dyDescent="0.35">
      <c r="A247" t="s">
        <v>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39</vt:i4>
      </vt:variant>
    </vt:vector>
  </HeadingPairs>
  <TitlesOfParts>
    <vt:vector size="69" baseType="lpstr">
      <vt:lpstr>Control_Panel</vt:lpstr>
      <vt:lpstr>Master_Inputs</vt:lpstr>
      <vt:lpstr>AsFiled</vt:lpstr>
      <vt:lpstr>Tax_Plan_Dashboard</vt:lpstr>
      <vt:lpstr>PY_Recon</vt:lpstr>
      <vt:lpstr>Pivot_GPD</vt:lpstr>
      <vt:lpstr>Y2023</vt:lpstr>
      <vt:lpstr>Y2024</vt:lpstr>
      <vt:lpstr>Y2025</vt:lpstr>
      <vt:lpstr>Y2026</vt:lpstr>
      <vt:lpstr>Y2027</vt:lpstr>
      <vt:lpstr>Y2028</vt:lpstr>
      <vt:lpstr>Pivot_Summary</vt:lpstr>
      <vt:lpstr>Pivot_Medium</vt:lpstr>
      <vt:lpstr>Pivot_Detailed</vt:lpstr>
      <vt:lpstr>Pivot_Helpers</vt:lpstr>
      <vt:lpstr>Visual_Pivot_Income</vt:lpstr>
      <vt:lpstr>Visual_Pivot_BusinessIncome</vt:lpstr>
      <vt:lpstr>Visual_Pivot_ByPayor</vt:lpstr>
      <vt:lpstr>Visual_Pivot_HelperCarveOuts</vt:lpstr>
      <vt:lpstr>Tax_Ref</vt:lpstr>
      <vt:lpstr>Dropdown_Lists</vt:lpstr>
      <vt:lpstr>Framework_Ref</vt:lpstr>
      <vt:lpstr>Glossary</vt:lpstr>
      <vt:lpstr>Carryovers</vt:lpstr>
      <vt:lpstr>Questionnaire</vt:lpstr>
      <vt:lpstr>Connections</vt:lpstr>
      <vt:lpstr>Projection_History</vt:lpstr>
      <vt:lpstr>Change_Log</vt:lpstr>
      <vt:lpstr>Setup_Guide</vt:lpstr>
      <vt:lpstr>Active_Client</vt:lpstr>
      <vt:lpstr>Active_Year</vt:lpstr>
      <vt:lpstr>Activity_Type</vt:lpstr>
      <vt:lpstr>Adjustment_Docs</vt:lpstr>
      <vt:lpstr>Adjustment_Profiles</vt:lpstr>
      <vt:lpstr>Bucket</vt:lpstr>
      <vt:lpstr>BusinessIncome_Docs</vt:lpstr>
      <vt:lpstr>BusinessIncome_Profiles</vt:lpstr>
      <vt:lpstr>CapitalGains_Docs</vt:lpstr>
      <vt:lpstr>CapitalGains_Profiles</vt:lpstr>
      <vt:lpstr>Credit_Docs</vt:lpstr>
      <vt:lpstr>Credit_Profiles</vt:lpstr>
      <vt:lpstr>Filing_Status</vt:lpstr>
      <vt:lpstr>InvestmentIncome_Docs</vt:lpstr>
      <vt:lpstr>InvestmentIncome_Profiles</vt:lpstr>
      <vt:lpstr>Itemized_Docs</vt:lpstr>
      <vt:lpstr>Itemized_Profiles</vt:lpstr>
      <vt:lpstr>NIIT_Class</vt:lpstr>
      <vt:lpstr>Payment_Docs</vt:lpstr>
      <vt:lpstr>Payment_Profiles</vt:lpstr>
      <vt:lpstr>Provenance</vt:lpstr>
      <vt:lpstr>Status</vt:lpstr>
      <vt:lpstr>TaxLines</vt:lpstr>
      <vt:lpstr>VP_BI_K1_PTP_Passive</vt:lpstr>
      <vt:lpstr>VP_BI_K1_SCorp_Active</vt:lpstr>
      <vt:lpstr>VP_BI_SchE_Rental</vt:lpstr>
      <vt:lpstr>VP_BI_Total</vt:lpstr>
      <vt:lpstr>VP_Line_12_Deduction</vt:lpstr>
      <vt:lpstr>VP_Line_1z_Wages</vt:lpstr>
      <vt:lpstr>VP_Line_2b_TaxInt</vt:lpstr>
      <vt:lpstr>VP_Line_3b_OrdDiv</vt:lpstr>
      <vt:lpstr>VP_Line_7_CapGain</vt:lpstr>
      <vt:lpstr>VP_Line_8_OtherInc</vt:lpstr>
      <vt:lpstr>VP_OWNER_PAY</vt:lpstr>
      <vt:lpstr>VP_QUAL_DIV</vt:lpstr>
      <vt:lpstr>VP_TotalIncome</vt:lpstr>
      <vt:lpstr>Wages_Docs</vt:lpstr>
      <vt:lpstr>Wages_Profiles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 Johnson</cp:lastModifiedBy>
  <dcterms:created xsi:type="dcterms:W3CDTF">2026-05-18T23:48:06Z</dcterms:created>
  <dcterms:modified xsi:type="dcterms:W3CDTF">2026-05-19T14:19:21Z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156bfd61-5fca-4d93-adea-b344b9a60064</vt:lpwstr>
  </property>
</Properties>
</file>
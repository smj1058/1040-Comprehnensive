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9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20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1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2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ables/table14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45" yWindow="-16320" windowWidth="29040" windowHeight="15720" tabRatio="681" firstSheet="8" activeTab="8" autoFilterDateGrouping="1"/>
  </bookViews>
  <sheets>
    <sheet name="Control_Panel" sheetId="1" state="visible" r:id="rId1"/>
    <sheet name="Master_Inputs" sheetId="2" state="visible" r:id="rId2"/>
    <sheet name="AsFiled" sheetId="3" state="visible" r:id="rId3"/>
    <sheet name="Tax_Plan_Dashboard" sheetId="4" state="visible" r:id="rId4"/>
    <sheet name="Deliverable" sheetId="5" state="visible" r:id="rId5"/>
    <sheet name="PY_Recon" sheetId="6" state="visible" r:id="rId6"/>
    <sheet name="Pivot_GPD" sheetId="7" state="visible" r:id="rId7"/>
    <sheet name="Y2023" sheetId="8" state="visible" r:id="rId8"/>
    <sheet name="Y2024" sheetId="9" state="visible" r:id="rId9"/>
    <sheet name="Y2025" sheetId="10" state="visible" r:id="rId10"/>
    <sheet name="Y2026" sheetId="11" state="visible" r:id="rId11"/>
    <sheet name="Y2027" sheetId="12" state="visible" r:id="rId12"/>
    <sheet name="Y2028" sheetId="13" state="visible" r:id="rId13"/>
    <sheet name="Pivot_Summary" sheetId="14" state="visible" r:id="rId14"/>
    <sheet name="Pivot_Medium" sheetId="15" state="visible" r:id="rId15"/>
    <sheet name="Pivot_Detailed" sheetId="16" state="visible" r:id="rId16"/>
    <sheet name="Pivot_Helpers" sheetId="17" state="visible" r:id="rId17"/>
    <sheet name="Visual_Pivot_Income" sheetId="18" state="visible" r:id="rId18"/>
    <sheet name="Visual_Pivot_BusinessIncome" sheetId="19" state="visible" r:id="rId19"/>
    <sheet name="Visual_Pivot_ByPayor" sheetId="20" state="visible" r:id="rId20"/>
    <sheet name="Visual_Pivot_HelperCarveOuts" sheetId="21" state="visible" r:id="rId21"/>
    <sheet name="Tax_Ref" sheetId="22" state="visible" r:id="rId22"/>
    <sheet name="Dropdown_Lists" sheetId="23" state="visible" r:id="rId23"/>
    <sheet name="Framework_Ref" sheetId="24" state="visible" r:id="rId24"/>
    <sheet name="Master_Strategies" sheetId="25" state="visible" r:id="rId25"/>
    <sheet name="Glossary" sheetId="26" state="visible" r:id="rId26"/>
    <sheet name="Carryovers" sheetId="27" state="visible" r:id="rId27"/>
    <sheet name="Property_Appendix" sheetId="28" state="visible" r:id="rId28"/>
    <sheet name="Questionnaire" sheetId="29" state="visible" r:id="rId29"/>
    <sheet name="Connections" sheetId="30" state="visible" r:id="rId30"/>
    <sheet name="Projection_History" sheetId="31" state="visible" r:id="rId31"/>
    <sheet name="Change_Log" sheetId="32" state="visible" r:id="rId32"/>
    <sheet name="Setup_Guide" sheetId="33" state="visible" r:id="rId33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licer_Activity_Type">#N/A</definedName>
    <definedName name="Slicer_Activity_Type1">#N/A</definedName>
    <definedName name="Slicer_Activity_Type2">#N/A</definedName>
    <definedName name="Slicer_Activity_Type3">#N/A</definedName>
    <definedName name="Slicer_Bucket">#N/A</definedName>
    <definedName name="Slicer_Bucket1">#N/A</definedName>
    <definedName name="Slicer_ClientID">#N/A</definedName>
    <definedName name="Slicer_ClientID1">#N/A</definedName>
    <definedName name="Slicer_NIIT_Class">#N/A</definedName>
    <definedName name="Slicer_QBI_Eligible">#N/A</definedName>
    <definedName name="Slicer_SE_Subject">#N/A</definedName>
    <definedName name="Slicer_Year">#N/A</definedName>
    <definedName name="Slicer_Year1">#N/A</definedName>
    <definedName name="Slicer_Year2">#N/A</definedName>
    <definedName name="Slicer_Year3">#N/A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  <definedName name="Taxpayer_Name">Control_Panel!$C$23</definedName>
    <definedName name="Spouse_Name">Control_Panel!$C$24</definedName>
    <definedName name="Taxpayer_65Plus">Control_Panel!$C$25</definedName>
    <definedName name="Spouse_65Plus">Control_Panel!$C$26</definedName>
    <definedName name="Taxpayer_Blind">Control_Panel!$C$27</definedName>
    <definedName name="Spouse_Blind">Control_Panel!$C$28</definedName>
    <definedName name="Dep_CTC_Count">Control_Panel!$C$29</definedName>
    <definedName name="Dep_ODC_Count">Control_Panel!$C$30</definedName>
    <definedName name="SE_Health_Ins_Eligible">Control_Panel!$C$31</definedName>
    <definedName name="Itemize_Override">Control_Panel!$C$32</definedName>
    <definedName name="PY_Total_Tax">Control_Panel!$C$33</definedName>
    <definedName name="MasterStrategies">Master_Strategies!$B7:$L26</definedName>
    <definedName name="States">Dropdown_Lists!$I$4:$I$54</definedName>
    <definedName name="tblStateRates">Tax_Ref!$B$619:$F$669</definedName>
    <definedName name="PTET_States">Tax_Ref!$B$619:$D$669</definedName>
  </definedNames>
  <calcPr calcId="191029" fullCalcOnLoad="1" iterate="1"/>
  <pivotCaches>
    <pivotCache cacheId="10" r:id="rId34"/>
  </pivotCaches>
</workbook>
</file>

<file path=xl/styles.xml><?xml version="1.0" encoding="utf-8"?>
<styleSheet xmlns="http://schemas.openxmlformats.org/spreadsheetml/2006/main">
  <numFmts count="8">
    <numFmt numFmtId="164" formatCode="&quot;$&quot;#,##0"/>
    <numFmt numFmtId="165" formatCode="&quot;$&quot;#,##0.00"/>
    <numFmt numFmtId="166" formatCode="yyyy\-mm\-dd"/>
    <numFmt numFmtId="167" formatCode="0.0%"/>
    <numFmt numFmtId="168" formatCode="$#,##0"/>
    <numFmt numFmtId="169" formatCode="&quot;$&quot;#,##0;(&quot;$&quot;#,##0)"/>
    <numFmt numFmtId="170" formatCode="&quot;$&quot;#,##0;(&quot;$&quot;#,##0);&quot;-&quot;"/>
    <numFmt numFmtId="171" formatCode="0&quot;)&quot;"/>
  </numFmts>
  <fonts count="77">
    <font>
      <name val="Calibri"/>
      <family val="2"/>
      <color theme="1"/>
      <sz val="11"/>
      <scheme val="minor"/>
    </font>
    <font>
      <name val="Calibri"/>
      <family val="2"/>
      <b val="1"/>
      <color rgb="FF305496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305496"/>
      <sz val="10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305496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808080"/>
      <sz val="10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F4E79"/>
      <sz val="10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b val="1"/>
      <color rgb="FFFFFFFF"/>
      <sz val="10"/>
    </font>
    <font>
      <name val="Calibri"/>
      <family val="2"/>
      <color rgb="FF0000FF"/>
      <sz val="11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1F4E79"/>
      <sz val="11"/>
      <u val="single"/>
      <scheme val="minor"/>
    </font>
    <font>
      <name val="Calibri"/>
      <family val="2"/>
      <b val="1"/>
      <color rgb="FF1F4E79"/>
      <sz val="12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333333"/>
      <sz val="10"/>
      <scheme val="minor"/>
    </font>
    <font>
      <name val="Calibri"/>
      <family val="2"/>
      <color rgb="FF333333"/>
      <sz val="10"/>
      <scheme val="minor"/>
    </font>
    <font>
      <name val="Calibri"/>
      <family val="2"/>
      <b val="1"/>
      <color rgb="FF333333"/>
      <sz val="10"/>
      <u val="single"/>
      <scheme val="minor"/>
    </font>
    <font>
      <name val="Calibri"/>
      <family val="2"/>
      <color rgb="FF333333"/>
      <sz val="10"/>
      <u val="single"/>
      <scheme val="minor"/>
    </font>
    <font>
      <name val="Calibri"/>
      <family val="2"/>
      <i val="1"/>
      <color rgb="FF666666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8000"/>
      <sz val="10"/>
      <scheme val="minor"/>
    </font>
    <font>
      <name val="Calibri"/>
      <family val="2"/>
      <b val="1"/>
      <color rgb="FF70AD47"/>
      <sz val="14"/>
      <scheme val="minor"/>
    </font>
    <font>
      <name val="Calibri"/>
      <b val="1"/>
      <color rgb="00FFFFFF"/>
      <sz val="14"/>
    </font>
    <font>
      <name val="Calibri"/>
      <b val="1"/>
      <color rgb="00305496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i val="1"/>
      <color rgb="00595959"/>
      <sz val="9"/>
    </font>
    <font>
      <b val="1"/>
      <color rgb="00305496"/>
      <sz val="11"/>
    </font>
    <font>
      <name val="Calibri"/>
      <b val="1"/>
      <color rgb="00305496"/>
      <sz val="20"/>
    </font>
    <font>
      <name val="Calibri"/>
      <b val="1"/>
      <color rgb="00305496"/>
      <sz val="14"/>
    </font>
    <font>
      <name val="Calibri"/>
      <color rgb="00595959"/>
      <sz val="11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2E7D32"/>
      <sz val="12"/>
    </font>
    <font>
      <name val="Calibri"/>
      <b val="1"/>
      <color rgb="002E7D32"/>
      <sz val="16"/>
    </font>
    <font>
      <name val="Calibri"/>
      <b val="1"/>
      <color rgb="00305496"/>
      <sz val="12"/>
    </font>
    <font>
      <name val="Calibri"/>
      <sz val="10"/>
    </font>
    <font>
      <name val="Calibri"/>
      <b val="1"/>
      <color rgb="001F4E79"/>
      <sz val="11"/>
    </font>
    <font>
      <name val="Calibri"/>
      <sz val="11"/>
    </font>
    <font>
      <name val="Calibri"/>
      <color rgb="001F4E79"/>
      <sz val="11"/>
    </font>
    <font>
      <name val="Calibri"/>
      <i val="1"/>
      <color rgb="007F7F7F"/>
      <sz val="10"/>
    </font>
    <font/>
    <font>
      <name val="Calibri"/>
      <b val="1"/>
      <color rgb="001F4E79"/>
      <sz val="18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i val="1"/>
      <color rgb="007F7F7F"/>
      <sz val="9"/>
    </font>
    <font>
      <name val="Calibri"/>
      <b val="1"/>
      <color rgb="001F4E79"/>
      <sz val="14"/>
    </font>
    <font>
      <name val="Calibri"/>
      <i val="1"/>
      <color rgb="00808080"/>
      <sz val="9"/>
    </font>
    <font>
      <name val="Calibri"/>
      <i val="1"/>
      <color rgb="003F3F3F"/>
      <sz val="9"/>
    </font>
    <font>
      <name val="Calibri"/>
      <i val="1"/>
      <color rgb="00C00000"/>
      <sz val="9"/>
    </font>
    <font>
      <name val="Calibri"/>
      <i val="1"/>
      <color rgb="003F3F3F"/>
      <sz val="10"/>
    </font>
    <font>
      <name val="Calibri"/>
      <i val="1"/>
      <sz val="9"/>
    </font>
    <font>
      <name val="Calibri"/>
      <b val="1"/>
      <color rgb="00C00000"/>
      <sz val="9"/>
    </font>
  </fonts>
  <fills count="24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00000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2">
    <xf numFmtId="0" fontId="0" fillId="0" borderId="0"/>
    <xf numFmtId="0" fontId="9" fillId="0" borderId="0"/>
  </cellStyleXfs>
  <cellXfs count="199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1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1" pivotButton="0" quotePrefix="0" xfId="0"/>
    <xf numFmtId="3" fontId="1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right"/>
    </xf>
    <xf numFmtId="0" fontId="19" fillId="0" borderId="0" pivotButton="0" quotePrefix="0" xfId="0"/>
    <xf numFmtId="0" fontId="19" fillId="6" borderId="0" pivotButton="0" quotePrefix="0" xfId="0"/>
    <xf numFmtId="3" fontId="19" fillId="6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" fontId="14" fillId="0" borderId="1" pivotButton="0" quotePrefix="0" xfId="0"/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0" fontId="10" fillId="0" borderId="2" pivotButton="0" quotePrefix="0" xfId="0"/>
    <xf numFmtId="3" fontId="10" fillId="0" borderId="2" pivotButton="0" quotePrefix="0" xfId="0"/>
    <xf numFmtId="49" fontId="10" fillId="0" borderId="2" pivotButton="0" quotePrefix="0" xfId="0"/>
    <xf numFmtId="49" fontId="10" fillId="0" borderId="0" pivotButton="0" quotePrefix="0" xfId="0"/>
    <xf numFmtId="0" fontId="16" fillId="6" borderId="0" pivotButton="0" quotePrefix="0" xfId="0"/>
    <xf numFmtId="3" fontId="14" fillId="0" borderId="1" pivotButton="0" quotePrefix="0" xfId="0"/>
    <xf numFmtId="3" fontId="16" fillId="0" borderId="0" pivotButton="0" quotePrefix="0" xfId="0"/>
    <xf numFmtId="3" fontId="16" fillId="6" borderId="0" pivotButton="0" quotePrefix="0" xfId="0"/>
    <xf numFmtId="3" fontId="0" fillId="6" borderId="0" pivotButton="0" quotePrefix="0" xfId="0"/>
    <xf numFmtId="0" fontId="22" fillId="5" borderId="0" applyAlignment="1" pivotButton="0" quotePrefix="0" xfId="0">
      <alignment horizontal="center"/>
    </xf>
    <xf numFmtId="0" fontId="23" fillId="5" borderId="0" pivotButton="0" quotePrefix="0" xfId="0"/>
    <xf numFmtId="0" fontId="24" fillId="0" borderId="1" pivotButton="0" quotePrefix="0" xfId="0"/>
    <xf numFmtId="0" fontId="25" fillId="0" borderId="0" pivotButton="0" quotePrefix="0" xfId="0"/>
    <xf numFmtId="0" fontId="25" fillId="0" borderId="1" pivotButton="0" quotePrefix="0" xfId="0"/>
    <xf numFmtId="3" fontId="19" fillId="6" borderId="0" pivotButton="0" quotePrefix="0" xfId="0"/>
    <xf numFmtId="3" fontId="12" fillId="8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3" fontId="0" fillId="3" borderId="0" pivotButton="0" quotePrefix="0" xfId="0"/>
    <xf numFmtId="10" fontId="1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27" fillId="0" borderId="0" pivotButton="0" quotePrefix="0" xfId="0"/>
    <xf numFmtId="0" fontId="23" fillId="7" borderId="0" pivotButton="0" quotePrefix="0" xfId="0"/>
    <xf numFmtId="0" fontId="0" fillId="7" borderId="0" pivotButton="0" quotePrefix="0" xfId="0"/>
    <xf numFmtId="0" fontId="28" fillId="0" borderId="0" pivotButton="0" quotePrefix="0" xfId="0"/>
    <xf numFmtId="0" fontId="29" fillId="0" borderId="0" pivotButton="0" quotePrefix="0" xfId="0"/>
    <xf numFmtId="14" fontId="27" fillId="0" borderId="0" pivotButton="0" quotePrefix="0" xfId="0"/>
    <xf numFmtId="0" fontId="30" fillId="0" borderId="0" pivotButton="0" quotePrefix="0" xfId="0"/>
    <xf numFmtId="0" fontId="31" fillId="0" borderId="0" pivotButton="0" quotePrefix="0" xfId="1"/>
    <xf numFmtId="0" fontId="32" fillId="0" borderId="0" pivotButton="0" quotePrefix="0" xfId="1"/>
    <xf numFmtId="0" fontId="33" fillId="0" borderId="0" pivotButton="0" quotePrefix="0" xfId="0"/>
    <xf numFmtId="3" fontId="34" fillId="3" borderId="0" pivotButton="0" quotePrefix="0" xfId="0"/>
    <xf numFmtId="0" fontId="10" fillId="9" borderId="0" pivotButton="0" quotePrefix="0" xfId="0"/>
    <xf numFmtId="0" fontId="35" fillId="0" borderId="0" pivotButton="0" quotePrefix="0" xfId="0"/>
    <xf numFmtId="0" fontId="0" fillId="0" borderId="0" pivotButton="0" quotePrefix="1" xfId="0"/>
    <xf numFmtId="166" fontId="0" fillId="0" borderId="0" pivotButton="0" quotePrefix="0" xfId="0"/>
    <xf numFmtId="0" fontId="23" fillId="10" borderId="0" pivotButton="0" quotePrefix="0" xfId="0"/>
    <xf numFmtId="0" fontId="36" fillId="0" borderId="0" pivotButton="0" quotePrefix="0" xfId="1"/>
    <xf numFmtId="0" fontId="23" fillId="11" borderId="0" pivotButton="0" quotePrefix="0" xfId="0"/>
    <xf numFmtId="0" fontId="23" fillId="12" borderId="0" pivotButton="0" quotePrefix="0" xfId="0"/>
    <xf numFmtId="0" fontId="23" fillId="13" borderId="0" pivotButton="0" quotePrefix="0" xfId="0"/>
    <xf numFmtId="0" fontId="23" fillId="14" borderId="0" pivotButton="0" quotePrefix="0" xfId="0"/>
    <xf numFmtId="0" fontId="24" fillId="0" borderId="0" pivotButton="0" quotePrefix="0" xfId="0"/>
    <xf numFmtId="0" fontId="14" fillId="15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1"/>
    <xf numFmtId="0" fontId="40" fillId="0" borderId="0" pivotButton="0" quotePrefix="0" xfId="1"/>
    <xf numFmtId="1" fontId="30" fillId="0" borderId="0" pivotButton="0" quotePrefix="0" xfId="0"/>
    <xf numFmtId="0" fontId="41" fillId="0" borderId="0" pivotButton="0" quotePrefix="0" xfId="0"/>
    <xf numFmtId="166" fontId="30" fillId="0" borderId="0" pivotButton="0" quotePrefix="0" xfId="0"/>
    <xf numFmtId="0" fontId="42" fillId="0" borderId="0" pivotButton="0" quotePrefix="0" xfId="0"/>
    <xf numFmtId="0" fontId="0" fillId="16" borderId="0" pivotButton="0" quotePrefix="0" xfId="0"/>
    <xf numFmtId="3" fontId="34" fillId="0" borderId="0" pivotButton="0" quotePrefix="0" xfId="0"/>
    <xf numFmtId="0" fontId="43" fillId="9" borderId="0" pivotButton="0" quotePrefix="0" xfId="0"/>
    <xf numFmtId="3" fontId="30" fillId="0" borderId="0" pivotButton="0" quotePrefix="0" xfId="0"/>
    <xf numFmtId="164" fontId="44" fillId="0" borderId="0" pivotButton="0" quotePrefix="0" xfId="0"/>
    <xf numFmtId="164" fontId="17" fillId="0" borderId="0" pivotButton="0" quotePrefix="0" xfId="0"/>
    <xf numFmtId="167" fontId="44" fillId="0" borderId="0" pivotButton="0" quotePrefix="0" xfId="0"/>
    <xf numFmtId="0" fontId="44" fillId="0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pivotButton="0" quotePrefix="0" xfId="0"/>
    <xf numFmtId="3" fontId="1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3" fontId="45" fillId="0" borderId="0" applyAlignment="1" pivotButton="0" quotePrefix="0" xfId="0">
      <alignment horizontal="right"/>
    </xf>
    <xf numFmtId="0" fontId="46" fillId="18" borderId="0" applyAlignment="1" pivotButton="0" quotePrefix="0" xfId="0">
      <alignment horizontal="left" vertical="center"/>
    </xf>
    <xf numFmtId="0" fontId="47" fillId="0" borderId="0" pivotButton="0" quotePrefix="0" xfId="0"/>
    <xf numFmtId="0" fontId="48" fillId="19" borderId="3" applyAlignment="1" pivotButton="0" quotePrefix="0" xfId="0">
      <alignment horizontal="center"/>
    </xf>
    <xf numFmtId="0" fontId="49" fillId="0" borderId="3" pivotButton="0" quotePrefix="0" xfId="0"/>
    <xf numFmtId="168" fontId="0" fillId="0" borderId="3" pivotButton="0" quotePrefix="0" xfId="0"/>
    <xf numFmtId="0" fontId="0" fillId="0" borderId="3" pivotButton="0" quotePrefix="0" xfId="0"/>
    <xf numFmtId="10" fontId="0" fillId="0" borderId="3" pivotButton="0" quotePrefix="0" xfId="0"/>
    <xf numFmtId="0" fontId="49" fillId="0" borderId="0" pivotButton="0" quotePrefix="0" xfId="0"/>
    <xf numFmtId="168" fontId="49" fillId="0" borderId="3" pivotButton="0" quotePrefix="0" xfId="0"/>
    <xf numFmtId="0" fontId="50" fillId="0" borderId="0" pivotButton="0" quotePrefix="0" xfId="0"/>
    <xf numFmtId="168" fontId="0" fillId="0" borderId="0" pivotButton="0" quotePrefix="0" xfId="0"/>
    <xf numFmtId="0" fontId="51" fillId="0" borderId="0" pivotButton="0" quotePrefix="0" xfId="0"/>
    <xf numFmtId="168" fontId="51" fillId="0" borderId="3" pivotButton="0" quotePrefix="0" xfId="0"/>
    <xf numFmtId="0" fontId="0" fillId="0" borderId="3" applyAlignment="1" pivotButton="0" quotePrefix="0" xfId="0">
      <alignment horizontal="center"/>
    </xf>
    <xf numFmtId="0" fontId="5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18" borderId="0" pivotButton="0" quotePrefix="0" xfId="0"/>
    <xf numFmtId="168" fontId="53" fillId="0" borderId="0" pivotButton="0" quotePrefix="0" xfId="0"/>
    <xf numFmtId="0" fontId="57" fillId="0" borderId="0" pivotButton="0" quotePrefix="0" xfId="0"/>
    <xf numFmtId="168" fontId="58" fillId="0" borderId="0" pivotButton="0" quotePrefix="0" xfId="0"/>
    <xf numFmtId="0" fontId="59" fillId="0" borderId="0" pivotButton="0" quotePrefix="0" xfId="0"/>
    <xf numFmtId="0" fontId="60" fillId="0" borderId="3" pivotButton="0" quotePrefix="0" xfId="0"/>
    <xf numFmtId="0" fontId="50" fillId="0" borderId="3" pivotButton="0" quotePrefix="0" xfId="0"/>
    <xf numFmtId="168" fontId="57" fillId="0" borderId="3" pivotButton="0" quotePrefix="0" xfId="0"/>
    <xf numFmtId="168" fontId="57" fillId="0" borderId="0" pivotButton="0" quotePrefix="0" xfId="0"/>
    <xf numFmtId="167" fontId="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20" borderId="3" pivotButton="0" quotePrefix="0" xfId="0"/>
    <xf numFmtId="0" fontId="64" fillId="0" borderId="0" pivotButton="0" quotePrefix="0" xfId="0"/>
    <xf numFmtId="169" fontId="63" fillId="20" borderId="3" pivotButton="0" quotePrefix="0" xfId="0"/>
    <xf numFmtId="0" fontId="65" fillId="0" borderId="4" pivotButton="0" quotePrefix="0" xfId="0"/>
    <xf numFmtId="0" fontId="66" fillId="0" borderId="4" pivotButton="0" quotePrefix="0" xfId="0"/>
    <xf numFmtId="0" fontId="64" fillId="0" borderId="4" pivotButton="0" quotePrefix="0" xfId="0"/>
    <xf numFmtId="0" fontId="60" fillId="0" borderId="4" applyAlignment="1" pivotButton="0" quotePrefix="0" xfId="0">
      <alignment horizontal="right" vertical="center"/>
    </xf>
    <xf numFmtId="0" fontId="67" fillId="20" borderId="3" applyAlignment="1" pivotButton="0" quotePrefix="0" xfId="0">
      <alignment horizontal="center" vertical="center"/>
    </xf>
    <xf numFmtId="0" fontId="56" fillId="21" borderId="4" applyAlignment="1" pivotButton="0" quotePrefix="0" xfId="0">
      <alignment horizontal="left" vertical="center"/>
    </xf>
    <xf numFmtId="0" fontId="48" fillId="19" borderId="3" applyAlignment="1" pivotButton="0" quotePrefix="0" xfId="0">
      <alignment horizontal="center" vertical="center"/>
    </xf>
    <xf numFmtId="0" fontId="60" fillId="0" borderId="3" applyAlignment="1" pivotButton="0" quotePrefix="0" xfId="0">
      <alignment horizontal="left" vertical="center"/>
    </xf>
    <xf numFmtId="170" fontId="68" fillId="0" borderId="3" applyAlignment="1" pivotButton="0" quotePrefix="0" xfId="0">
      <alignment horizontal="right" vertical="center"/>
    </xf>
    <xf numFmtId="10" fontId="68" fillId="0" borderId="3" applyAlignment="1" pivotButton="0" quotePrefix="0" xfId="0">
      <alignment horizontal="right" vertical="center"/>
    </xf>
    <xf numFmtId="0" fontId="67" fillId="22" borderId="3" applyAlignment="1" pivotButton="0" quotePrefix="0" xfId="0">
      <alignment horizontal="left" vertical="center"/>
    </xf>
    <xf numFmtId="170" fontId="67" fillId="22" borderId="3" applyAlignment="1" pivotButton="0" quotePrefix="0" xfId="0">
      <alignment horizontal="right" vertical="center"/>
    </xf>
    <xf numFmtId="170" fontId="68" fillId="20" borderId="3" applyAlignment="1" pivotButton="0" quotePrefix="0" xfId="0">
      <alignment horizontal="right" vertical="center"/>
    </xf>
    <xf numFmtId="0" fontId="69" fillId="0" borderId="4" applyAlignment="1" pivotButton="0" quotePrefix="0" xfId="0">
      <alignment horizontal="left" vertical="center"/>
    </xf>
    <xf numFmtId="0" fontId="70" fillId="0" borderId="3" applyAlignment="1" pivotButton="0" quotePrefix="0" xfId="0">
      <alignment horizontal="center" vertical="center"/>
    </xf>
    <xf numFmtId="0" fontId="69" fillId="0" borderId="0" applyAlignment="1" pivotButton="0" quotePrefix="0" xfId="0">
      <alignment horizontal="left" vertical="center"/>
    </xf>
    <xf numFmtId="1" fontId="67" fillId="20" borderId="3" applyAlignment="1" pivotButton="0" quotePrefix="0" xfId="0">
      <alignment horizontal="center" vertical="center"/>
    </xf>
    <xf numFmtId="0" fontId="69" fillId="0" borderId="4" applyAlignment="1" pivotButton="0" quotePrefix="0" xfId="0">
      <alignment horizontal="right" vertical="center"/>
    </xf>
    <xf numFmtId="171" fontId="69" fillId="0" borderId="4" applyAlignment="1" pivotButton="0" quotePrefix="0" xfId="0">
      <alignment horizontal="left" vertical="center"/>
    </xf>
    <xf numFmtId="0" fontId="60" fillId="0" borderId="3" applyAlignment="1" pivotButton="0" quotePrefix="0" xfId="0">
      <alignment horizontal="center" vertical="center"/>
    </xf>
    <xf numFmtId="0" fontId="69" fillId="0" borderId="3" applyAlignment="1" pivotButton="0" quotePrefix="0" xfId="0">
      <alignment horizontal="left" vertical="center"/>
    </xf>
    <xf numFmtId="0" fontId="66" fillId="0" borderId="0" pivotButton="0" quotePrefix="0" xfId="0"/>
    <xf numFmtId="0" fontId="56" fillId="21" borderId="0" applyAlignment="1" pivotButton="0" quotePrefix="0" xfId="0">
      <alignment horizontal="left" vertical="center"/>
    </xf>
    <xf numFmtId="0" fontId="71" fillId="0" borderId="3" applyAlignment="1" pivotButton="0" quotePrefix="0" xfId="0">
      <alignment horizontal="center" vertical="center"/>
    </xf>
    <xf numFmtId="164" fontId="71" fillId="0" borderId="3" applyAlignment="1" pivotButton="0" quotePrefix="0" xfId="0">
      <alignment horizontal="center" vertical="center"/>
    </xf>
    <xf numFmtId="10" fontId="71" fillId="0" borderId="3" applyAlignment="1" pivotButton="0" quotePrefix="0" xfId="0">
      <alignment horizontal="center" vertical="center"/>
    </xf>
    <xf numFmtId="0" fontId="60" fillId="20" borderId="3" pivotButton="0" quotePrefix="0" xfId="0"/>
    <xf numFmtId="164" fontId="60" fillId="20" borderId="3" pivotButton="0" quotePrefix="0" xfId="0"/>
    <xf numFmtId="10" fontId="60" fillId="20" borderId="3" pivotButton="0" quotePrefix="0" xfId="0"/>
    <xf numFmtId="0" fontId="72" fillId="0" borderId="0" pivotButton="0" quotePrefix="0" xfId="0"/>
    <xf numFmtId="3" fontId="60" fillId="20" borderId="3" pivotButton="0" quotePrefix="0" xfId="0"/>
    <xf numFmtId="0" fontId="69" fillId="0" borderId="3" pivotButton="0" quotePrefix="0" xfId="0"/>
    <xf numFmtId="0" fontId="56" fillId="21" borderId="0" applyAlignment="1" pivotButton="0" quotePrefix="0" xfId="0">
      <alignment horizontal="left" vertical="center" wrapText="1"/>
    </xf>
    <xf numFmtId="0" fontId="60" fillId="0" borderId="3" applyAlignment="1" pivotButton="0" quotePrefix="0" xfId="0">
      <alignment horizontal="left" vertical="center" wrapText="1"/>
    </xf>
    <xf numFmtId="0" fontId="49" fillId="0" borderId="3" applyAlignment="1" pivotButton="0" quotePrefix="0" xfId="0">
      <alignment horizontal="center" vertical="center"/>
    </xf>
    <xf numFmtId="0" fontId="61" fillId="0" borderId="3" applyAlignment="1" pivotButton="0" quotePrefix="0" xfId="0">
      <alignment horizontal="center" vertical="center"/>
    </xf>
    <xf numFmtId="0" fontId="49" fillId="0" borderId="3" applyAlignment="1" pivotButton="0" quotePrefix="0" xfId="0">
      <alignment horizontal="left" vertical="center" wrapText="1"/>
    </xf>
    <xf numFmtId="0" fontId="72" fillId="0" borderId="3" applyAlignment="1" pivotButton="0" quotePrefix="0" xfId="0">
      <alignment horizontal="left" vertical="center" wrapText="1"/>
    </xf>
    <xf numFmtId="0" fontId="49" fillId="0" borderId="0" applyAlignment="1" pivotButton="0" quotePrefix="0" xfId="0">
      <alignment horizontal="right" vertical="center"/>
    </xf>
    <xf numFmtId="0" fontId="61" fillId="20" borderId="3" applyAlignment="1" pivotButton="0" quotePrefix="0" xfId="0">
      <alignment horizontal="center" vertical="center"/>
    </xf>
    <xf numFmtId="164" fontId="61" fillId="20" borderId="3" applyAlignment="1" pivotButton="0" quotePrefix="0" xfId="0">
      <alignment horizontal="center" vertical="center"/>
    </xf>
    <xf numFmtId="0" fontId="73" fillId="0" borderId="3" applyAlignment="1" pivotButton="0" quotePrefix="0" xfId="0">
      <alignment horizontal="left" vertical="center" wrapText="1"/>
    </xf>
    <xf numFmtId="0" fontId="74" fillId="0" borderId="0" pivotButton="0" quotePrefix="0" xfId="0"/>
    <xf numFmtId="170" fontId="67" fillId="0" borderId="3" applyAlignment="1" pivotButton="0" quotePrefix="0" xfId="0">
      <alignment horizontal="right" vertical="center"/>
    </xf>
    <xf numFmtId="0" fontId="75" fillId="0" borderId="3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left" vertical="center" wrapText="1"/>
    </xf>
    <xf numFmtId="0" fontId="67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  <xf numFmtId="0" fontId="56" fillId="23" borderId="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76" fillId="0" borderId="3" applyAlignment="1" pivotButton="0" quotePrefix="0" xfId="0">
      <alignment horizontal="center" vertical="center"/>
    </xf>
    <xf numFmtId="0" fontId="60" fillId="20" borderId="3" applyAlignment="1" pivotButton="0" quotePrefix="0" xfId="0">
      <alignment horizontal="center" vertical="center"/>
    </xf>
    <xf numFmtId="0" fontId="69" fillId="0" borderId="0" pivotButton="0" quotePrefix="0" xfId="0"/>
    <xf numFmtId="10" fontId="60" fillId="0" borderId="3" applyAlignment="1" pivotButton="0" quotePrefix="0" xfId="0">
      <alignment horizontal="right" vertical="center"/>
    </xf>
    <xf numFmtId="0" fontId="72" fillId="0" borderId="3" applyAlignment="1" pivotButton="0" quotePrefix="0" xfId="0">
      <alignment horizontal="left" vertical="center"/>
    </xf>
    <xf numFmtId="0" fontId="60" fillId="0" borderId="3" applyAlignment="1" pivotButton="0" quotePrefix="0" xfId="0">
      <alignment horizontal="right" vertical="center"/>
    </xf>
    <xf numFmtId="0" fontId="48" fillId="19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48" fillId="23" borderId="3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dxfs count="71"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1" formatCode="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name val="Calibri"/>
        <color rgb="00548235"/>
        <sz val="10"/>
      </font>
      <fill>
        <patternFill patternType="solid">
          <fgColor rgb="00E2EFDA"/>
        </patternFill>
      </fill>
    </dxf>
    <dxf>
      <font>
        <name val="Calibri"/>
        <b val="1"/>
        <color rgb="00C00000"/>
        <sz val="10"/>
      </font>
      <fill>
        <patternFill patternType="solid">
          <fgColor rgb="00FCE4D6"/>
        </patternFill>
      </fill>
    </dxf>
    <dxf>
      <font/>
      <fill>
        <patternFill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pivotCacheDefinition" Target="/xl/pivotCache/pivotCacheDefinition1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eth Johnson" refreshedDate="46161.3291869213" createdVersion="8" refreshedVersion="8" minRefreshableVersion="3" recordCount="14" r:id="rId1">
  <cacheSource type="worksheet">
    <worksheetSource name="tblMaster_Inputs"/>
  </cacheSource>
  <cacheFields count="19">
    <cacheField name="InputID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24" maxValue="2025">
        <n v="2024"/>
        <n v="2025"/>
      </sharedItems>
    </cacheField>
    <cacheField name="ClientID" uniqueList="1" numFmtId="0" sqlType="0" hierarchy="0" level="0" databaseField="1">
      <sharedItems count="0"/>
    </cacheField>
    <cacheField name="ClientName" uniqueList="1" numFmtId="0" sqlType="0" hierarchy="0" level="0" databaseField="1">
      <sharedItems count="0"/>
    </cacheField>
    <cacheField name="Bucket" uniqueList="1" numFmtId="0" sqlType="0" hierarchy="0" level="0" databaseField="1">
      <sharedItems count="6">
        <s v="Wages"/>
        <s v="Business Income"/>
        <s v="Investment Income"/>
        <s v="Capital Gains"/>
        <s v="Itemized"/>
        <s v="Adjustment"/>
      </sharedItems>
    </cacheField>
    <cacheField name="Treatment_Profile" uniqueList="1" numFmtId="0" sqlType="0" hierarchy="0" level="0" databaseField="1">
      <sharedItems count="10">
        <s v="W2_SCorpOwner"/>
        <s v="K1_PTP_Passive"/>
        <s v="Div_Ordinary"/>
        <s v="LTCG_Stock"/>
        <s v="K1_SCorp_Active"/>
        <s v="Div_Qualified"/>
        <s v="Int_Taxable"/>
        <s v="Itm_SALT"/>
        <s v="Adj_HSA"/>
        <s v="SchE_Rental"/>
      </sharedItems>
    </cacheField>
    <cacheField name="Source_Document" uniqueList="1" numFmtId="0" sqlType="0" hierarchy="0" level="0" databaseField="1">
      <sharedItems count="0" containsBlank="1"/>
    </cacheField>
    <cacheField name="Activity_Type" uniqueList="1" numFmtId="0" sqlType="0" hierarchy="0" level="0" databaseField="1">
      <sharedItems count="2">
        <s v="Baseline"/>
        <s v="Strategy"/>
      </sharedItems>
    </cacheField>
    <cacheField name="Provenance" uniqueList="1" numFmtId="0" sqlType="0" hierarchy="0" level="0" databaseField="1">
      <sharedItems count="0"/>
    </cacheField>
    <cacheField name="Payor" uniqueList="1" numFmtId="0" sqlType="0" hierarchy="0" level="0" databaseField="1">
      <sharedItems count="7" containsBlank="1">
        <s v="Acme S-Corp"/>
        <s v="Cedillo Partnership"/>
        <s v="Brokerage"/>
        <s v="SampleCo S-Corp"/>
        <s v="SampleCo S-Corp K-1"/>
        <m/>
        <s v="123 Main St, Salt Lake City"/>
      </sharedItems>
    </cacheField>
    <cacheField name="Baseline_Amount" uniqueList="1" numFmtId="0" sqlType="0" hierarchy="0" level="0" databaseField="1">
      <sharedItems count="0" containsInteger="1" containsNumber="1" containsSemiMixedTypes="0" containsString="0" minValue="-100766" maxValue="200000"/>
    </cacheField>
    <cacheField name="Helper_Amount" uniqueList="1" numFmtId="0" sqlType="0" hierarchy="0" level="0" databaseField="1">
      <sharedItems count="0" containsInteger="1" containsNumber="1" containsSemiMixedTypes="0" containsString="0" minValue="0" maxValue="100000"/>
    </cacheField>
    <cacheField name="Helper_Treatment" uniqueList="1" numFmtId="0" sqlType="0" hierarchy="0" level="0" databaseField="1">
      <sharedItems count="8">
        <s v="OWNER_PAY"/>
        <s v="K1_SPLIT"/>
        <s v="QUAL_DIV"/>
        <s v="LTCG_SPLIT"/>
        <s v="NONE"/>
        <s v="SALT"/>
        <s v="PASSIVE"/>
        <s v="TAX_EXEMPT" u="1"/>
      </sharedItems>
    </cacheField>
    <cacheField name="SE_Subject" uniqueList="1" numFmtId="0" sqlType="0" hierarchy="0" level="0" databaseField="1">
      <sharedItems count="0"/>
    </cacheField>
    <cacheField name="NIIT_Class" uniqueList="1" numFmtId="0" sqlType="0" hierarchy="0" level="0" databaseField="1">
      <sharedItems count="0"/>
    </cacheField>
    <cacheField name="QBI_Eligible" uniqueList="1" numFmtId="0" sqlType="0" hierarchy="0" level="0" databaseField="1">
      <sharedItems count="0"/>
    </cacheField>
    <cacheField name="Primary_Line" uniqueList="1" numFmtId="0" sqlType="0" hierarchy="0" level="0" databaseField="1">
      <sharedItems count="8" containsInteger="1" containsMixedTypes="1" containsNumber="1" minValue="8" maxValue="10">
        <s v="1z"/>
        <s v="8"/>
        <s v="3b"/>
        <s v="7"/>
        <s v="2b"/>
        <s v="12"/>
        <n v="8"/>
        <n v="10"/>
      </sharedItems>
    </cacheField>
    <cacheField name="Consider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4">
  <r>
    <s v="CED|2024|Wages|01"/>
    <x v="0"/>
    <s v="CEDILLO"/>
    <s v="Ron Cedillo"/>
    <x v="0"/>
    <x v="0"/>
    <s v="W-2"/>
    <x v="0"/>
    <s v="PBC - Reviewed"/>
    <x v="0"/>
    <n v="153648"/>
    <n v="0"/>
    <x v="0"/>
    <s v="No"/>
    <s v="Active"/>
    <s v="No"/>
    <x v="0"/>
    <s v="Owner reasonable comp"/>
    <m/>
  </r>
  <r>
    <s v="CED|2024|BI|01"/>
    <x v="0"/>
    <s v="CEDILLO"/>
    <s v="Ron Cedillo"/>
    <x v="1"/>
    <x v="1"/>
    <s v="K-1"/>
    <x v="0"/>
    <s v="PBC - Reviewed"/>
    <x v="1"/>
    <n v="-100766"/>
    <n v="0"/>
    <x v="1"/>
    <s v="No"/>
    <s v="Passive"/>
    <s v="Yes"/>
    <x v="1"/>
    <s v="Passive loss"/>
    <m/>
  </r>
  <r>
    <s v="CED|2024|II|01"/>
    <x v="0"/>
    <s v="CEDILLO"/>
    <s v="Ron Cedillo"/>
    <x v="2"/>
    <x v="2"/>
    <s v="1099-DIV"/>
    <x v="0"/>
    <s v="PBC - Reviewed"/>
    <x v="2"/>
    <n v="25922"/>
    <n v="0"/>
    <x v="2"/>
    <s v="No"/>
    <s v="Portfolio"/>
    <s v="No"/>
    <x v="2"/>
    <s v="All non-qualified"/>
    <m/>
  </r>
  <r>
    <s v="CED|2024|CG|01"/>
    <x v="0"/>
    <s v="CEDILLO"/>
    <s v="Ron Cedillo"/>
    <x v="3"/>
    <x v="3"/>
    <s v="1099-B"/>
    <x v="0"/>
    <s v="PBC - Reviewed"/>
    <x v="2"/>
    <n v="14487"/>
    <n v="0"/>
    <x v="3"/>
    <s v="No"/>
    <s v="Portfolio"/>
    <s v="No"/>
    <x v="3"/>
    <s v="All long-term"/>
    <m/>
  </r>
  <r>
    <s v="SAM|2025|Wages|01"/>
    <x v="1"/>
    <s v="SAMPLE"/>
    <s v="Sample Client"/>
    <x v="0"/>
    <x v="0"/>
    <s v="W-2"/>
    <x v="0"/>
    <s v="Estimate - Preparer"/>
    <x v="3"/>
    <n v="100000"/>
    <n v="100000"/>
    <x v="0"/>
    <s v="No"/>
    <s v="Active"/>
    <s v="No"/>
    <x v="0"/>
    <s v="Owner reasonable comp"/>
    <m/>
  </r>
  <r>
    <s v="SAM|2025|BI|01"/>
    <x v="1"/>
    <s v="SAMPLE"/>
    <s v="Sample Client"/>
    <x v="1"/>
    <x v="4"/>
    <s v="K-1"/>
    <x v="0"/>
    <s v="PY Rolled Forward"/>
    <x v="4"/>
    <n v="200000"/>
    <n v="0"/>
    <x v="1"/>
    <s v="No"/>
    <s v="Active"/>
    <s v="Yes"/>
    <x v="1"/>
    <s v="Active S-corp K-1"/>
    <m/>
  </r>
  <r>
    <s v="SAM|2025|II_Div|01"/>
    <x v="1"/>
    <s v="SAMPLE"/>
    <s v="Sample Client"/>
    <x v="2"/>
    <x v="5"/>
    <s v="1099-DIV"/>
    <x v="0"/>
    <s v="PBC - Received"/>
    <x v="2"/>
    <n v="10000"/>
    <n v="7000"/>
    <x v="2"/>
    <s v="No"/>
    <s v="Portfolio"/>
    <s v="No"/>
    <x v="2"/>
    <s v="$7K qualified"/>
    <m/>
  </r>
  <r>
    <s v="SAM|2025|II_Int|01"/>
    <x v="1"/>
    <s v="SAMPLE"/>
    <s v="Sample Client"/>
    <x v="2"/>
    <x v="6"/>
    <s v="1099-INT"/>
    <x v="0"/>
    <s v="PBC - Received"/>
    <x v="2"/>
    <n v="500"/>
    <n v="0"/>
    <x v="4"/>
    <s v="No"/>
    <s v="Portfolio"/>
    <s v="No"/>
    <x v="4"/>
    <s v="All taxable"/>
    <m/>
  </r>
  <r>
    <s v="SAM|2025|CG|01"/>
    <x v="1"/>
    <s v="SAMPLE"/>
    <s v="Sample Client"/>
    <x v="3"/>
    <x v="3"/>
    <s v="1099-B"/>
    <x v="0"/>
    <s v="PBC - Requested"/>
    <x v="2"/>
    <n v="25000"/>
    <n v="0"/>
    <x v="3"/>
    <s v="No"/>
    <s v="Portfolio"/>
    <s v="No"/>
    <x v="3"/>
    <s v="All long-term"/>
    <m/>
  </r>
  <r>
    <s v="SAM|2025|Itm|01"/>
    <x v="1"/>
    <s v="SAMPLE"/>
    <s v="Sample Client"/>
    <x v="4"/>
    <x v="7"/>
    <s v="Property Tax Receipt"/>
    <x v="0"/>
    <s v="PBC - Received"/>
    <x v="5"/>
    <n v="-10000"/>
    <n v="0"/>
    <x v="5"/>
    <s v="No"/>
    <s v="N/A"/>
    <s v="No"/>
    <x v="5"/>
    <s v="SALT cap"/>
    <m/>
  </r>
  <r>
    <s v="SAM|2025|Strategy|WageOpt|01"/>
    <x v="1"/>
    <s v="SAMPLE"/>
    <s v="Sample Client"/>
    <x v="0"/>
    <x v="0"/>
    <m/>
    <x v="1"/>
    <s v="Planning"/>
    <x v="3"/>
    <n v="-25000"/>
    <n v="0"/>
    <x v="0"/>
    <s v="No"/>
    <s v="Active"/>
    <s v="No"/>
    <x v="0"/>
    <s v="Reduce owner W-2 by $25K"/>
    <s v="STR-001 Committed"/>
  </r>
  <r>
    <s v="SAM|2025|Strategy|WageOpt|02"/>
    <x v="1"/>
    <s v="SAMPLE"/>
    <s v="Sample Client"/>
    <x v="1"/>
    <x v="4"/>
    <m/>
    <x v="1"/>
    <s v="Planning"/>
    <x v="4"/>
    <n v="25000"/>
    <n v="0"/>
    <x v="1"/>
    <s v="No"/>
    <s v="Active"/>
    <s v="Yes"/>
    <x v="6"/>
    <s v="Corresponding K-1 increase from wage reduction"/>
    <s v="STR-001 Committed"/>
  </r>
  <r>
    <s v="SAM|2025|Strategy|HSA|01"/>
    <x v="1"/>
    <s v="SAMPLE"/>
    <s v="Sample Client"/>
    <x v="5"/>
    <x v="8"/>
    <m/>
    <x v="1"/>
    <s v="Planning"/>
    <x v="5"/>
    <n v="-8550"/>
    <n v="0"/>
    <x v="4"/>
    <s v="No"/>
    <s v="N/A"/>
    <s v="No"/>
    <x v="7"/>
    <s v="Family HSA max contribution"/>
    <s v="STR-002 Committed"/>
  </r>
  <r>
    <s v="SAM|2025|Strategy|CostSeg|01"/>
    <x v="1"/>
    <s v="SAMPLE"/>
    <s v="Sample Client"/>
    <x v="1"/>
    <x v="9"/>
    <m/>
    <x v="1"/>
    <s v="Planning"/>
    <x v="6"/>
    <n v="-80000"/>
    <n v="0"/>
    <x v="6"/>
    <s v="No"/>
    <s v="Passive"/>
    <s v="No"/>
    <x v="6"/>
    <s v="Cost seg accelerated depreciation"/>
    <s v="STR-005 Committe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5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9">
        <item t="data" sd="1" x="5"/>
        <item t="data" sd="1" x="0"/>
        <item t="data" sd="1" x="4"/>
        <item t="data" sd="1" x="2"/>
        <item t="data" sd="1" x="3"/>
        <item t="data" sd="1" x="1"/>
        <item t="data" sd="1" x="6"/>
        <item t="data" sd="1" x="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6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Business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F10" firstHeaderRow="1" firstDataRow="2" firstDataCol="2" rowPageCount="2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1"/>
        <item t="data" h="1" sd="1" x="3"/>
        <item t="data" h="1" sd="1" x="2"/>
        <item t="data" h="1" sd="1" x="4"/>
        <item t="data" h="1" sd="1" x="0"/>
        <item t="data" h="1" sd="1" x="5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7">
        <item t="data" sd="1" x="6"/>
        <item t="data" sd="1" x="0"/>
        <item t="data" sd="1" x="2"/>
        <item t="data" sd="1" x="1"/>
        <item t="data" sd="1" x="3"/>
        <item t="data" sd="1" x="4"/>
        <item t="data" sd="1" x="5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9"/>
    <field x="5"/>
  </rowFields>
  <rowItems count="4">
    <i t="data" r="0" i="0">
      <x v="0"/>
      <x v="7"/>
    </i>
    <i t="data" r="0" i="0">
      <x v="3"/>
      <x v="4"/>
    </i>
    <i t="data" r="0" i="0">
      <x v="5"/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2">
    <pageField fld="4" hier="-1"/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ByPayor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5:G19" firstHeaderRow="1" firstDataRow="2" firstDataCol="3" rowPageCount="1" colPageCount="1"/>
  <pivotFields count="19">
    <pivotField showDropDowns="1" compact="0" outline="0" subtotalTop="0" dragToRow="1" dragToCol="1" dragToPage="1" dragToData="1" dragOff="1" showAll="0" topAutoShow="1" itemPageCount="10" sortType="manual" defaultSubtotal="0"/>
    <pivotField axis="axisCol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Page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7">
        <item t="data" sd="1" x="0"/>
        <item t="data" sd="1" x="2"/>
        <item t="data" sd="1" x="1"/>
        <item t="data" sd="1" x="3"/>
        <item t="data" sd="1" x="4"/>
        <item t="data" sd="1" x="5"/>
        <item t="data" sd="1" x="6"/>
      </items>
    </pivotField>
    <pivotField dataField="1"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8">
        <item t="data" sd="1" x="6"/>
        <item t="data" sd="1" x="7"/>
        <item t="data" sd="1" x="5"/>
        <item t="data" sd="1" x="0"/>
        <item t="data" sd="1" x="4"/>
        <item t="data" sd="1" x="2"/>
        <item t="data" sd="1" x="3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3">
    <field x="9"/>
    <field x="5"/>
    <field x="16"/>
  </rowFields>
  <rowItems count="13">
    <i t="data" r="0" i="0">
      <x v="0"/>
      <x v="8"/>
      <x v="3"/>
    </i>
    <i t="data" r="0" i="0">
      <x v="1"/>
      <x v="0"/>
      <x v="5"/>
    </i>
    <i t="data" r="1" i="0">
      <x v="1"/>
      <x v="5"/>
    </i>
    <i t="data" r="1" i="0">
      <x v="2"/>
      <x v="4"/>
    </i>
    <i t="data" r="1" i="0">
      <x v="6"/>
      <x v="6"/>
    </i>
    <i t="data" r="0" i="0">
      <x v="2"/>
      <x v="4"/>
      <x v="7"/>
    </i>
    <i t="data" r="0" i="0">
      <x v="3"/>
      <x v="8"/>
      <x v="3"/>
    </i>
    <i t="data" r="0" i="0">
      <x v="4"/>
      <x v="5"/>
      <x v="0"/>
    </i>
    <i t="data" r="2" i="0">
      <x v="7"/>
    </i>
    <i t="data" r="0" i="0">
      <x v="5"/>
      <x v="3"/>
      <x v="2"/>
    </i>
    <i t="data" r="1" i="0">
      <x v="9"/>
      <x v="1"/>
    </i>
    <i t="data" r="0" i="0">
      <x v="6"/>
      <x v="7"/>
      <x v="0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HelperCarveOuts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9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measureFilter="1" itemPageCount="10" sortType="manual" defaultSubtotal="1">
      <items count="9">
        <item t="data" sd="1" x="1"/>
        <item t="data" sd="1" x="3"/>
        <item t="data" sd="1" x="0"/>
        <item t="data" sd="1" x="6"/>
        <item t="data" sd="1" x="2"/>
        <item t="data" sd="1" x="5"/>
        <item t="data" sd="1" m="1" x="7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2"/>
  </rowFields>
  <rowItems count="3">
    <i t="data" r="0" i="0">
      <x v="2"/>
    </i>
    <i t="data" r="0" i="0">
      <x v="4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Helper_Amount" fld="11" subtotal="sum" showDataAs="normal" baseField="0" baseItem="0" numFmtId="3"/>
  </dataFields>
  <pivotTableStyleInfo name="PivotStyleLight16" showRowHeaders="1" showColHeaders="1" showRowStripes="0" showColStripes="0" showLastColumn="1"/>
  <filters count="1">
    <filter fld="12" type="valueGreaterThan" evalOrder="-1" id="1" iMeasureFld="0">
      <autoFilter ref="A1">
        <filterColumn colId="0" hiddenButton="0" showButton="1">
          <customFilters>
            <customFilter val="0" operator="greaterThan"/>
          </customFilters>
        </filterColumn>
      </autoFilter>
    </filter>
  </filters>
</pivotTableDefinition>
</file>

<file path=xl/tables/table1.xml><?xml version="1.0" encoding="utf-8"?>
<table xmlns="http://schemas.openxmlformats.org/spreadsheetml/2006/main" id="1" name="tblMaster_Inputs" displayName="tblMaster_Inputs" ref="A4:V18" headerRowCount="1">
  <autoFilter ref="A4:S18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20" name="Helper_Treatment" dataDxfId="59"/>
    <tableColumn id="13" name="SE_Subject"/>
    <tableColumn id="14" name="NIIT_Class"/>
    <tableColumn id="15" name="QBI_Eligible"/>
    <tableColumn id="16" name="Primary_Line"/>
    <tableColumn id="18" name="Consider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Filed" displayName="tblAsFiled" ref="B5:O14" headerRowCount="1" totalsRowShown="0">
  <autoFilter ref="B5:O14"/>
  <tableColumns count="14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Filed_Amount" dataDxfId="58"/>
    <tableColumn id="11" name="Helper_Amount" dataDxfId="57"/>
    <tableColumn id="12" name="Helper_Treatment"/>
    <tableColumn id="13" name="Primary_Lin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2023_Strategies" displayName="tblY2023_Strategies" ref="A5:H20" headerRowCount="1" totalsRowShown="0" dataDxfId="56">
  <autoFilter ref="A5:H20"/>
  <tableColumns count="8">
    <tableColumn id="1" name="StrategyID" dataDxfId="55"/>
    <tableColumn id="2" name="Strategy Name" dataDxfId="54"/>
    <tableColumn id="3" name="TargetLine" dataDxfId="53"/>
    <tableColumn id="4" name="Amount" dataDxfId="52"/>
    <tableColumn id="5" name="Status" dataDxfId="51"/>
    <tableColumn id="6" name="Notes" dataDxfId="50"/>
    <tableColumn id="7" name="CounterLine" dataDxfId="49"/>
    <tableColumn id="8" name="Jeff_Ref_ID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Y2024_Strategies" displayName="tblY2024_Strategies" ref="A5:H20" headerRowCount="1" totalsRowShown="0" dataDxfId="48">
  <autoFilter ref="A5:H20"/>
  <tableColumns count="8">
    <tableColumn id="1" name="StrategyID" dataDxfId="47"/>
    <tableColumn id="2" name="Strategy Name" dataDxfId="46"/>
    <tableColumn id="3" name="TargetLine" dataDxfId="45"/>
    <tableColumn id="4" name="Amount" dataDxfId="44"/>
    <tableColumn id="5" name="Status" dataDxfId="43"/>
    <tableColumn id="6" name="Notes" dataDxfId="42"/>
    <tableColumn id="7" name="CounterLine" dataDxfId="41"/>
    <tableColumn id="8" name="Jeff_Ref_ID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Y2025_Strategies" displayName="tblY2025_Strategies" ref="A5:H20" headerRowCount="1" totalsRowShown="0" dataDxfId="67">
  <autoFilter ref="A5:H20"/>
  <tableColumns count="8">
    <tableColumn id="1" name="StrategyID" dataDxfId="66"/>
    <tableColumn id="2" name="Strategy Name" dataDxfId="65"/>
    <tableColumn id="3" name="TargetLine" dataDxfId="64"/>
    <tableColumn id="4" name="Amount" dataDxfId="63"/>
    <tableColumn id="5" name="Status" dataDxfId="62"/>
    <tableColumn id="6" name="Notes" dataDxfId="61"/>
    <tableColumn id="7" name="CounterLine" dataDxfId="60"/>
    <tableColumn id="8" name="Jeff_Ref_ID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Y2026_Strategies" displayName="tblY2026_Strategies" ref="A5:H20" headerRowCount="1" totalsRowShown="0" dataDxfId="40">
  <autoFilter ref="A5:H20"/>
  <tableColumns count="8">
    <tableColumn id="1" name="StrategyID" dataDxfId="39"/>
    <tableColumn id="2" name="Strategy Name" dataDxfId="38"/>
    <tableColumn id="3" name="TargetLine" dataDxfId="37"/>
    <tableColumn id="4" name="Amount" dataDxfId="36"/>
    <tableColumn id="5" name="Status" dataDxfId="35"/>
    <tableColumn id="6" name="Notes" dataDxfId="34"/>
    <tableColumn id="7" name="CounterLine" dataDxfId="33"/>
    <tableColumn id="8" name="Jeff_Ref_ID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Y2027_Strategies" displayName="tblY2027_Strategies" ref="A5:H20" headerRowCount="1" totalsRowShown="0" dataDxfId="32">
  <autoFilter ref="A5:H20"/>
  <tableColumns count="8">
    <tableColumn id="1" name="StrategyID" dataDxfId="31"/>
    <tableColumn id="2" name="Strategy Name" dataDxfId="30"/>
    <tableColumn id="3" name="TargetLine" dataDxfId="29"/>
    <tableColumn id="4" name="Amount" dataDxfId="28"/>
    <tableColumn id="5" name="Status" dataDxfId="27"/>
    <tableColumn id="6" name="Notes" dataDxfId="26"/>
    <tableColumn id="7" name="CounterLine" dataDxfId="25"/>
    <tableColumn id="8" name="Jeff_Ref_I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Y2028_Strategies" displayName="tblY2028_Strategies" ref="A5:H20" headerRowCount="1" totalsRowShown="0" dataDxfId="24">
  <autoFilter ref="A5:H20"/>
  <tableColumns count="8">
    <tableColumn id="1" name="StrategyID" dataDxfId="23"/>
    <tableColumn id="2" name="Strategy Name" dataDxfId="22"/>
    <tableColumn id="3" name="TargetLine" dataDxfId="21"/>
    <tableColumn id="4" name="Amount" dataDxfId="20"/>
    <tableColumn id="5" name="Status" dataDxfId="19"/>
    <tableColumn id="6" name="Notes" dataDxfId="18"/>
    <tableColumn id="7" name="CounterLine" dataDxfId="17"/>
    <tableColumn id="8" name="Jeff_Ref_ID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ackets_FIT" displayName="tblBrackets_FIT" ref="B8:G176" headerRowCount="1" totalsRowShown="0">
  <autoFilter ref="B8:G176"/>
  <tableColumns count="6">
    <tableColumn id="1" name="Year" dataDxfId="16"/>
    <tableColumn id="2" name="FilingStatus"/>
    <tableColumn id="3" name="Lower"/>
    <tableColumn id="4" name="Upper"/>
    <tableColumn id="5" name="Rate"/>
    <tableColumn id="6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dDed" displayName="tblStdDed" ref="B181:D205" headerRowCount="1" totalsRowShown="0">
  <autoFilter ref="B181:D205"/>
  <tableColumns count="3">
    <tableColumn id="1" name="Year" dataDxfId="15"/>
    <tableColumn id="2" name="FilingStatus"/>
    <tableColumn id="3" name="Amount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ackets_LTCG" displayName="tblBrackets_LTCG" ref="B209:F281" headerRowCount="1" totalsRowShown="0">
  <autoFilter ref="B209:F281"/>
  <tableColumns count="5">
    <tableColumn id="1" name="Year" dataDxfId="13"/>
    <tableColumn id="2" name="FilingStatus"/>
    <tableColumn id="3" name="Lower"/>
    <tableColumn id="4" name="Upper"/>
    <tableColumn id="5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hresholds" displayName="tblThresholds" ref="B285:E573" headerRowCount="1" totalsRowShown="0">
  <autoFilter ref="B285:E573"/>
  <tableColumns count="4">
    <tableColumn id="1" name="Year" dataDxfId="12"/>
    <tableColumn id="2" name="FilingStatus"/>
    <tableColumn id="3" name="Item"/>
    <tableColumn id="4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reatmentProfileMap" displayName="tblTreatmentProfileMap" ref="B578:J612" headerRowCount="1" totalsRowShown="0">
  <autoFilter ref="B578:J612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MasterStrategies" displayName="tblMasterStrategies" ref="B7:L26" headerRowCount="1">
  <autoFilter ref="B7:L26"/>
  <tableColumns count="11">
    <tableColumn id="2" name="Strategy_ID"/>
    <tableColumn id="3" name="Impact_Num"/>
    <tableColumn id="4" name="Strategy_Name"/>
    <tableColumn id="5" name="Bucket"/>
    <tableColumn id="6" name="Framework_Ref"/>
    <tableColumn id="7" name="TargetLine"/>
    <tableColumn id="8" name="HelperTreatment"/>
    <tableColumn id="9" name="Sign"/>
    <tableColumn id="10" name="Cap_Rule"/>
    <tableColumn id="11" name="Plan_Maturity_Min"/>
    <tableColumn id="1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8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9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21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sheet1.xml><?xml version="1.0" encoding="utf-8"?>
<worksheet xmlns="http://schemas.openxmlformats.org/spreadsheetml/2006/main">
  <sheetPr>
    <tabColor rgb="FF228B22"/>
    <outlinePr summaryBelow="1" summaryRight="1"/>
    <pageSetUpPr/>
  </sheetPr>
  <dimension ref="B2:D92"/>
  <sheetViews>
    <sheetView workbookViewId="0">
      <selection activeCell="C27" sqref="C27"/>
    </sheetView>
  </sheetViews>
  <sheetFormatPr baseColWidth="8" defaultRowHeight="14.5"/>
  <cols>
    <col width="36.36328125" customWidth="1" style="99" min="2" max="2"/>
    <col width="32.7265625" customWidth="1" style="99" min="3" max="3"/>
    <col width="45.453125" customWidth="1" style="99" min="4" max="4"/>
  </cols>
  <sheetData>
    <row r="2" ht="18.5" customHeight="1" s="99">
      <c r="B2" s="15" t="inlineStr">
        <is>
          <t>TAX WORKBOOK — CONTROL PANEL</t>
        </is>
      </c>
    </row>
    <row r="3">
      <c r="B3" s="87" t="inlineStr">
        <is>
          <t>Settings, navigation, and input reference — start here.</t>
        </is>
      </c>
    </row>
    <row r="5">
      <c r="B5" s="81" t="inlineStr">
        <is>
          <t>▸ SETTINGS</t>
        </is>
      </c>
    </row>
    <row r="6">
      <c r="C6" s="59" t="n"/>
    </row>
    <row r="7">
      <c r="B7" s="60" t="inlineStr">
        <is>
          <t>PLAN STATUS</t>
        </is>
      </c>
      <c r="C7" s="60" t="n"/>
      <c r="D7" s="61" t="n"/>
    </row>
    <row r="8">
      <c r="B8" s="82" t="inlineStr">
        <is>
          <t>Plan Year</t>
        </is>
      </c>
      <c r="C8" s="86" t="n">
        <v>2025</v>
      </c>
    </row>
    <row r="9">
      <c r="B9" s="83" t="inlineStr">
        <is>
          <t>Plan Maturity</t>
        </is>
      </c>
      <c r="C9" s="86" t="inlineStr">
        <is>
          <t>Standard Assumptions</t>
        </is>
      </c>
    </row>
    <row r="10">
      <c r="B10" s="83" t="inlineStr">
        <is>
          <t>Engagement Leader</t>
        </is>
      </c>
      <c r="C10" s="65" t="inlineStr">
        <is>
          <t>TBD</t>
        </is>
      </c>
    </row>
    <row r="11">
      <c r="B11" s="83" t="inlineStr">
        <is>
          <t>Active Client</t>
        </is>
      </c>
      <c r="C11" s="65" t="inlineStr">
        <is>
          <t>SAMPLE</t>
        </is>
      </c>
    </row>
    <row r="12">
      <c r="B12" s="83" t="inlineStr">
        <is>
          <t>Last Refresh</t>
        </is>
      </c>
      <c r="C12" s="88" t="n">
        <v>46161</v>
      </c>
    </row>
    <row r="13" ht="15.5" customHeight="1" s="99">
      <c r="B13" s="49" t="n"/>
      <c r="C13" s="64" t="n"/>
    </row>
    <row r="14">
      <c r="B14" s="60" t="inlineStr">
        <is>
          <t>TAX PROFILE</t>
        </is>
      </c>
      <c r="C14" s="60" t="n"/>
      <c r="D14" s="61" t="n"/>
    </row>
    <row r="15">
      <c r="B15" s="84" t="inlineStr">
        <is>
          <t>Filing Status</t>
        </is>
      </c>
      <c r="C15" s="65" t="inlineStr">
        <is>
          <t>MFJ</t>
        </is>
      </c>
    </row>
    <row r="16">
      <c r="B16" s="85" t="inlineStr">
        <is>
          <t>State of Residence</t>
        </is>
      </c>
      <c r="C16" s="65" t="inlineStr">
        <is>
          <t>UT</t>
        </is>
      </c>
    </row>
    <row r="17">
      <c r="B17" s="85" t="inlineStr">
        <is>
          <t>Taxpayer Age</t>
        </is>
      </c>
      <c r="C17" s="65" t="n">
        <v>42</v>
      </c>
    </row>
    <row r="18">
      <c r="B18" s="85" t="inlineStr">
        <is>
          <t>Spouse Age</t>
        </is>
      </c>
      <c r="C18" s="65" t="n">
        <v>40</v>
      </c>
    </row>
    <row r="19">
      <c r="B19" s="85" t="inlineStr">
        <is>
          <t>Dependent Children</t>
        </is>
      </c>
      <c r="C19" s="65" t="n">
        <v>2</v>
      </c>
    </row>
    <row r="20">
      <c r="B20" s="85" t="inlineStr">
        <is>
          <t>REPS Qualified</t>
        </is>
      </c>
      <c r="C20" s="65" t="inlineStr">
        <is>
          <t>No</t>
        </is>
      </c>
    </row>
    <row r="21">
      <c r="B21" s="85" t="inlineStr">
        <is>
          <t>Business is SSTB?</t>
        </is>
      </c>
      <c r="C21" s="65" t="inlineStr">
        <is>
          <t>No</t>
        </is>
      </c>
    </row>
    <row r="22">
      <c r="B22" s="134" t="inlineStr">
        <is>
          <t>▸ HOUSEHOLD DETAILS</t>
        </is>
      </c>
    </row>
    <row r="23">
      <c r="B23" s="135" t="inlineStr">
        <is>
          <t>Taxpayer Name</t>
        </is>
      </c>
      <c r="C23" s="136" t="inlineStr">
        <is>
          <t>TAXPAYER</t>
        </is>
      </c>
      <c r="D23" s="137" t="inlineStr">
        <is>
          <t>Used in Deliverable header</t>
        </is>
      </c>
    </row>
    <row r="24">
      <c r="B24" s="135" t="inlineStr">
        <is>
          <t>Spouse Name</t>
        </is>
      </c>
      <c r="C24" s="136" t="inlineStr">
        <is>
          <t>SPOUSE</t>
        </is>
      </c>
      <c r="D24" s="137" t="inlineStr">
        <is>
          <t>Only used if Filing_Status = MFJ</t>
        </is>
      </c>
    </row>
    <row r="25">
      <c r="B25" s="135" t="inlineStr">
        <is>
          <t>Taxpayer 65+</t>
        </is>
      </c>
      <c r="C25" s="136" t="inlineStr">
        <is>
          <t>No</t>
        </is>
      </c>
      <c r="D25" s="137" t="inlineStr">
        <is>
          <t>Adds $1,550 to standard deduction (2024)</t>
        </is>
      </c>
    </row>
    <row r="26">
      <c r="B26" s="135" t="inlineStr">
        <is>
          <t>Spouse 65+</t>
        </is>
      </c>
      <c r="C26" s="136" t="inlineStr">
        <is>
          <t>No</t>
        </is>
      </c>
      <c r="D26" s="137" t="inlineStr">
        <is>
          <t>Adds $1,550 to standard deduction (2024)</t>
        </is>
      </c>
    </row>
    <row r="27">
      <c r="B27" s="135" t="inlineStr">
        <is>
          <t>Taxpayer Blind</t>
        </is>
      </c>
      <c r="C27" s="136" t="inlineStr">
        <is>
          <t>No</t>
        </is>
      </c>
      <c r="D27" s="137" t="inlineStr">
        <is>
          <t>Adds $1,550 to standard deduction (2024)</t>
        </is>
      </c>
    </row>
    <row r="28">
      <c r="B28" s="135" t="inlineStr">
        <is>
          <t>Spouse Blind</t>
        </is>
      </c>
      <c r="C28" s="136" t="inlineStr">
        <is>
          <t>No</t>
        </is>
      </c>
      <c r="D28" s="137" t="inlineStr">
        <is>
          <t>Adds $1,550 to standard deduction (2024)</t>
        </is>
      </c>
    </row>
    <row r="29">
      <c r="B29" s="135" t="inlineStr">
        <is>
          <t>Dep — CTC Qualifying</t>
        </is>
      </c>
      <c r="C29" s="136" t="n">
        <v>2</v>
      </c>
      <c r="D29" s="137" t="inlineStr">
        <is>
          <t>Children under 17 — $2,000 CTC each</t>
        </is>
      </c>
    </row>
    <row r="30" ht="15.5" customHeight="1" s="99">
      <c r="B30" s="135" t="inlineStr">
        <is>
          <t>Dep — ODC Qualifying</t>
        </is>
      </c>
      <c r="C30" s="136" t="n">
        <v>0</v>
      </c>
      <c r="D30" s="137" t="inlineStr">
        <is>
          <t>Other dependents — $500 ODC each</t>
        </is>
      </c>
    </row>
    <row r="31">
      <c r="B31" s="135" t="inlineStr">
        <is>
          <t>Self-Employed Health Ins</t>
        </is>
      </c>
      <c r="C31" s="136" t="inlineStr">
        <is>
          <t>No</t>
        </is>
      </c>
      <c r="D31" s="137" t="inlineStr">
        <is>
          <t>Eligible to deduct SE health ins above-line</t>
        </is>
      </c>
    </row>
    <row r="32">
      <c r="B32" s="135" t="inlineStr">
        <is>
          <t>Itemize Override</t>
        </is>
      </c>
      <c r="C32" s="136" t="inlineStr">
        <is>
          <t>Auto</t>
        </is>
      </c>
      <c r="D32" s="137" t="inlineStr">
        <is>
          <t>Auto / Force Itemize / Force Standard</t>
        </is>
      </c>
    </row>
    <row r="33">
      <c r="B33" s="135" t="inlineStr">
        <is>
          <t>Prior Year Total Tax</t>
        </is>
      </c>
      <c r="C33" s="138" t="n">
        <v>0</v>
      </c>
      <c r="D33" s="137" t="inlineStr">
        <is>
          <t>For 110% safe harbor calc</t>
        </is>
      </c>
    </row>
    <row r="35">
      <c r="B35" s="66" t="inlineStr">
        <is>
          <t>▸ ACTIVE YEAR SNAPSHOT</t>
        </is>
      </c>
    </row>
    <row r="36">
      <c r="B36" s="85" t="inlineStr">
        <is>
          <t>AGI</t>
        </is>
      </c>
      <c r="C36" s="26">
        <f t="array" ref="C24">TEXT(AGI,"$#,##0")</f>
        <v/>
      </c>
    </row>
    <row r="37">
      <c r="B37" s="85" t="inlineStr">
        <is>
          <t>Taxable Income</t>
        </is>
      </c>
      <c r="C37" s="26">
        <f t="array" ref="C25">TEXT(TaxableIncome,"$#,##0")</f>
        <v/>
      </c>
    </row>
    <row r="38">
      <c r="B38" s="85" t="inlineStr">
        <is>
          <t>Effective Rate</t>
        </is>
      </c>
      <c r="C38" s="26">
        <f t="array" ref="C26">TEXT(IFERROR(INDIRECT("Y"&amp;Active_Year&amp;"!I130"),0),"0.0%")</f>
        <v/>
      </c>
    </row>
    <row r="39">
      <c r="B39" s="85" t="inlineStr">
        <is>
          <t>Total Tax</t>
        </is>
      </c>
      <c r="C39" s="26">
        <f t="array" ref="C27">TEXT(IFERROR(INDIRECT("Y"&amp;Active_Year&amp;"!I129"),0),"$#,##0")</f>
        <v/>
      </c>
    </row>
    <row r="40">
      <c r="B40" s="85" t="inlineStr">
        <is>
          <t>QBI Deduction</t>
        </is>
      </c>
      <c r="C40" s="26">
        <f t="array" ref="C28">TEXT(QBI_Deduction,"($#,##0)")</f>
        <v/>
      </c>
    </row>
    <row r="42">
      <c r="B42" s="67" t="inlineStr">
        <is>
          <t>▸ NAVIGATION</t>
        </is>
      </c>
    </row>
    <row r="44">
      <c r="B44" s="74" t="inlineStr">
        <is>
          <t>INPUT / CONFIG</t>
        </is>
      </c>
      <c r="C44" s="74" t="n"/>
    </row>
    <row r="45">
      <c r="B45" s="75">
        <f>HYPERLINK("#Master_Inputs!A1", "Master_Inputs")</f>
        <v/>
      </c>
      <c r="C45" s="62" t="inlineStr">
        <is>
          <t>Baseline income/deductions + committed strategies</t>
        </is>
      </c>
    </row>
    <row r="46">
      <c r="B46" s="75">
        <f>HYPERLINK("#AsFiled!A1", "AsFiled")</f>
        <v/>
      </c>
      <c r="C46" s="62" t="inlineStr">
        <is>
          <t>Filed return data by year for PY reconciliation</t>
        </is>
      </c>
    </row>
    <row r="47">
      <c r="B47" s="75">
        <f>HYPERLINK("#Carryovers!A1", "Carryovers")</f>
        <v/>
      </c>
      <c r="C47" s="62" t="inlineStr">
        <is>
          <t>PAL, CL, NOL manual inputs + calculator</t>
        </is>
      </c>
    </row>
    <row r="49">
      <c r="B49" s="47" t="inlineStr">
        <is>
          <t>YEAR SANDBOXES</t>
        </is>
      </c>
      <c r="C49" s="47" t="n"/>
    </row>
    <row r="50">
      <c r="B50" s="75">
        <f>HYPERLINK("#Y2023!A1", "Y2023")</f>
        <v/>
      </c>
      <c r="C50" s="62" t="inlineStr">
        <is>
          <t>Strategies (A5:F10), rollup, 7-calculator</t>
        </is>
      </c>
    </row>
    <row r="51">
      <c r="B51" s="75">
        <f>HYPERLINK("#Y2024!A1", "Y2024")</f>
        <v/>
      </c>
      <c r="C51" s="62" t="inlineStr">
        <is>
          <t>Strategies (A5:F10), rollup, 7-calculator</t>
        </is>
      </c>
    </row>
    <row r="52">
      <c r="B52" s="75">
        <f>HYPERLINK("#Y2025!A1", "Y2025")</f>
        <v/>
      </c>
      <c r="C52" s="62" t="inlineStr">
        <is>
          <t>Strategies (A5:F10), rollup, 7-calculator</t>
        </is>
      </c>
    </row>
    <row r="53">
      <c r="B53" s="75">
        <f>HYPERLINK("#Y2026!A1", "Y2026")</f>
        <v/>
      </c>
      <c r="C53" s="62" t="inlineStr">
        <is>
          <t>Strategies (A5:F10), rollup, 7-calculator</t>
        </is>
      </c>
    </row>
    <row r="54">
      <c r="B54" s="75">
        <f>HYPERLINK("#Y2027!A1", "Y2027")</f>
        <v/>
      </c>
      <c r="C54" s="62" t="inlineStr">
        <is>
          <t>Strategies (A5:F10), rollup, 7-calculator</t>
        </is>
      </c>
    </row>
    <row r="55">
      <c r="B55" s="75">
        <f>HYPERLINK("#Y2028!A1", "Y2028")</f>
        <v/>
      </c>
      <c r="C55" s="62" t="inlineStr">
        <is>
          <t>Strategies (A5:F10), rollup, 7-calculator</t>
        </is>
      </c>
    </row>
    <row r="57">
      <c r="B57" s="76" t="inlineStr">
        <is>
          <t>DASHBOARDS / RECON</t>
        </is>
      </c>
      <c r="C57" s="76" t="n"/>
    </row>
    <row r="58">
      <c r="B58" s="75">
        <f>HYPERLINK("#Tax_Plan_Dashboard!A1", "Tax_Plan_Dashboard")</f>
        <v/>
      </c>
      <c r="C58" s="62" t="inlineStr">
        <is>
          <t>KPIs + charts with year dropdown</t>
        </is>
      </c>
    </row>
    <row r="59">
      <c r="B59" s="75">
        <f>HYPERLINK("#PY_Recon!A1", "PY_Recon")</f>
        <v/>
      </c>
      <c r="C59" s="62" t="inlineStr">
        <is>
          <t>Prior year baseline vs AsFiled reconciliation</t>
        </is>
      </c>
    </row>
    <row r="60">
      <c r="B60" s="75">
        <f>HYPERLINK("#Pivot_GPD!A1", "Pivot_GPD")</f>
        <v/>
      </c>
      <c r="C60" s="62" t="inlineStr">
        <is>
          <t>Multi-year GETPIVOTDATA bridge + VP_ named ranges</t>
        </is>
      </c>
    </row>
    <row r="62">
      <c r="B62" s="77" t="inlineStr">
        <is>
          <t>PIVOT ENGINE (do not modify)</t>
        </is>
      </c>
      <c r="C62" s="77" t="n"/>
    </row>
    <row r="63">
      <c r="B63" s="75">
        <f>HYPERLINK("#Pivot_Summary!A1", "Pivot_Summary")</f>
        <v/>
      </c>
      <c r="C63" s="62" t="inlineStr">
        <is>
          <t>SUMIFS grid: 1040 lines × years</t>
        </is>
      </c>
    </row>
    <row r="64">
      <c r="B64" s="75">
        <f>HYPERLINK("#Pivot_Medium!A1", "Pivot_Medium")</f>
        <v/>
      </c>
      <c r="C64" s="62" t="inlineStr">
        <is>
          <t>SUMIFS grid: Line 8 breakout by treatment</t>
        </is>
      </c>
    </row>
    <row r="65">
      <c r="B65" s="75">
        <f>HYPERLINK("#Pivot_Detailed!A1", "Pivot_Detailed")</f>
        <v/>
      </c>
      <c r="C65" s="62" t="inlineStr">
        <is>
          <t>SUMIFS grid: informational lines (2a, 3a)</t>
        </is>
      </c>
    </row>
    <row r="66">
      <c r="B66" s="75">
        <f>HYPERLINK("#Pivot_Helpers!A1", "Pivot_Helpers")</f>
        <v/>
      </c>
      <c r="C66" s="62" t="inlineStr">
        <is>
          <t>SUMIFS grid: helper amounts × years</t>
        </is>
      </c>
    </row>
    <row r="68">
      <c r="B68" s="78" t="inlineStr">
        <is>
          <t>VISUAL PIVOTS</t>
        </is>
      </c>
      <c r="C68" s="78" t="n"/>
    </row>
    <row r="69">
      <c r="B69" s="75">
        <f>HYPERLINK("#Visual_Pivot_Income!A1", "Visual_Pivot_Income")</f>
        <v/>
      </c>
      <c r="C69" s="62" t="inlineStr">
        <is>
          <t>PivotTable: income by 1040 line</t>
        </is>
      </c>
    </row>
    <row r="70">
      <c r="B70" s="75">
        <f>HYPERLINK("#Visual_Pivot_BusinessIncome!A1", "Visual_Pivot_BusinessIncome")</f>
        <v/>
      </c>
      <c r="C70" s="62" t="inlineStr">
        <is>
          <t>PivotTable: business by treatment</t>
        </is>
      </c>
    </row>
    <row r="71">
      <c r="B71" s="75">
        <f>HYPERLINK("#Visual_Pivot_ByPayor!A1", "Visual_Pivot_ByPayor")</f>
        <v/>
      </c>
      <c r="C71" s="62" t="inlineStr">
        <is>
          <t>PivotTable: income by payor</t>
        </is>
      </c>
    </row>
    <row r="72">
      <c r="B72" s="75">
        <f>HYPERLINK("#Visual_Pivot_HelperCarveOuts!A1", "Visual_Pivot_HelperCarveOuts")</f>
        <v/>
      </c>
      <c r="C72" s="62" t="inlineStr">
        <is>
          <t>PivotTable: helper carve-outs</t>
        </is>
      </c>
    </row>
    <row r="74">
      <c r="B74" s="79" t="inlineStr">
        <is>
          <t>REFERENCE</t>
        </is>
      </c>
      <c r="C74" s="79" t="n"/>
    </row>
    <row r="75">
      <c r="B75" s="75">
        <f>HYPERLINK("#Tax_Ref!A1", "Tax_Ref")</f>
        <v/>
      </c>
      <c r="C75" s="62" t="inlineStr">
        <is>
          <t>Rate tables + Treatment_Profile_Map (5 tables)</t>
        </is>
      </c>
    </row>
    <row r="76">
      <c r="B76" s="75">
        <f>HYPERLINK("#Dropdown_Lists!A1", "Dropdown_Lists")</f>
        <v/>
      </c>
      <c r="C76" s="62" t="inlineStr">
        <is>
          <t>Validation source lists</t>
        </is>
      </c>
    </row>
    <row r="77">
      <c r="B77" s="75">
        <f>HYPERLINK("#Framework_Ref!A1", "Framework_Ref")</f>
        <v/>
      </c>
      <c r="C77" s="62" t="inlineStr">
        <is>
          <t>Canon v1.4 + Pecking Order + Strategies catalog</t>
        </is>
      </c>
    </row>
    <row r="78">
      <c r="B78" s="75">
        <f>HYPERLINK("#Glossary!A1", "Glossary")</f>
        <v/>
      </c>
      <c r="C78" s="62" t="inlineStr">
        <is>
          <t>100+ terms, PTET table + Tax Limitations</t>
        </is>
      </c>
    </row>
    <row r="79">
      <c r="B79" s="75">
        <f>HYPERLINK("#Questionnaire!A1", "Questionnaire")</f>
        <v/>
      </c>
      <c r="C79" s="62" t="inlineStr">
        <is>
          <t>26-question strategy intake (auto-detects from data)</t>
        </is>
      </c>
    </row>
    <row r="80">
      <c r="B80" s="75">
        <f>HYPERLINK("#Connections!A1", "Connections")</f>
        <v/>
      </c>
      <c r="C80" s="62" t="inlineStr">
        <is>
          <t>External file paths + extraction mapping</t>
        </is>
      </c>
    </row>
    <row r="81">
      <c r="B81" s="75">
        <f>HYPERLINK("#Projection_History!A1", "Projection_History")</f>
        <v/>
      </c>
      <c r="C81" s="62" t="inlineStr">
        <is>
          <t>Projected vs filed accuracy tracking</t>
        </is>
      </c>
    </row>
    <row r="82">
      <c r="B82" s="75">
        <f>HYPERLINK("#Change_Log!A1", "Change_Log")</f>
        <v/>
      </c>
      <c r="C82" s="62" t="inlineStr">
        <is>
          <t>Audit trail</t>
        </is>
      </c>
    </row>
    <row r="83">
      <c r="B83" s="75">
        <f>HYPERLINK("#Setup_Guide!A1", "Setup_Guide")</f>
        <v/>
      </c>
      <c r="C83" s="62" t="inlineStr">
        <is>
          <t>Onboarding + LAMBDA/VBA/Schema docs</t>
        </is>
      </c>
    </row>
    <row r="92">
      <c r="B92" s="75" t="n"/>
      <c r="C92" s="62" t="n"/>
    </row>
  </sheetData>
  <dataValidations count="7">
    <dataValidation sqref="C8" showDropDown="0" showInputMessage="1" showErrorMessage="1" allowBlank="1" promptTitle="Plan Year" prompt="Select active planning year" type="list">
      <formula1>"2023,2024,2025,2026,2027,2028"</formula1>
    </dataValidation>
    <dataValidation sqref="C9" showDropDown="0" showInputMessage="1" showErrorMessage="1" allowBlank="1" type="list">
      <formula1>"Standard Assumptions,Draft,Final,Filed"</formula1>
    </dataValidation>
    <dataValidation sqref="C15" showDropDown="0" showInputMessage="1" showErrorMessage="1" allowBlank="1" promptTitle="Filing Status" prompt="MFJ, MFS, Single, or HOH" type="list">
      <formula1>"MFJ,MFS,Single,HOH"</formula1>
    </dataValidation>
    <dataValidation sqref="C20 C21 C23 C24 C25 C26" showDropDown="0" showInputMessage="1" showErrorMessage="1" allowBlank="1" type="list">
      <formula1>"Yes,No"</formula1>
    </dataValidation>
    <dataValidation sqref="C28" showDropDown="0" showInputMessage="1" showErrorMessage="1" allowBlank="1" promptTitle="Retirement Plan" prompt="Select retirement plan type" type="list">
      <formula1>"None,Traditional IRA,Roth IRA,SEP-IRA,SIMPLE IRA,Solo 401(k),Self-Directed Solo 401(k),Defined Benefit Plan"</formula1>
    </dataValidation>
    <dataValidation sqref="C25:C28 C31" showDropDown="0" showInputMessage="0" showErrorMessage="0" allowBlank="0" type="list">
      <formula1>"Yes,No"</formula1>
    </dataValidation>
    <dataValidation sqref="C32" showDropDown="0" showInputMessage="0" showErrorMessage="0" allowBlank="0" type="list">
      <formula1>"Auto,Force Itemize,Force Standard"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28B22"/>
    <outlinePr summaryBelow="1" summaryRight="1"/>
    <pageSetUpPr/>
  </sheetPr>
  <dimension ref="A1:V18"/>
  <sheetViews>
    <sheetView topLeftCell="F1" workbookViewId="0">
      <pane ySplit="4" topLeftCell="A5" activePane="bottomLeft" state="frozen"/>
      <selection pane="bottomLeft" activeCell="H9" sqref="H9"/>
    </sheetView>
  </sheetViews>
  <sheetFormatPr baseColWidth="8" defaultRowHeight="14.5"/>
  <cols>
    <col width="22" customWidth="1" style="99" min="1" max="1"/>
    <col width="7" customWidth="1" style="99" min="2" max="2"/>
    <col width="11" customWidth="1" style="99" min="3" max="3"/>
    <col width="18" customWidth="1" style="99" min="4" max="5"/>
    <col width="22" customWidth="1" style="99" min="6" max="7"/>
    <col width="14" customWidth="1" style="99" min="8" max="8"/>
    <col width="18" customWidth="1" style="99" min="9" max="9"/>
    <col width="22" customWidth="1" style="99" min="10" max="10"/>
    <col width="14" customWidth="1" style="99" min="11" max="13"/>
    <col width="11" customWidth="1" style="99" min="14" max="14"/>
    <col width="12" customWidth="1" style="99" min="15" max="15"/>
    <col width="13" customWidth="1" style="99" min="16" max="16"/>
    <col width="11" customWidth="1" style="99" min="17" max="17"/>
    <col width="30" customWidth="1" style="99" min="18" max="19"/>
    <col width="14" customWidth="1" style="99" min="20" max="20"/>
    <col width="20" customWidth="1" style="99" min="21" max="21"/>
    <col width="12" customWidth="1" style="99" min="22" max="22"/>
  </cols>
  <sheetData>
    <row r="1" ht="18.5" customHeight="1" s="99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 ht="29" customHeight="1" s="99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Helper_Treatment</t>
        </is>
      </c>
      <c r="N4" s="3" t="inlineStr">
        <is>
          <t>SE_Subject</t>
        </is>
      </c>
      <c r="O4" s="3" t="inlineStr">
        <is>
          <t>NIIT_Class</t>
        </is>
      </c>
      <c r="P4" s="3" t="inlineStr">
        <is>
          <t>QBI_Eligible</t>
        </is>
      </c>
      <c r="Q4" s="3" t="inlineStr">
        <is>
          <t>Primary_Line</t>
        </is>
      </c>
      <c r="R4" s="3" t="inlineStr">
        <is>
          <t>Consider</t>
        </is>
      </c>
      <c r="S4" s="3" t="inlineStr">
        <is>
          <t>Notes</t>
        </is>
      </c>
      <c r="T4" s="145" t="inlineStr">
        <is>
          <t>Primary_State</t>
        </is>
      </c>
      <c r="U4" s="145" t="inlineStr">
        <is>
          <t>State_Mix</t>
        </is>
      </c>
      <c r="V4" s="145" t="inlineStr">
        <is>
          <t>PTET_Routed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OWNER_PAY</t>
        </is>
      </c>
      <c r="N5" s="4" t="inlineStr">
        <is>
          <t>No</t>
        </is>
      </c>
      <c r="O5" s="4" t="inlineStr">
        <is>
          <t>Active</t>
        </is>
      </c>
      <c r="P5" s="4" t="inlineStr">
        <is>
          <t>No</t>
        </is>
      </c>
      <c r="Q5" s="4" t="inlineStr">
        <is>
          <t>1z</t>
        </is>
      </c>
      <c r="R5" s="4" t="inlineStr">
        <is>
          <t>Owner reasonable comp</t>
        </is>
      </c>
      <c r="S5" s="4" t="n"/>
      <c r="T5" s="191">
        <f>Control_Panel!$C$16</f>
        <v/>
      </c>
      <c r="U5" s="191" t="n"/>
      <c r="V5" s="191" t="inlineStr">
        <is>
          <t>No</t>
        </is>
      </c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K1_SPLIT</t>
        </is>
      </c>
      <c r="N6" s="4" t="inlineStr">
        <is>
          <t>No</t>
        </is>
      </c>
      <c r="O6" s="4" t="inlineStr">
        <is>
          <t>Passive</t>
        </is>
      </c>
      <c r="P6" s="4" t="inlineStr">
        <is>
          <t>Yes</t>
        </is>
      </c>
      <c r="Q6" s="4" t="inlineStr">
        <is>
          <t>8</t>
        </is>
      </c>
      <c r="R6" s="4" t="inlineStr">
        <is>
          <t>Passive loss</t>
        </is>
      </c>
      <c r="S6" s="4" t="n"/>
      <c r="T6" s="191">
        <f>Control_Panel!$C$16</f>
        <v/>
      </c>
      <c r="U6" s="191" t="n"/>
      <c r="V6" s="191" t="inlineStr">
        <is>
          <t>No</t>
        </is>
      </c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QUAL_DIV</t>
        </is>
      </c>
      <c r="N7" s="4" t="inlineStr">
        <is>
          <t>No</t>
        </is>
      </c>
      <c r="O7" s="4" t="inlineStr">
        <is>
          <t>Portfolio</t>
        </is>
      </c>
      <c r="P7" s="4" t="inlineStr">
        <is>
          <t>No</t>
        </is>
      </c>
      <c r="Q7" s="4" t="inlineStr">
        <is>
          <t>3b</t>
        </is>
      </c>
      <c r="R7" s="4" t="inlineStr">
        <is>
          <t>All non-qualified</t>
        </is>
      </c>
      <c r="S7" s="4" t="n"/>
      <c r="T7" s="191">
        <f>Control_Panel!$C$16</f>
        <v/>
      </c>
      <c r="U7" s="191" t="n"/>
      <c r="V7" s="191" t="inlineStr">
        <is>
          <t>No</t>
        </is>
      </c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LTCG_SPLIT</t>
        </is>
      </c>
      <c r="N8" s="4" t="inlineStr">
        <is>
          <t>No</t>
        </is>
      </c>
      <c r="O8" s="4" t="inlineStr">
        <is>
          <t>Portfolio</t>
        </is>
      </c>
      <c r="P8" s="4" t="inlineStr">
        <is>
          <t>No</t>
        </is>
      </c>
      <c r="Q8" s="4" t="inlineStr">
        <is>
          <t>7</t>
        </is>
      </c>
      <c r="R8" s="4" t="inlineStr">
        <is>
          <t>All long-term</t>
        </is>
      </c>
      <c r="S8" s="4" t="n"/>
      <c r="T8" s="191">
        <f>Control_Panel!$C$16</f>
        <v/>
      </c>
      <c r="U8" s="191" t="n"/>
      <c r="V8" s="191" t="inlineStr">
        <is>
          <t>No</t>
        </is>
      </c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OWNER_PAY</t>
        </is>
      </c>
      <c r="N9" s="4" t="inlineStr">
        <is>
          <t>No</t>
        </is>
      </c>
      <c r="O9" s="4" t="inlineStr">
        <is>
          <t>Active</t>
        </is>
      </c>
      <c r="P9" s="4" t="inlineStr">
        <is>
          <t>No</t>
        </is>
      </c>
      <c r="Q9" s="4" t="inlineStr">
        <is>
          <t>1z</t>
        </is>
      </c>
      <c r="R9" s="4" t="inlineStr">
        <is>
          <t>Owner reasonable comp</t>
        </is>
      </c>
      <c r="S9" s="4" t="n"/>
      <c r="T9" s="191">
        <f>Control_Panel!$C$16</f>
        <v/>
      </c>
      <c r="U9" s="191" t="n"/>
      <c r="V9" s="191" t="inlineStr">
        <is>
          <t>No</t>
        </is>
      </c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K1_SPLIT</t>
        </is>
      </c>
      <c r="N10" s="4" t="inlineStr">
        <is>
          <t>No</t>
        </is>
      </c>
      <c r="O10" s="4" t="inlineStr">
        <is>
          <t>Active</t>
        </is>
      </c>
      <c r="P10" s="4" t="inlineStr">
        <is>
          <t>Yes</t>
        </is>
      </c>
      <c r="Q10" s="4" t="inlineStr">
        <is>
          <t>8</t>
        </is>
      </c>
      <c r="R10" s="4" t="inlineStr">
        <is>
          <t>Active S-corp K-1</t>
        </is>
      </c>
      <c r="S10" s="4" t="n"/>
      <c r="T10" s="191">
        <f>Control_Panel!$C$16</f>
        <v/>
      </c>
      <c r="U10" s="191" t="n"/>
      <c r="V10" s="191" t="inlineStr">
        <is>
          <t>No</t>
        </is>
      </c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QUAL_DIV</t>
        </is>
      </c>
      <c r="N11" s="4" t="inlineStr">
        <is>
          <t>No</t>
        </is>
      </c>
      <c r="O11" s="4" t="inlineStr">
        <is>
          <t>Portfolio</t>
        </is>
      </c>
      <c r="P11" s="4" t="inlineStr">
        <is>
          <t>No</t>
        </is>
      </c>
      <c r="Q11" s="4" t="inlineStr">
        <is>
          <t>3b</t>
        </is>
      </c>
      <c r="R11" s="4" t="inlineStr">
        <is>
          <t>$7K qualified</t>
        </is>
      </c>
      <c r="S11" s="4" t="n"/>
      <c r="T11" s="191">
        <f>Control_Panel!$C$16</f>
        <v/>
      </c>
      <c r="U11" s="191" t="n"/>
      <c r="V11" s="191" t="inlineStr">
        <is>
          <t>No</t>
        </is>
      </c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NONE</t>
        </is>
      </c>
      <c r="N12" s="4" t="inlineStr">
        <is>
          <t>No</t>
        </is>
      </c>
      <c r="O12" s="4" t="inlineStr">
        <is>
          <t>Portfolio</t>
        </is>
      </c>
      <c r="P12" s="4" t="inlineStr">
        <is>
          <t>No</t>
        </is>
      </c>
      <c r="Q12" s="4" t="inlineStr">
        <is>
          <t>2b</t>
        </is>
      </c>
      <c r="R12" s="4" t="inlineStr">
        <is>
          <t>All taxable</t>
        </is>
      </c>
      <c r="S12" s="4" t="n"/>
      <c r="T12" s="191">
        <f>Control_Panel!$C$16</f>
        <v/>
      </c>
      <c r="U12" s="191" t="n"/>
      <c r="V12" s="191" t="inlineStr">
        <is>
          <t>No</t>
        </is>
      </c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LTCG_SPLIT</t>
        </is>
      </c>
      <c r="N13" s="4" t="inlineStr">
        <is>
          <t>No</t>
        </is>
      </c>
      <c r="O13" s="4" t="inlineStr">
        <is>
          <t>Portfolio</t>
        </is>
      </c>
      <c r="P13" s="4" t="inlineStr">
        <is>
          <t>No</t>
        </is>
      </c>
      <c r="Q13" s="4" t="inlineStr">
        <is>
          <t>7</t>
        </is>
      </c>
      <c r="R13" s="4" t="inlineStr">
        <is>
          <t>All long-term</t>
        </is>
      </c>
      <c r="S13" s="4" t="n"/>
      <c r="T13" s="191">
        <f>Control_Panel!$C$16</f>
        <v/>
      </c>
      <c r="U13" s="191" t="n"/>
      <c r="V13" s="191" t="inlineStr">
        <is>
          <t>No</t>
        </is>
      </c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n"/>
      <c r="K14" s="4" t="n">
        <v>-10000</v>
      </c>
      <c r="L14" s="4" t="n">
        <v>0</v>
      </c>
      <c r="M14" s="4" t="inlineStr">
        <is>
          <t>SALT</t>
        </is>
      </c>
      <c r="N14" s="4" t="inlineStr">
        <is>
          <t>No</t>
        </is>
      </c>
      <c r="O14" s="4" t="inlineStr">
        <is>
          <t>N/A</t>
        </is>
      </c>
      <c r="P14" s="4" t="inlineStr">
        <is>
          <t>No</t>
        </is>
      </c>
      <c r="Q14" s="4" t="inlineStr">
        <is>
          <t>12</t>
        </is>
      </c>
      <c r="R14" s="4" t="inlineStr">
        <is>
          <t>SALT cap</t>
        </is>
      </c>
      <c r="S14" s="4" t="n"/>
      <c r="T14" s="191">
        <f>Control_Panel!$C$16</f>
        <v/>
      </c>
      <c r="U14" s="191" t="n"/>
      <c r="V14" s="191" t="inlineStr">
        <is>
          <t>No</t>
        </is>
      </c>
    </row>
    <row r="15">
      <c r="A15" s="4" t="inlineStr">
        <is>
          <t>SAM|2025|Strategy|WageOpt|01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Wages</t>
        </is>
      </c>
      <c r="F15" s="4" t="inlineStr">
        <is>
          <t>W2_SCorpOwner</t>
        </is>
      </c>
      <c r="G15" s="4" t="n"/>
      <c r="H15" s="4" t="inlineStr">
        <is>
          <t>Strategy</t>
        </is>
      </c>
      <c r="I15" s="4" t="inlineStr">
        <is>
          <t>Planning</t>
        </is>
      </c>
      <c r="J15" s="4" t="inlineStr">
        <is>
          <t>SampleCo S-Corp</t>
        </is>
      </c>
      <c r="K15" s="4" t="n">
        <v>-25000</v>
      </c>
      <c r="L15" s="4" t="n">
        <v>0</v>
      </c>
      <c r="M15" s="90" t="inlineStr">
        <is>
          <t>OWNER_PAY</t>
        </is>
      </c>
      <c r="N15" s="4" t="inlineStr">
        <is>
          <t>No</t>
        </is>
      </c>
      <c r="O15" s="4" t="inlineStr">
        <is>
          <t>Active</t>
        </is>
      </c>
      <c r="P15" s="4" t="inlineStr">
        <is>
          <t>No</t>
        </is>
      </c>
      <c r="Q15" s="4" t="inlineStr">
        <is>
          <t>1z</t>
        </is>
      </c>
      <c r="R15" s="4" t="inlineStr">
        <is>
          <t>Reduce owner W-2 by $25K</t>
        </is>
      </c>
      <c r="S15" s="4" t="inlineStr">
        <is>
          <t>STR-001 Committed</t>
        </is>
      </c>
      <c r="T15" s="191">
        <f>Control_Panel!$C$16</f>
        <v/>
      </c>
      <c r="U15" s="191" t="n"/>
      <c r="V15" s="191" t="inlineStr">
        <is>
          <t>No</t>
        </is>
      </c>
    </row>
    <row r="16">
      <c r="A16" s="4" t="inlineStr">
        <is>
          <t>SAM|2025|Strategy|WageOpt|02</t>
        </is>
      </c>
      <c r="B16" s="4" t="n">
        <v>2025</v>
      </c>
      <c r="C16" s="4" t="inlineStr">
        <is>
          <t>SAMPLE</t>
        </is>
      </c>
      <c r="D16" s="4" t="inlineStr">
        <is>
          <t>Sample Client</t>
        </is>
      </c>
      <c r="E16" s="4" t="inlineStr">
        <is>
          <t>Business Income</t>
        </is>
      </c>
      <c r="F16" s="4" t="inlineStr">
        <is>
          <t>K1_SCorp_Active</t>
        </is>
      </c>
      <c r="G16" s="4" t="n"/>
      <c r="H16" s="4" t="inlineStr">
        <is>
          <t>Strategy</t>
        </is>
      </c>
      <c r="I16" s="4" t="inlineStr">
        <is>
          <t>Planning</t>
        </is>
      </c>
      <c r="J16" s="4" t="inlineStr">
        <is>
          <t>SampleCo S-Corp K-1</t>
        </is>
      </c>
      <c r="K16" s="4" t="n">
        <v>25000</v>
      </c>
      <c r="L16" s="4" t="n">
        <v>0</v>
      </c>
      <c r="M16" s="90" t="inlineStr">
        <is>
          <t>K1_SPLIT</t>
        </is>
      </c>
      <c r="N16" s="4" t="inlineStr">
        <is>
          <t>No</t>
        </is>
      </c>
      <c r="O16" s="4" t="inlineStr">
        <is>
          <t>Active</t>
        </is>
      </c>
      <c r="P16" s="4" t="inlineStr">
        <is>
          <t>Yes</t>
        </is>
      </c>
      <c r="Q16" s="4" t="n">
        <v>8</v>
      </c>
      <c r="R16" s="4" t="inlineStr">
        <is>
          <t>Corresponding K-1 increase from wage reduction</t>
        </is>
      </c>
      <c r="S16" s="4" t="inlineStr">
        <is>
          <t>STR-001 Committed</t>
        </is>
      </c>
      <c r="T16" s="191">
        <f>Control_Panel!$C$16</f>
        <v/>
      </c>
      <c r="U16" s="191" t="n"/>
      <c r="V16" s="191" t="inlineStr">
        <is>
          <t>No</t>
        </is>
      </c>
    </row>
    <row r="17">
      <c r="A17" s="4" t="inlineStr">
        <is>
          <t>SAM|2025|Strategy|HSA|01</t>
        </is>
      </c>
      <c r="B17" s="4" t="n">
        <v>2025</v>
      </c>
      <c r="C17" s="4" t="inlineStr">
        <is>
          <t>SAMPLE</t>
        </is>
      </c>
      <c r="D17" s="4" t="inlineStr">
        <is>
          <t>Sample Client</t>
        </is>
      </c>
      <c r="E17" s="4" t="inlineStr">
        <is>
          <t>Adjustment</t>
        </is>
      </c>
      <c r="F17" s="4" t="inlineStr">
        <is>
          <t>Adj_HSA</t>
        </is>
      </c>
      <c r="G17" s="4" t="n"/>
      <c r="H17" s="4" t="inlineStr">
        <is>
          <t>Strategy</t>
        </is>
      </c>
      <c r="I17" s="4" t="inlineStr">
        <is>
          <t>Planning</t>
        </is>
      </c>
      <c r="J17" s="4" t="n"/>
      <c r="K17" s="4" t="n">
        <v>-8550</v>
      </c>
      <c r="L17" s="4" t="n">
        <v>0</v>
      </c>
      <c r="M17" s="90" t="inlineStr">
        <is>
          <t>NONE</t>
        </is>
      </c>
      <c r="N17" s="4" t="inlineStr">
        <is>
          <t>No</t>
        </is>
      </c>
      <c r="O17" s="4" t="inlineStr">
        <is>
          <t>N/A</t>
        </is>
      </c>
      <c r="P17" s="4" t="inlineStr">
        <is>
          <t>No</t>
        </is>
      </c>
      <c r="Q17" s="4" t="n">
        <v>10</v>
      </c>
      <c r="R17" s="4" t="inlineStr">
        <is>
          <t>Family HSA max contribution</t>
        </is>
      </c>
      <c r="S17" s="4" t="inlineStr">
        <is>
          <t>STR-002 Committed</t>
        </is>
      </c>
      <c r="T17" s="191">
        <f>Control_Panel!$C$16</f>
        <v/>
      </c>
      <c r="U17" s="191" t="n"/>
      <c r="V17" s="191" t="inlineStr">
        <is>
          <t>No</t>
        </is>
      </c>
    </row>
    <row r="18">
      <c r="A18" s="4" t="inlineStr">
        <is>
          <t>SAM|2025|Strategy|CostSeg|01</t>
        </is>
      </c>
      <c r="B18" s="4" t="n">
        <v>2025</v>
      </c>
      <c r="C18" s="4" t="inlineStr">
        <is>
          <t>SAMPLE</t>
        </is>
      </c>
      <c r="D18" s="4" t="inlineStr">
        <is>
          <t>Sample Client</t>
        </is>
      </c>
      <c r="E18" s="4" t="inlineStr">
        <is>
          <t>Business Income</t>
        </is>
      </c>
      <c r="F18" s="4" t="inlineStr">
        <is>
          <t>SchE_Rental</t>
        </is>
      </c>
      <c r="G18" s="4" t="n"/>
      <c r="H18" s="4" t="inlineStr">
        <is>
          <t>Strategy</t>
        </is>
      </c>
      <c r="I18" s="4" t="inlineStr">
        <is>
          <t>Planning</t>
        </is>
      </c>
      <c r="J18" s="4" t="inlineStr">
        <is>
          <t>123 Main St, Salt Lake City</t>
        </is>
      </c>
      <c r="K18" s="4" t="n">
        <v>-80000</v>
      </c>
      <c r="L18" s="4" t="n">
        <v>0</v>
      </c>
      <c r="M18" s="90" t="inlineStr">
        <is>
          <t>PASSIVE</t>
        </is>
      </c>
      <c r="N18" s="4" t="inlineStr">
        <is>
          <t>No</t>
        </is>
      </c>
      <c r="O18" s="4" t="inlineStr">
        <is>
          <t>Passive</t>
        </is>
      </c>
      <c r="P18" s="4" t="inlineStr">
        <is>
          <t>No</t>
        </is>
      </c>
      <c r="Q18" s="4" t="n">
        <v>8</v>
      </c>
      <c r="R18" s="4" t="inlineStr">
        <is>
          <t>Cost seg accelerated depreciation</t>
        </is>
      </c>
      <c r="S18" s="4" t="inlineStr">
        <is>
          <t>STR-005 Committed</t>
        </is>
      </c>
      <c r="T18" s="191">
        <f>Control_Panel!$C$16</f>
        <v/>
      </c>
      <c r="U18" s="191" t="n"/>
      <c r="V18" s="191" t="inlineStr">
        <is>
          <t>No</t>
        </is>
      </c>
    </row>
  </sheetData>
  <dataValidations count="12">
    <dataValidation sqref="E5:E503" showDropDown="0" showInputMessage="0" showErrorMessage="0" allowBlank="1" type="list">
      <formula1>Bucket</formula1>
    </dataValidation>
    <dataValidation sqref="F5:F503" showDropDown="0" showInputMessage="0" showErrorMessage="0" allowBlank="1" type="list">
      <formula1>INDIRECT(SUBSTITUTE($E5," ","")&amp;"_Profiles")</formula1>
    </dataValidation>
    <dataValidation sqref="G5:G503" showDropDown="0" showInputMessage="0" showErrorMessage="0" allowBlank="1" type="list">
      <formula1>INDIRECT(SUBSTITUTE($E5," ","")&amp;"_Docs")</formula1>
    </dataValidation>
    <dataValidation sqref="H5:H503" showDropDown="0" showInputMessage="0" showErrorMessage="0" allowBlank="1" type="list">
      <formula1>Activity_Type</formula1>
    </dataValidation>
    <dataValidation sqref="I5:I503" showDropDown="0" showInputMessage="0" showErrorMessage="0" allowBlank="1" type="list">
      <formula1>Provenance</formula1>
    </dataValidation>
    <dataValidation sqref="N5:N503 P5:P503" showDropDown="0" showInputMessage="0" showErrorMessage="0" allowBlank="1" type="list">
      <formula1>Yes_No</formula1>
    </dataValidation>
    <dataValidation sqref="O5:O503" showDropDown="0" showInputMessage="0" showErrorMessage="0" allowBlank="1" type="list">
      <formula1>NIIT_Class</formula1>
    </dataValidation>
    <dataValidation sqref="B5:B503" showDropDown="0" showInputMessage="0" showErrorMessage="0" allowBlank="1" type="list">
      <formula1>"2023,2024,2025,2026,2027,2028"</formula1>
    </dataValidation>
    <dataValidation sqref="M5:M503" showDropDown="0" showInputMessage="0" showErrorMessage="0" allowBlank="1" type="list">
      <formula1>"NONE,OWNER_PAY,TAX_EXEMPT,QUAL_DIV,LTCG_SPLIT,SEC1250,K1_SPLIT,ACTIVE_RE,PASSIVE,SE_INCOME,TRUST_DIST,HSA,IRA,RETIREMENT,SE_HEALTH,STUDENT_LOAN,MEDICAL,SALT,MORTGAGE,CHARITY,CTC,EDUCATION,FTC"</formula1>
    </dataValidation>
    <dataValidation sqref="Q5:Q503" showDropDown="0" showInputMessage="0" showErrorMessage="0" allowBlank="1" type="list">
      <formula1>TaxLines</formula1>
    </dataValidation>
    <dataValidation sqref="T5:T503" showDropDown="0" showInputMessage="0" showErrorMessage="0" allowBlank="1" type="list">
      <formula1>=States</formula1>
    </dataValidation>
    <dataValidation sqref="V5:V503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28B22"/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9.08984375" customWidth="1" style="99" min="3" max="3"/>
    <col width="12.7265625" customWidth="1" style="99" min="4" max="4"/>
    <col width="16.36328125" customWidth="1" style="99" min="5" max="5"/>
    <col width="18.1796875" customWidth="1" style="99" min="6" max="6"/>
    <col width="20" customWidth="1" style="99" min="7" max="7"/>
    <col width="14.54296875" customWidth="1" style="99" min="8" max="9"/>
    <col width="20" customWidth="1" style="99" min="10" max="10"/>
    <col width="18.1796875" customWidth="1" style="99" min="11" max="11"/>
    <col width="16.36328125" customWidth="1" style="99" min="12" max="12"/>
    <col width="20" customWidth="1" style="99" min="13" max="13"/>
    <col width="14.54296875" customWidth="1" style="99" min="14" max="14"/>
    <col width="36.36328125" customWidth="1" style="99" min="15" max="15"/>
  </cols>
  <sheetData>
    <row r="2" ht="18.5" customHeight="1" s="99">
      <c r="B2" s="15" t="inlineStr">
        <is>
          <t>ASFILED — Filed Tax Return Data</t>
        </is>
      </c>
    </row>
    <row r="3">
      <c r="B3" s="16" t="inlineStr">
        <is>
          <t>Filed return amounts by 1040 line. Use Year column filter to view one year at a time. Add rows per year as needed. PY_Recon uses SUMIFS against this table.</t>
        </is>
      </c>
    </row>
    <row r="5">
      <c r="B5" t="inlineStr">
        <is>
          <t>InputID</t>
        </is>
      </c>
      <c r="C5" t="inlineStr">
        <is>
          <t>Year</t>
        </is>
      </c>
      <c r="D5" t="inlineStr">
        <is>
          <t>ClientID</t>
        </is>
      </c>
      <c r="E5" t="inlineStr">
        <is>
          <t>ClientName</t>
        </is>
      </c>
      <c r="F5" t="inlineStr">
        <is>
          <t>Bucket</t>
        </is>
      </c>
      <c r="G5" t="inlineStr">
        <is>
          <t>Treatment_Profile</t>
        </is>
      </c>
      <c r="H5" t="inlineStr">
        <is>
          <t>Source_Document</t>
        </is>
      </c>
      <c r="I5" t="inlineStr">
        <is>
          <t>Provenance</t>
        </is>
      </c>
      <c r="J5" t="inlineStr">
        <is>
          <t>Payor</t>
        </is>
      </c>
      <c r="K5" t="inlineStr">
        <is>
          <t>Filed_Amount</t>
        </is>
      </c>
      <c r="L5" t="inlineStr">
        <is>
          <t>Helper_Amount</t>
        </is>
      </c>
      <c r="M5" t="inlineStr">
        <is>
          <t>Helper_Treatment</t>
        </is>
      </c>
      <c r="N5" t="inlineStr">
        <is>
          <t>Primary_Line</t>
        </is>
      </c>
      <c r="O5" t="inlineStr">
        <is>
          <t>Notes</t>
        </is>
      </c>
    </row>
    <row r="6">
      <c r="B6" t="inlineStr">
        <is>
          <t>CED|2024|AF|Wages|01</t>
        </is>
      </c>
      <c r="C6" t="n">
        <v>2024</v>
      </c>
      <c r="D6" t="inlineStr">
        <is>
          <t>CEDILLO</t>
        </is>
      </c>
      <c r="E6" t="inlineStr">
        <is>
          <t>Ron Cedillo</t>
        </is>
      </c>
      <c r="F6" t="inlineStr">
        <is>
          <t>Wages</t>
        </is>
      </c>
      <c r="G6" t="inlineStr">
        <is>
          <t>W2_SCorpOwner</t>
        </is>
      </c>
      <c r="H6" t="inlineStr">
        <is>
          <t>Filed 1040</t>
        </is>
      </c>
      <c r="I6" t="inlineStr">
        <is>
          <t>Filed Return</t>
        </is>
      </c>
      <c r="J6" t="inlineStr">
        <is>
          <t>Acme S-Corp</t>
        </is>
      </c>
      <c r="K6" s="100" t="n">
        <v>153648</v>
      </c>
      <c r="L6" s="100" t="n">
        <v>0</v>
      </c>
      <c r="M6" t="inlineStr">
        <is>
          <t>OWNER_PAY</t>
        </is>
      </c>
      <c r="N6" t="inlineStr">
        <is>
          <t>1z</t>
        </is>
      </c>
      <c r="O6" t="inlineStr">
        <is>
          <t>Per filed Form 1040 Line 1z</t>
        </is>
      </c>
    </row>
    <row r="7">
      <c r="B7" t="inlineStr">
        <is>
          <t>CED|2024|AF|BI|01</t>
        </is>
      </c>
      <c r="C7" t="n">
        <v>2024</v>
      </c>
      <c r="D7" t="inlineStr">
        <is>
          <t>CEDILLO</t>
        </is>
      </c>
      <c r="E7" t="inlineStr">
        <is>
          <t>Ron Cedillo</t>
        </is>
      </c>
      <c r="F7" t="inlineStr">
        <is>
          <t>Business Income</t>
        </is>
      </c>
      <c r="G7" t="inlineStr">
        <is>
          <t>K1_PTP_Passive</t>
        </is>
      </c>
      <c r="H7" t="inlineStr">
        <is>
          <t>Filed 1040</t>
        </is>
      </c>
      <c r="I7" t="inlineStr">
        <is>
          <t>Filed Return</t>
        </is>
      </c>
      <c r="J7" t="inlineStr">
        <is>
          <t>Cedillo Partnership</t>
        </is>
      </c>
      <c r="K7" s="100" t="n">
        <v>-100766</v>
      </c>
      <c r="L7" s="100" t="n">
        <v>0</v>
      </c>
      <c r="M7" t="inlineStr">
        <is>
          <t>K1_SPLIT</t>
        </is>
      </c>
      <c r="N7" t="n">
        <v>8</v>
      </c>
      <c r="O7" t="inlineStr">
        <is>
          <t>Per filed Sch 1 / K-1</t>
        </is>
      </c>
    </row>
    <row r="8">
      <c r="B8" t="inlineStr">
        <is>
          <t>CED|2024|AF|II|01</t>
        </is>
      </c>
      <c r="C8" t="n">
        <v>2024</v>
      </c>
      <c r="D8" t="inlineStr">
        <is>
          <t>CEDILLO</t>
        </is>
      </c>
      <c r="E8" t="inlineStr">
        <is>
          <t>Ron Cedillo</t>
        </is>
      </c>
      <c r="F8" t="inlineStr">
        <is>
          <t>Investment Income</t>
        </is>
      </c>
      <c r="G8" t="inlineStr">
        <is>
          <t>Div_Ordinary</t>
        </is>
      </c>
      <c r="H8" t="inlineStr">
        <is>
          <t>Filed 1040</t>
        </is>
      </c>
      <c r="I8" t="inlineStr">
        <is>
          <t>Filed Return</t>
        </is>
      </c>
      <c r="J8" t="inlineStr">
        <is>
          <t>Brokerage</t>
        </is>
      </c>
      <c r="K8" s="100" t="n">
        <v>25922</v>
      </c>
      <c r="L8" s="100" t="n">
        <v>0</v>
      </c>
      <c r="M8" t="inlineStr">
        <is>
          <t>QUAL_DIV</t>
        </is>
      </c>
      <c r="N8" t="inlineStr">
        <is>
          <t>3b</t>
        </is>
      </c>
      <c r="O8" t="inlineStr">
        <is>
          <t>Per filed 1040 Line 3b</t>
        </is>
      </c>
    </row>
    <row r="9">
      <c r="B9" t="inlineStr">
        <is>
          <t>CED|2024|AF|CG|01</t>
        </is>
      </c>
      <c r="C9" t="n">
        <v>2024</v>
      </c>
      <c r="D9" t="inlineStr">
        <is>
          <t>CEDILLO</t>
        </is>
      </c>
      <c r="E9" t="inlineStr">
        <is>
          <t>Ron Cedillo</t>
        </is>
      </c>
      <c r="F9" t="inlineStr">
        <is>
          <t>Capital Gains</t>
        </is>
      </c>
      <c r="G9" t="inlineStr">
        <is>
          <t>LTCG_Stock</t>
        </is>
      </c>
      <c r="H9" t="inlineStr">
        <is>
          <t>Filed 1040</t>
        </is>
      </c>
      <c r="I9" t="inlineStr">
        <is>
          <t>Filed Return</t>
        </is>
      </c>
      <c r="J9" t="inlineStr">
        <is>
          <t>Brokerage</t>
        </is>
      </c>
      <c r="K9" s="100" t="n">
        <v>14487</v>
      </c>
      <c r="L9" s="100" t="n">
        <v>0</v>
      </c>
      <c r="M9" t="inlineStr">
        <is>
          <t>LTCG_SPLIT</t>
        </is>
      </c>
      <c r="N9" t="n">
        <v>7</v>
      </c>
      <c r="O9" t="inlineStr">
        <is>
          <t>Per filed 1040 Line 7</t>
        </is>
      </c>
    </row>
    <row r="10">
      <c r="B10" t="inlineStr">
        <is>
          <t>PLACEHOLDER|2023</t>
        </is>
      </c>
      <c r="C10" t="n">
        <v>2023</v>
      </c>
      <c r="I10" t="inlineStr">
        <is>
          <t>Estimate</t>
        </is>
      </c>
      <c r="K10" s="100" t="n">
        <v>0</v>
      </c>
      <c r="L10" s="100" t="n">
        <v>0</v>
      </c>
      <c r="O10" t="inlineStr">
        <is>
          <t>Enter 2023 filed data here — add rows as needed</t>
        </is>
      </c>
    </row>
    <row r="11">
      <c r="B11" t="inlineStr">
        <is>
          <t>PLACEHOLDER|2025</t>
        </is>
      </c>
      <c r="C11" t="n">
        <v>2025</v>
      </c>
      <c r="I11" t="inlineStr">
        <is>
          <t>Estimate</t>
        </is>
      </c>
      <c r="K11" s="100" t="n">
        <v>0</v>
      </c>
      <c r="L11" s="100" t="n">
        <v>0</v>
      </c>
      <c r="O11" t="inlineStr">
        <is>
          <t>Enter 2025 filed data here — add rows as needed</t>
        </is>
      </c>
    </row>
    <row r="12">
      <c r="B12" t="inlineStr">
        <is>
          <t>PLACEHOLDER|2026</t>
        </is>
      </c>
      <c r="C12" t="n">
        <v>2026</v>
      </c>
      <c r="I12" t="inlineStr">
        <is>
          <t>Estimate</t>
        </is>
      </c>
      <c r="K12" s="100" t="n">
        <v>0</v>
      </c>
      <c r="L12" s="100" t="n">
        <v>0</v>
      </c>
      <c r="O12" t="inlineStr">
        <is>
          <t>Enter 2026 filed data here — add rows as needed</t>
        </is>
      </c>
    </row>
    <row r="13">
      <c r="B13" t="inlineStr">
        <is>
          <t>PLACEHOLDER|2027</t>
        </is>
      </c>
      <c r="C13" t="n">
        <v>2027</v>
      </c>
      <c r="I13" t="inlineStr">
        <is>
          <t>Estimate</t>
        </is>
      </c>
      <c r="K13" s="100" t="n">
        <v>0</v>
      </c>
      <c r="L13" s="100" t="n">
        <v>0</v>
      </c>
      <c r="O13" t="inlineStr">
        <is>
          <t>Enter 2027 filed data here — add rows as needed</t>
        </is>
      </c>
    </row>
    <row r="14">
      <c r="B14" t="inlineStr">
        <is>
          <t>PLACEHOLDER|2028</t>
        </is>
      </c>
      <c r="C14" t="n">
        <v>2028</v>
      </c>
      <c r="I14" t="inlineStr">
        <is>
          <t>Estimate</t>
        </is>
      </c>
      <c r="K14" s="100" t="n">
        <v>0</v>
      </c>
      <c r="L14" s="100" t="n">
        <v>0</v>
      </c>
      <c r="O14" t="inlineStr">
        <is>
          <t>Enter 2028 filed data here — add rows as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K53"/>
  <sheetViews>
    <sheetView showGridLines="0" workbookViewId="0">
      <selection activeCell="I17" sqref="I17"/>
    </sheetView>
  </sheetViews>
  <sheetFormatPr baseColWidth="8" defaultRowHeight="14.5"/>
  <cols>
    <col width="2" customWidth="1" style="99" min="1" max="1"/>
    <col width="30" customWidth="1" style="99" min="2" max="2"/>
    <col width="16" customWidth="1" style="99" min="3" max="3"/>
    <col width="16" customWidth="1" style="99" min="4" max="4"/>
    <col width="16" customWidth="1" style="99" min="5" max="5"/>
    <col width="3" customWidth="1" style="99" min="6" max="6"/>
    <col width="10" customWidth="1" style="99" min="7" max="7"/>
    <col width="26" customWidth="1" style="99" min="8" max="8"/>
    <col width="14" customWidth="1" style="99" min="9" max="9"/>
    <col width="14" customWidth="1" style="99" min="10" max="10"/>
    <col width="16" customWidth="1" style="99" min="11" max="11"/>
  </cols>
  <sheetData>
    <row r="1">
      <c r="A1" s="139" t="n"/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</row>
    <row r="2" ht="26" customHeight="1" s="99">
      <c r="A2" s="139" t="n"/>
      <c r="B2" s="140" t="inlineStr">
        <is>
          <t>TAX PLAN DASHBOARD</t>
        </is>
      </c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</row>
    <row r="3">
      <c r="A3" s="139" t="n"/>
      <c r="B3" s="141" t="inlineStr">
        <is>
          <t>Pick any year from the dropdown below — the entire dashboard updates. Type =Active_Year in C4 to sync with Control_Panel.</t>
        </is>
      </c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</row>
    <row r="4" ht="15.5" customHeight="1" s="99">
      <c r="A4" s="139" t="n"/>
      <c r="B4" s="142" t="inlineStr">
        <is>
          <t>Year:</t>
        </is>
      </c>
      <c r="C4" s="155" t="n">
        <v>2025</v>
      </c>
      <c r="D4" s="156" t="inlineStr">
        <is>
          <t>(Active_Year on Control_Panel:</t>
        </is>
      </c>
      <c r="E4" s="157">
        <f>Active_Year</f>
        <v/>
      </c>
      <c r="F4" s="139" t="n"/>
      <c r="G4" s="139" t="n"/>
      <c r="H4" s="139" t="n"/>
      <c r="I4" s="139" t="n"/>
      <c r="J4" s="139" t="n"/>
      <c r="K4" s="139" t="n"/>
    </row>
    <row r="5" ht="15" customHeight="1" s="99" thickBo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</row>
    <row r="6" ht="22" customHeight="1" s="99">
      <c r="A6" s="139" t="n"/>
      <c r="B6" s="144" t="inlineStr">
        <is>
          <t>▸ BOX 1 — THE HEADLINE</t>
        </is>
      </c>
      <c r="F6" s="139" t="n"/>
      <c r="G6" s="144" t="inlineStr">
        <is>
          <t>▸ BOX 2 — STRATEGY-BY-STRATEGY MARGINAL SAVINGS</t>
        </is>
      </c>
    </row>
    <row r="7" ht="15.5" customHeight="1" s="99">
      <c r="A7" s="139" t="n"/>
      <c r="B7" s="145" t="inlineStr">
        <is>
          <t>Metric</t>
        </is>
      </c>
      <c r="C7" s="145" t="inlineStr">
        <is>
          <t>Without Planning</t>
        </is>
      </c>
      <c r="D7" s="145" t="inlineStr">
        <is>
          <t>With Planning</t>
        </is>
      </c>
      <c r="E7" s="145" t="inlineStr">
        <is>
          <t>Δ Savings</t>
        </is>
      </c>
      <c r="F7" s="139" t="n"/>
      <c r="G7" s="145" t="inlineStr">
        <is>
          <t>#</t>
        </is>
      </c>
      <c r="H7" s="145" t="inlineStr">
        <is>
          <t>Strategy</t>
        </is>
      </c>
      <c r="I7" s="145" t="inlineStr">
        <is>
          <t>Status</t>
        </is>
      </c>
      <c r="J7" s="145" t="inlineStr">
        <is>
          <t>Amount</t>
        </is>
      </c>
      <c r="K7" s="145" t="inlineStr">
        <is>
          <t>Marginal Δ</t>
        </is>
      </c>
    </row>
    <row r="8" ht="15.5" customHeight="1" s="99">
      <c r="A8" s="139" t="n"/>
      <c r="B8" s="146" t="inlineStr">
        <is>
          <t>Total Income</t>
        </is>
      </c>
      <c r="C8" s="147">
        <f>INDIRECT("Y"&amp;$C$4&amp;"!J125")</f>
        <v/>
      </c>
      <c r="D8" s="147">
        <f>INDIRECT("Y"&amp;$C$4&amp;"!K125")</f>
        <v/>
      </c>
      <c r="E8" s="147">
        <f>C8-D8</f>
        <v/>
      </c>
      <c r="F8" s="139" t="n"/>
      <c r="G8" s="146" t="inlineStr">
        <is>
          <t>#1</t>
        </is>
      </c>
      <c r="H8" s="146">
        <f>INDIRECT("Y"&amp;$C$4&amp;"!B6")</f>
        <v/>
      </c>
      <c r="I8" s="146">
        <f>INDIRECT("Y"&amp;$C$4&amp;"!E6")</f>
        <v/>
      </c>
      <c r="J8" s="147">
        <f>IFERROR(INDIRECT("Y"&amp;$C$4&amp;"!D6"),0)</f>
        <v/>
      </c>
      <c r="K8" s="147">
        <f>IF(OR(I8="Committed",I8="Implemented"),-J8*0.32,0)</f>
        <v/>
      </c>
    </row>
    <row r="9" ht="15.5" customHeight="1" s="99">
      <c r="A9" s="139" t="n"/>
      <c r="B9" s="146" t="inlineStr">
        <is>
          <t>Taxable Income</t>
        </is>
      </c>
      <c r="C9" s="147">
        <f>INDIRECT("Y"&amp;$C$4&amp;"!J94")</f>
        <v/>
      </c>
      <c r="D9" s="147">
        <f>INDIRECT("Y"&amp;$C$4&amp;"!K94")</f>
        <v/>
      </c>
      <c r="E9" s="147">
        <f>C9-D9</f>
        <v/>
      </c>
      <c r="F9" s="139" t="n"/>
      <c r="G9" s="146" t="inlineStr">
        <is>
          <t>#2</t>
        </is>
      </c>
      <c r="H9" s="146">
        <f>INDIRECT("Y"&amp;$C$4&amp;"!B7")</f>
        <v/>
      </c>
      <c r="I9" s="146">
        <f>INDIRECT("Y"&amp;$C$4&amp;"!E7")</f>
        <v/>
      </c>
      <c r="J9" s="147">
        <f>IFERROR(INDIRECT("Y"&amp;$C$4&amp;"!D7"),0)</f>
        <v/>
      </c>
      <c r="K9" s="147">
        <f>IF(OR(I9="Committed",I9="Implemented"),-J9*0.32,0)</f>
        <v/>
      </c>
    </row>
    <row r="10" ht="15.5" customHeight="1" s="99">
      <c r="A10" s="139" t="n"/>
      <c r="B10" s="146" t="inlineStr">
        <is>
          <t>Federal Income Tax</t>
        </is>
      </c>
      <c r="C10" s="147">
        <f>INDIRECT("Y"&amp;$C$4&amp;"!J97")+INDIRECT("Y"&amp;$C$4&amp;"!J107")</f>
        <v/>
      </c>
      <c r="D10" s="147">
        <f>INDIRECT("Y"&amp;$C$4&amp;"!K97")+INDIRECT("Y"&amp;$C$4&amp;"!K107")</f>
        <v/>
      </c>
      <c r="E10" s="147">
        <f>C10-D10</f>
        <v/>
      </c>
      <c r="F10" s="139" t="n"/>
      <c r="G10" s="146" t="inlineStr">
        <is>
          <t>#3</t>
        </is>
      </c>
      <c r="H10" s="146">
        <f>INDIRECT("Y"&amp;$C$4&amp;"!B8")</f>
        <v/>
      </c>
      <c r="I10" s="146">
        <f>INDIRECT("Y"&amp;$C$4&amp;"!E8")</f>
        <v/>
      </c>
      <c r="J10" s="147">
        <f>IFERROR(INDIRECT("Y"&amp;$C$4&amp;"!D8"),0)</f>
        <v/>
      </c>
      <c r="K10" s="147">
        <f>IF(OR(I10="Committed",I10="Implemented"),-J10*0.32,0)</f>
        <v/>
      </c>
    </row>
    <row r="11" ht="15.5" customHeight="1" s="99">
      <c r="A11" s="139" t="n"/>
      <c r="B11" s="146" t="inlineStr">
        <is>
          <t>Payroll &amp; SE Taxes</t>
        </is>
      </c>
      <c r="C11" s="147">
        <f>INDIRECT("Y"&amp;$C$4&amp;"!J80")+INDIRECT("Y"&amp;$C$4&amp;"!J91")</f>
        <v/>
      </c>
      <c r="D11" s="147">
        <f>INDIRECT("Y"&amp;$C$4&amp;"!K80")+INDIRECT("Y"&amp;$C$4&amp;"!K91")</f>
        <v/>
      </c>
      <c r="E11" s="147">
        <f>C11-D11</f>
        <v/>
      </c>
      <c r="F11" s="139" t="n"/>
      <c r="G11" s="146" t="inlineStr">
        <is>
          <t>#4</t>
        </is>
      </c>
      <c r="H11" s="146">
        <f>INDIRECT("Y"&amp;$C$4&amp;"!B9")</f>
        <v/>
      </c>
      <c r="I11" s="146">
        <f>INDIRECT("Y"&amp;$C$4&amp;"!E9")</f>
        <v/>
      </c>
      <c r="J11" s="147">
        <f>IFERROR(INDIRECT("Y"&amp;$C$4&amp;"!D9"),0)</f>
        <v/>
      </c>
      <c r="K11" s="147">
        <f>IF(OR(I11="Committed",I11="Implemented"),-J11*0.32,0)</f>
        <v/>
      </c>
    </row>
    <row r="12" ht="15.5" customHeight="1" s="99">
      <c r="A12" s="139" t="n"/>
      <c r="B12" s="146" t="inlineStr">
        <is>
          <t>NIIT</t>
        </is>
      </c>
      <c r="C12" s="147">
        <f>INDIRECT("Y"&amp;$C$4&amp;"!J114")</f>
        <v/>
      </c>
      <c r="D12" s="147">
        <f>INDIRECT("Y"&amp;$C$4&amp;"!K114")</f>
        <v/>
      </c>
      <c r="E12" s="147">
        <f>C12-D12</f>
        <v/>
      </c>
      <c r="F12" s="139" t="n"/>
      <c r="G12" s="146" t="inlineStr">
        <is>
          <t>#5</t>
        </is>
      </c>
      <c r="H12" s="146">
        <f>INDIRECT("Y"&amp;$C$4&amp;"!B10")</f>
        <v/>
      </c>
      <c r="I12" s="146">
        <f>INDIRECT("Y"&amp;$C$4&amp;"!E10")</f>
        <v/>
      </c>
      <c r="J12" s="147">
        <f>IFERROR(INDIRECT("Y"&amp;$C$4&amp;"!D10"),0)</f>
        <v/>
      </c>
      <c r="K12" s="147">
        <f>IF(OR(I12="Committed",I12="Implemented"),-J12*0.32,0)</f>
        <v/>
      </c>
    </row>
    <row r="13" ht="15.5" customHeight="1" s="99">
      <c r="A13" s="139" t="n"/>
      <c r="B13" s="146" t="inlineStr">
        <is>
          <t>Total Tax</t>
        </is>
      </c>
      <c r="C13" s="147">
        <f>INDIRECT("Y"&amp;$C$4&amp;"!J133")</f>
        <v/>
      </c>
      <c r="D13" s="147">
        <f>INDIRECT("Y"&amp;$C$4&amp;"!K133")</f>
        <v/>
      </c>
      <c r="E13" s="147">
        <f>C13-D13</f>
        <v/>
      </c>
      <c r="F13" s="139" t="n"/>
      <c r="G13" s="146" t="inlineStr">
        <is>
          <t>#6</t>
        </is>
      </c>
      <c r="H13" s="146">
        <f>INDIRECT("Y"&amp;$C$4&amp;"!B11")</f>
        <v/>
      </c>
      <c r="I13" s="146">
        <f>INDIRECT("Y"&amp;$C$4&amp;"!E11")</f>
        <v/>
      </c>
      <c r="J13" s="147">
        <f>IFERROR(INDIRECT("Y"&amp;$C$4&amp;"!D11"),0)</f>
        <v/>
      </c>
      <c r="K13" s="147">
        <f>IF(OR(I13="Committed",I13="Implemented"),-J13*0.32,0)</f>
        <v/>
      </c>
    </row>
    <row r="14">
      <c r="A14" s="139" t="n"/>
      <c r="B14" s="146" t="inlineStr">
        <is>
          <t>Effective Rate</t>
        </is>
      </c>
      <c r="C14" s="148">
        <f>INDIRECT("Y"&amp;$C$4&amp;"!J134")</f>
        <v/>
      </c>
      <c r="D14" s="148">
        <f>INDIRECT("Y"&amp;$C$4&amp;"!K134")</f>
        <v/>
      </c>
      <c r="E14" s="148">
        <f>C14-D14</f>
        <v/>
      </c>
      <c r="F14" s="139" t="n"/>
      <c r="G14" s="146" t="inlineStr">
        <is>
          <t>#7</t>
        </is>
      </c>
      <c r="H14" s="146">
        <f>INDIRECT("Y"&amp;$C$4&amp;"!B12")</f>
        <v/>
      </c>
      <c r="I14" s="146">
        <f>INDIRECT("Y"&amp;$C$4&amp;"!E12")</f>
        <v/>
      </c>
      <c r="J14" s="147">
        <f>IFERROR(INDIRECT("Y"&amp;$C$4&amp;"!D12"),0)</f>
        <v/>
      </c>
      <c r="K14" s="147">
        <f>IF(OR(I14="Committed",I14="Implemented"),-J14*0.32,0)</f>
        <v/>
      </c>
    </row>
    <row r="15" ht="15" customHeight="1" s="99" thickBot="1">
      <c r="A15" s="139" t="n"/>
      <c r="B15" s="146" t="inlineStr">
        <is>
          <t>After-Tax Cash</t>
        </is>
      </c>
      <c r="C15" s="147">
        <f>C8-C13</f>
        <v/>
      </c>
      <c r="D15" s="147">
        <f>D8-D13</f>
        <v/>
      </c>
      <c r="E15" s="147">
        <f>D15-C15</f>
        <v/>
      </c>
      <c r="F15" s="139" t="n"/>
      <c r="G15" s="146" t="inlineStr">
        <is>
          <t>#8</t>
        </is>
      </c>
      <c r="H15" s="146">
        <f>INDIRECT("Y"&amp;$C$4&amp;"!B13")</f>
        <v/>
      </c>
      <c r="I15" s="146">
        <f>INDIRECT("Y"&amp;$C$4&amp;"!E13")</f>
        <v/>
      </c>
      <c r="J15" s="147">
        <f>IFERROR(INDIRECT("Y"&amp;$C$4&amp;"!D13"),0)</f>
        <v/>
      </c>
      <c r="K15" s="147">
        <f>IF(OR(I15="Committed",I15="Implemented"),-J15*0.32,0)</f>
        <v/>
      </c>
    </row>
    <row r="16" ht="15.5" customHeight="1" s="99">
      <c r="A16" s="139" t="n"/>
      <c r="B16" s="139" t="n"/>
      <c r="C16" s="139" t="n"/>
      <c r="D16" s="139" t="n"/>
      <c r="E16" s="139" t="n"/>
      <c r="F16" s="139" t="n"/>
      <c r="G16" s="146" t="inlineStr">
        <is>
          <t>#9</t>
        </is>
      </c>
      <c r="H16" s="146">
        <f>INDIRECT("Y"&amp;$C$4&amp;"!B14")</f>
        <v/>
      </c>
      <c r="I16" s="146">
        <f>INDIRECT("Y"&amp;$C$4&amp;"!E14")</f>
        <v/>
      </c>
      <c r="J16" s="147">
        <f>IFERROR(INDIRECT("Y"&amp;$C$4&amp;"!D14"),0)</f>
        <v/>
      </c>
      <c r="K16" s="147">
        <f>IF(OR(I16="Committed",I16="Implemented"),-J16*0.32,0)</f>
        <v/>
      </c>
    </row>
    <row r="17" ht="22" customHeight="1" s="99">
      <c r="A17" s="139" t="n"/>
      <c r="B17" s="144" t="inlineStr">
        <is>
          <t>▸ BOX 3 — TAX PLAN EXECUTION</t>
        </is>
      </c>
      <c r="F17" s="139" t="n"/>
      <c r="G17" s="146" t="inlineStr">
        <is>
          <t>#10</t>
        </is>
      </c>
      <c r="H17" s="146">
        <f>INDIRECT("Y"&amp;$C$4&amp;"!B15")</f>
        <v/>
      </c>
      <c r="I17" s="146">
        <f>INDIRECT("Y"&amp;$C$4&amp;"!E15")</f>
        <v/>
      </c>
      <c r="J17" s="147">
        <f>IFERROR(INDIRECT("Y"&amp;$C$4&amp;"!D15"),0)</f>
        <v/>
      </c>
      <c r="K17" s="147">
        <f>IF(OR(I17="Committed",I17="Implemented"),-J17*0.32,0)</f>
        <v/>
      </c>
    </row>
    <row r="18" ht="15.5" customHeight="1" s="99">
      <c r="A18" s="139" t="n"/>
      <c r="B18" s="145" t="inlineStr">
        <is>
          <t>Metric</t>
        </is>
      </c>
      <c r="C18" s="145" t="inlineStr">
        <is>
          <t>Without</t>
        </is>
      </c>
      <c r="D18" s="145" t="inlineStr">
        <is>
          <t>With</t>
        </is>
      </c>
      <c r="E18" s="145" t="inlineStr">
        <is>
          <t>Δ</t>
        </is>
      </c>
      <c r="F18" s="139" t="n"/>
      <c r="G18" s="146" t="inlineStr">
        <is>
          <t>#11</t>
        </is>
      </c>
      <c r="H18" s="146">
        <f>INDIRECT("Y"&amp;$C$4&amp;"!B16")</f>
        <v/>
      </c>
      <c r="I18" s="146">
        <f>INDIRECT("Y"&amp;$C$4&amp;"!E16")</f>
        <v/>
      </c>
      <c r="J18" s="147">
        <f>IFERROR(INDIRECT("Y"&amp;$C$4&amp;"!D16"),0)</f>
        <v/>
      </c>
      <c r="K18" s="147">
        <f>IF(OR(I18="Committed",I18="Implemented"),-J18*0.32,0)</f>
        <v/>
      </c>
    </row>
    <row r="19" ht="15.5" customHeight="1" s="99">
      <c r="A19" s="139" t="n"/>
      <c r="B19" s="146" t="inlineStr">
        <is>
          <t>Federal Income Tax</t>
        </is>
      </c>
      <c r="C19" s="147">
        <f>C10</f>
        <v/>
      </c>
      <c r="D19" s="147">
        <f>D10</f>
        <v/>
      </c>
      <c r="E19" s="147">
        <f>C19-D19</f>
        <v/>
      </c>
      <c r="F19" s="139" t="n"/>
      <c r="G19" s="146" t="inlineStr">
        <is>
          <t>#12</t>
        </is>
      </c>
      <c r="H19" s="146">
        <f>INDIRECT("Y"&amp;$C$4&amp;"!B17")</f>
        <v/>
      </c>
      <c r="I19" s="146">
        <f>INDIRECT("Y"&amp;$C$4&amp;"!E17")</f>
        <v/>
      </c>
      <c r="J19" s="147">
        <f>IFERROR(INDIRECT("Y"&amp;$C$4&amp;"!D17"),0)</f>
        <v/>
      </c>
      <c r="K19" s="147">
        <f>IF(OR(I19="Committed",I19="Implemented"),-J19*0.32,0)</f>
        <v/>
      </c>
    </row>
    <row r="20">
      <c r="A20" s="139" t="n"/>
      <c r="B20" s="146" t="inlineStr">
        <is>
          <t>Total Tax (all components)</t>
        </is>
      </c>
      <c r="C20" s="147">
        <f>C13</f>
        <v/>
      </c>
      <c r="D20" s="147">
        <f>D13</f>
        <v/>
      </c>
      <c r="E20" s="147">
        <f>C20-D20</f>
        <v/>
      </c>
      <c r="F20" s="139" t="n"/>
      <c r="G20" s="146" t="inlineStr">
        <is>
          <t>#13</t>
        </is>
      </c>
      <c r="H20" s="146">
        <f>INDIRECT("Y"&amp;$C$4&amp;"!B18")</f>
        <v/>
      </c>
      <c r="I20" s="146">
        <f>INDIRECT("Y"&amp;$C$4&amp;"!E18")</f>
        <v/>
      </c>
      <c r="J20" s="147">
        <f>IFERROR(INDIRECT("Y"&amp;$C$4&amp;"!D18"),0)</f>
        <v/>
      </c>
      <c r="K20" s="147">
        <f>IF(OR(I20="Committed",I20="Implemented"),-J20*0.32,0)</f>
        <v/>
      </c>
    </row>
    <row r="21">
      <c r="A21" s="139" t="n"/>
      <c r="B21" s="146" t="inlineStr">
        <is>
          <t>Effective Rate</t>
        </is>
      </c>
      <c r="C21" s="148">
        <f>C14</f>
        <v/>
      </c>
      <c r="D21" s="148">
        <f>D14</f>
        <v/>
      </c>
      <c r="E21" s="148">
        <f>C21-D21</f>
        <v/>
      </c>
      <c r="F21" s="139" t="n"/>
      <c r="G21" s="146" t="inlineStr">
        <is>
          <t>#14</t>
        </is>
      </c>
      <c r="H21" s="146">
        <f>INDIRECT("Y"&amp;$C$4&amp;"!B19")</f>
        <v/>
      </c>
      <c r="I21" s="146">
        <f>INDIRECT("Y"&amp;$C$4&amp;"!E19")</f>
        <v/>
      </c>
      <c r="J21" s="147">
        <f>IFERROR(INDIRECT("Y"&amp;$C$4&amp;"!D19"),0)</f>
        <v/>
      </c>
      <c r="K21" s="147">
        <f>IF(OR(I21="Committed",I21="Implemented"),-J21*0.32,0)</f>
        <v/>
      </c>
    </row>
    <row r="22">
      <c r="A22" s="139" t="n"/>
      <c r="B22" s="149" t="inlineStr">
        <is>
          <t>TOTAL TAX SAVED</t>
        </is>
      </c>
      <c r="C22" s="139" t="n"/>
      <c r="D22" s="139" t="n"/>
      <c r="E22" s="150">
        <f>E20</f>
        <v/>
      </c>
      <c r="F22" s="139" t="n"/>
      <c r="G22" s="146" t="inlineStr">
        <is>
          <t>#15</t>
        </is>
      </c>
      <c r="H22" s="146">
        <f>INDIRECT("Y"&amp;$C$4&amp;"!B20")</f>
        <v/>
      </c>
      <c r="I22" s="146">
        <f>INDIRECT("Y"&amp;$C$4&amp;"!E20")</f>
        <v/>
      </c>
      <c r="J22" s="147">
        <f>IFERROR(INDIRECT("Y"&amp;$C$4&amp;"!D20"),0)</f>
        <v/>
      </c>
      <c r="K22" s="147">
        <f>IF(OR(I22="Committed",I22="Implemented"),-J22*0.32,0)</f>
        <v/>
      </c>
    </row>
    <row r="23">
      <c r="A23" s="139" t="n"/>
      <c r="B23" s="139" t="n"/>
      <c r="C23" s="139" t="n"/>
      <c r="D23" s="139" t="n"/>
      <c r="E23" s="139" t="n"/>
      <c r="F23" s="139" t="n"/>
      <c r="G23" s="146" t="inlineStr"/>
      <c r="H23" s="149" t="inlineStr">
        <is>
          <t>Subtotal — Direct Strategy Savings</t>
        </is>
      </c>
      <c r="I23" s="139" t="n"/>
      <c r="J23" s="139" t="n"/>
      <c r="K23" s="150">
        <f>SUM(K8:K22)</f>
        <v/>
      </c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46" t="inlineStr">
        <is>
          <t>Plan Synergy Adjustment (Canon v1.4 est.)</t>
        </is>
      </c>
      <c r="I24" s="139" t="n"/>
      <c r="J24" s="139" t="n"/>
      <c r="K24" s="151" t="n">
        <v>0</v>
      </c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49" t="inlineStr">
        <is>
          <t>PLAN TOTAL</t>
        </is>
      </c>
      <c r="I25" s="139" t="n"/>
      <c r="J25" s="139" t="n"/>
      <c r="K25" s="150">
        <f>K23+K24</f>
        <v/>
      </c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</row>
    <row r="27">
      <c r="A27" s="139" t="n"/>
      <c r="B27" s="139" t="n"/>
      <c r="C27" s="139" t="n"/>
      <c r="D27" s="139" t="n"/>
      <c r="E27" s="139" t="n"/>
      <c r="F27" s="139" t="n"/>
      <c r="G27" s="152" t="inlineStr">
        <is>
          <t>Marginal Δ = -Amount × 32% approx. Replace with KISS LAMBDA exact recalc when LAMBDAs install (Phase 3c).</t>
        </is>
      </c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22" customHeight="1" s="99">
      <c r="A30" s="139" t="n"/>
      <c r="B30" s="139" t="n"/>
      <c r="C30" s="139" t="n"/>
      <c r="D30" s="139" t="n"/>
      <c r="E30" s="139" t="n"/>
      <c r="F30" s="139" t="n"/>
      <c r="G30" s="144" t="inlineStr">
        <is>
          <t>▸ BOX 4 — STRATEGY CHECKLIST + TAKE-HOME CASH</t>
        </is>
      </c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46" t="inlineStr">
        <is>
          <t>Take-Home Cash (Without)</t>
        </is>
      </c>
      <c r="I31" s="139" t="n"/>
      <c r="J31" s="139" t="n"/>
      <c r="K31" s="147">
        <f>C15</f>
        <v/>
      </c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46" t="inlineStr">
        <is>
          <t>Take-Home Cash (With)</t>
        </is>
      </c>
      <c r="I32" s="139" t="n"/>
      <c r="J32" s="139" t="n"/>
      <c r="K32" s="147">
        <f>D15</f>
        <v/>
      </c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49" t="inlineStr">
        <is>
          <t>Δ Take-Home (annual)</t>
        </is>
      </c>
      <c r="I33" s="139" t="n"/>
      <c r="J33" s="139" t="n"/>
      <c r="K33" s="150">
        <f>E15</f>
        <v/>
      </c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46" t="inlineStr">
        <is>
          <t>Effective Tax %</t>
        </is>
      </c>
      <c r="I34" s="139" t="n"/>
      <c r="J34" s="139" t="n"/>
      <c r="K34" s="148">
        <f>D14</f>
        <v/>
      </c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>
      <c r="A36" s="139" t="n"/>
      <c r="B36" s="139" t="n"/>
      <c r="C36" s="139" t="n"/>
      <c r="D36" s="139" t="n"/>
      <c r="E36" s="139" t="n"/>
      <c r="F36" s="139" t="n"/>
      <c r="G36" s="145" t="inlineStr">
        <is>
          <t>Status</t>
        </is>
      </c>
      <c r="H36" s="145" t="inlineStr">
        <is>
          <t>#</t>
        </is>
      </c>
      <c r="I36" s="145" t="inlineStr">
        <is>
          <t>Strategy</t>
        </is>
      </c>
      <c r="J36" s="145" t="inlineStr"/>
      <c r="K36" s="145" t="inlineStr">
        <is>
          <t>Status Text</t>
        </is>
      </c>
    </row>
    <row r="37" ht="18.5" customHeight="1" s="99">
      <c r="A37" s="139" t="n"/>
      <c r="B37" s="139" t="n"/>
      <c r="C37" s="139" t="n"/>
      <c r="D37" s="139" t="n"/>
      <c r="E37" s="139" t="n"/>
      <c r="F37" s="139" t="n"/>
      <c r="G37" s="153">
        <f>IF(INDIRECT("Y"&amp;$C$4&amp;"!E6")="Implemented","☑",IF(INDIRECT("Y"&amp;$C$4&amp;"!E6")="Committed","☑",IF(INDIRECT("Y"&amp;$C$4&amp;"!E6")="Approved","▣",IF(INDIRECT("Y"&amp;$C$4&amp;"!E6")="Proposed","☐","─"))))</f>
        <v/>
      </c>
      <c r="H37" s="146" t="inlineStr">
        <is>
          <t>#1</t>
        </is>
      </c>
      <c r="I37" s="146">
        <f>INDIRECT("Y"&amp;$C$4&amp;"!B6")</f>
        <v/>
      </c>
      <c r="J37" s="146" t="inlineStr"/>
      <c r="K37" s="146">
        <f>INDIRECT("Y"&amp;$C$4&amp;"!E6")</f>
        <v/>
      </c>
    </row>
    <row r="38">
      <c r="A38" s="139" t="n"/>
      <c r="B38" s="139" t="n"/>
      <c r="C38" s="139" t="n"/>
      <c r="D38" s="139" t="n"/>
      <c r="E38" s="139" t="n"/>
      <c r="F38" s="139" t="n"/>
      <c r="G38" s="153">
        <f>IF(INDIRECT("Y"&amp;$C$4&amp;"!E7")="Implemented","☑",IF(INDIRECT("Y"&amp;$C$4&amp;"!E7")="Committed","☑",IF(INDIRECT("Y"&amp;$C$4&amp;"!E7")="Approved","▣",IF(INDIRECT("Y"&amp;$C$4&amp;"!E7")="Proposed","☐","─"))))</f>
        <v/>
      </c>
      <c r="H38" s="146" t="inlineStr">
        <is>
          <t>#2</t>
        </is>
      </c>
      <c r="I38" s="146">
        <f>INDIRECT("Y"&amp;$C$4&amp;"!B7")</f>
        <v/>
      </c>
      <c r="J38" s="146" t="inlineStr"/>
      <c r="K38" s="146">
        <f>INDIRECT("Y"&amp;$C$4&amp;"!E7")</f>
        <v/>
      </c>
    </row>
    <row r="39">
      <c r="A39" s="139" t="n"/>
      <c r="B39" s="139" t="n"/>
      <c r="C39" s="139" t="n"/>
      <c r="D39" s="139" t="n"/>
      <c r="E39" s="139" t="n"/>
      <c r="F39" s="139" t="n"/>
      <c r="G39" s="153">
        <f>IF(INDIRECT("Y"&amp;$C$4&amp;"!E8")="Implemented","☑",IF(INDIRECT("Y"&amp;$C$4&amp;"!E8")="Committed","☑",IF(INDIRECT("Y"&amp;$C$4&amp;"!E8")="Approved","▣",IF(INDIRECT("Y"&amp;$C$4&amp;"!E8")="Proposed","☐","─"))))</f>
        <v/>
      </c>
      <c r="H39" s="146" t="inlineStr">
        <is>
          <t>#3</t>
        </is>
      </c>
      <c r="I39" s="146">
        <f>INDIRECT("Y"&amp;$C$4&amp;"!B8")</f>
        <v/>
      </c>
      <c r="J39" s="146" t="inlineStr"/>
      <c r="K39" s="146">
        <f>INDIRECT("Y"&amp;$C$4&amp;"!E8")</f>
        <v/>
      </c>
    </row>
    <row r="40">
      <c r="A40" s="139" t="n"/>
      <c r="B40" s="139" t="n"/>
      <c r="C40" s="139" t="n"/>
      <c r="D40" s="139" t="n"/>
      <c r="E40" s="139" t="n"/>
      <c r="F40" s="139" t="n"/>
      <c r="G40" s="153">
        <f>IF(INDIRECT("Y"&amp;$C$4&amp;"!E9")="Implemented","☑",IF(INDIRECT("Y"&amp;$C$4&amp;"!E9")="Committed","☑",IF(INDIRECT("Y"&amp;$C$4&amp;"!E9")="Approved","▣",IF(INDIRECT("Y"&amp;$C$4&amp;"!E9")="Proposed","☐","─"))))</f>
        <v/>
      </c>
      <c r="H40" s="146" t="inlineStr">
        <is>
          <t>#4</t>
        </is>
      </c>
      <c r="I40" s="146">
        <f>INDIRECT("Y"&amp;$C$4&amp;"!B9")</f>
        <v/>
      </c>
      <c r="J40" s="146" t="inlineStr"/>
      <c r="K40" s="146">
        <f>INDIRECT("Y"&amp;$C$4&amp;"!E9")</f>
        <v/>
      </c>
    </row>
    <row r="41">
      <c r="A41" s="139" t="n"/>
      <c r="B41" s="139" t="n"/>
      <c r="C41" s="139" t="n"/>
      <c r="D41" s="139" t="n"/>
      <c r="E41" s="139" t="n"/>
      <c r="F41" s="139" t="n"/>
      <c r="G41" s="153">
        <f>IF(INDIRECT("Y"&amp;$C$4&amp;"!E10")="Implemented","☑",IF(INDIRECT("Y"&amp;$C$4&amp;"!E10")="Committed","☑",IF(INDIRECT("Y"&amp;$C$4&amp;"!E10")="Approved","▣",IF(INDIRECT("Y"&amp;$C$4&amp;"!E10")="Proposed","☐","─"))))</f>
        <v/>
      </c>
      <c r="H41" s="146" t="inlineStr">
        <is>
          <t>#5</t>
        </is>
      </c>
      <c r="I41" s="146">
        <f>INDIRECT("Y"&amp;$C$4&amp;"!B10")</f>
        <v/>
      </c>
      <c r="J41" s="146" t="inlineStr"/>
      <c r="K41" s="146">
        <f>INDIRECT("Y"&amp;$C$4&amp;"!E10")</f>
        <v/>
      </c>
    </row>
    <row r="42">
      <c r="A42" s="139" t="n"/>
      <c r="B42" s="139" t="n"/>
      <c r="C42" s="139" t="n"/>
      <c r="D42" s="139" t="n"/>
      <c r="E42" s="139" t="n"/>
      <c r="F42" s="139" t="n"/>
      <c r="G42" s="153">
        <f>IF(INDIRECT("Y"&amp;$C$4&amp;"!E11")="Implemented","☑",IF(INDIRECT("Y"&amp;$C$4&amp;"!E11")="Committed","☑",IF(INDIRECT("Y"&amp;$C$4&amp;"!E11")="Approved","▣",IF(INDIRECT("Y"&amp;$C$4&amp;"!E11")="Proposed","☐","─"))))</f>
        <v/>
      </c>
      <c r="H42" s="146" t="inlineStr">
        <is>
          <t>#6</t>
        </is>
      </c>
      <c r="I42" s="146">
        <f>INDIRECT("Y"&amp;$C$4&amp;"!B11")</f>
        <v/>
      </c>
      <c r="J42" s="146" t="inlineStr"/>
      <c r="K42" s="146">
        <f>INDIRECT("Y"&amp;$C$4&amp;"!E11")</f>
        <v/>
      </c>
    </row>
    <row r="43">
      <c r="A43" s="139" t="n"/>
      <c r="B43" s="139" t="n"/>
      <c r="C43" s="139" t="n"/>
      <c r="D43" s="139" t="n"/>
      <c r="E43" s="139" t="n"/>
      <c r="F43" s="139" t="n"/>
      <c r="G43" s="153">
        <f>IF(INDIRECT("Y"&amp;$C$4&amp;"!E12")="Implemented","☑",IF(INDIRECT("Y"&amp;$C$4&amp;"!E12")="Committed","☑",IF(INDIRECT("Y"&amp;$C$4&amp;"!E12")="Approved","▣",IF(INDIRECT("Y"&amp;$C$4&amp;"!E12")="Proposed","☐","─"))))</f>
        <v/>
      </c>
      <c r="H43" s="146" t="inlineStr">
        <is>
          <t>#7</t>
        </is>
      </c>
      <c r="I43" s="146">
        <f>INDIRECT("Y"&amp;$C$4&amp;"!B12")</f>
        <v/>
      </c>
      <c r="J43" s="146" t="inlineStr"/>
      <c r="K43" s="146">
        <f>INDIRECT("Y"&amp;$C$4&amp;"!E12")</f>
        <v/>
      </c>
    </row>
    <row r="44">
      <c r="A44" s="139" t="n"/>
      <c r="B44" s="139" t="n"/>
      <c r="C44" s="139" t="n"/>
      <c r="D44" s="139" t="n"/>
      <c r="E44" s="139" t="n"/>
      <c r="F44" s="139" t="n"/>
      <c r="G44" s="153">
        <f>IF(INDIRECT("Y"&amp;$C$4&amp;"!E13")="Implemented","☑",IF(INDIRECT("Y"&amp;$C$4&amp;"!E13")="Committed","☑",IF(INDIRECT("Y"&amp;$C$4&amp;"!E13")="Approved","▣",IF(INDIRECT("Y"&amp;$C$4&amp;"!E13")="Proposed","☐","─"))))</f>
        <v/>
      </c>
      <c r="H44" s="146" t="inlineStr">
        <is>
          <t>#8</t>
        </is>
      </c>
      <c r="I44" s="146">
        <f>INDIRECT("Y"&amp;$C$4&amp;"!B13")</f>
        <v/>
      </c>
      <c r="J44" s="146" t="inlineStr"/>
      <c r="K44" s="146">
        <f>INDIRECT("Y"&amp;$C$4&amp;"!E13")</f>
        <v/>
      </c>
    </row>
    <row r="45" ht="15.5" customHeight="1" s="99">
      <c r="A45" s="139" t="n"/>
      <c r="B45" s="139" t="n"/>
      <c r="C45" s="139" t="n"/>
      <c r="D45" s="139" t="n"/>
      <c r="E45" s="139" t="n"/>
      <c r="F45" s="139" t="n"/>
      <c r="G45" s="153">
        <f>IF(INDIRECT("Y"&amp;$C$4&amp;"!E14")="Implemented","☑",IF(INDIRECT("Y"&amp;$C$4&amp;"!E14")="Committed","☑",IF(INDIRECT("Y"&amp;$C$4&amp;"!E14")="Approved","▣",IF(INDIRECT("Y"&amp;$C$4&amp;"!E14")="Proposed","☐","─"))))</f>
        <v/>
      </c>
      <c r="H45" s="146" t="inlineStr">
        <is>
          <t>#9</t>
        </is>
      </c>
      <c r="I45" s="146">
        <f>INDIRECT("Y"&amp;$C$4&amp;"!B14")</f>
        <v/>
      </c>
      <c r="J45" s="146" t="inlineStr"/>
      <c r="K45" s="146">
        <f>INDIRECT("Y"&amp;$C$4&amp;"!E14")</f>
        <v/>
      </c>
    </row>
    <row r="46" ht="18.5" customHeight="1" s="99">
      <c r="A46" s="139" t="n"/>
      <c r="B46" s="139" t="n"/>
      <c r="C46" s="139" t="n"/>
      <c r="D46" s="139" t="n"/>
      <c r="E46" s="139" t="n"/>
      <c r="F46" s="139" t="n"/>
      <c r="G46" s="153">
        <f>IF(INDIRECT("Y"&amp;$C$4&amp;"!E15")="Implemented","☑",IF(INDIRECT("Y"&amp;$C$4&amp;"!E15")="Committed","☑",IF(INDIRECT("Y"&amp;$C$4&amp;"!E15")="Approved","▣",IF(INDIRECT("Y"&amp;$C$4&amp;"!E15")="Proposed","☐","─"))))</f>
        <v/>
      </c>
      <c r="H46" s="146" t="inlineStr">
        <is>
          <t>#10</t>
        </is>
      </c>
      <c r="I46" s="146">
        <f>INDIRECT("Y"&amp;$C$4&amp;"!B15")</f>
        <v/>
      </c>
      <c r="J46" s="146" t="inlineStr"/>
      <c r="K46" s="146">
        <f>INDIRECT("Y"&amp;$C$4&amp;"!E15")</f>
        <v/>
      </c>
    </row>
    <row r="47">
      <c r="A47" s="139" t="n"/>
      <c r="B47" s="139" t="n"/>
      <c r="C47" s="139" t="n"/>
      <c r="D47" s="139" t="n"/>
      <c r="E47" s="139" t="n"/>
      <c r="F47" s="139" t="n"/>
      <c r="G47" s="153">
        <f>IF(INDIRECT("Y"&amp;$C$4&amp;"!E16")="Implemented","☑",IF(INDIRECT("Y"&amp;$C$4&amp;"!E16")="Committed","☑",IF(INDIRECT("Y"&amp;$C$4&amp;"!E16")="Approved","▣",IF(INDIRECT("Y"&amp;$C$4&amp;"!E16")="Proposed","☐","─"))))</f>
        <v/>
      </c>
      <c r="H47" s="146" t="inlineStr">
        <is>
          <t>#11</t>
        </is>
      </c>
      <c r="I47" s="146">
        <f>INDIRECT("Y"&amp;$C$4&amp;"!B16")</f>
        <v/>
      </c>
      <c r="J47" s="146" t="inlineStr"/>
      <c r="K47" s="146">
        <f>INDIRECT("Y"&amp;$C$4&amp;"!E16")</f>
        <v/>
      </c>
    </row>
    <row r="48" ht="18.5" customHeight="1" s="99">
      <c r="A48" s="139" t="n"/>
      <c r="B48" s="139" t="n"/>
      <c r="C48" s="139" t="n"/>
      <c r="D48" s="139" t="n"/>
      <c r="E48" s="139" t="n"/>
      <c r="F48" s="139" t="n"/>
      <c r="G48" s="153">
        <f>IF(INDIRECT("Y"&amp;$C$4&amp;"!E17")="Implemented","☑",IF(INDIRECT("Y"&amp;$C$4&amp;"!E17")="Committed","☑",IF(INDIRECT("Y"&amp;$C$4&amp;"!E17")="Approved","▣",IF(INDIRECT("Y"&amp;$C$4&amp;"!E17")="Proposed","☐","─"))))</f>
        <v/>
      </c>
      <c r="H48" s="146" t="inlineStr">
        <is>
          <t>#12</t>
        </is>
      </c>
      <c r="I48" s="146">
        <f>INDIRECT("Y"&amp;$C$4&amp;"!B17")</f>
        <v/>
      </c>
      <c r="J48" s="146" t="inlineStr"/>
      <c r="K48" s="146">
        <f>INDIRECT("Y"&amp;$C$4&amp;"!E17")</f>
        <v/>
      </c>
    </row>
    <row r="49">
      <c r="A49" s="139" t="n"/>
      <c r="B49" s="139" t="n"/>
      <c r="C49" s="139" t="n"/>
      <c r="D49" s="139" t="n"/>
      <c r="E49" s="139" t="n"/>
      <c r="F49" s="139" t="n"/>
      <c r="G49" s="153">
        <f>IF(INDIRECT("Y"&amp;$C$4&amp;"!E18")="Implemented","☑",IF(INDIRECT("Y"&amp;$C$4&amp;"!E18")="Committed","☑",IF(INDIRECT("Y"&amp;$C$4&amp;"!E18")="Approved","▣",IF(INDIRECT("Y"&amp;$C$4&amp;"!E18")="Proposed","☐","─"))))</f>
        <v/>
      </c>
      <c r="H49" s="146" t="inlineStr">
        <is>
          <t>#13</t>
        </is>
      </c>
      <c r="I49" s="146">
        <f>INDIRECT("Y"&amp;$C$4&amp;"!B18")</f>
        <v/>
      </c>
      <c r="J49" s="146" t="inlineStr"/>
      <c r="K49" s="146">
        <f>INDIRECT("Y"&amp;$C$4&amp;"!E18")</f>
        <v/>
      </c>
    </row>
    <row r="50">
      <c r="G50" s="153">
        <f>IF(INDIRECT("Y"&amp;$C$4&amp;"!E19")="Implemented","☑",IF(INDIRECT("Y"&amp;$C$4&amp;"!E19")="Committed","☑",IF(INDIRECT("Y"&amp;$C$4&amp;"!E19")="Approved","▣",IF(INDIRECT("Y"&amp;$C$4&amp;"!E19")="Proposed","☐","─"))))</f>
        <v/>
      </c>
      <c r="H50" s="146" t="inlineStr">
        <is>
          <t>#14</t>
        </is>
      </c>
      <c r="I50" s="146">
        <f>INDIRECT("Y"&amp;$C$4&amp;"!B19")</f>
        <v/>
      </c>
      <c r="J50" s="146" t="inlineStr"/>
      <c r="K50" s="146">
        <f>INDIRECT("Y"&amp;$C$4&amp;"!E19")</f>
        <v/>
      </c>
    </row>
    <row r="51">
      <c r="G51" s="153">
        <f>IF(INDIRECT("Y"&amp;$C$4&amp;"!E20")="Implemented","☑",IF(INDIRECT("Y"&amp;$C$4&amp;"!E20")="Committed","☑",IF(INDIRECT("Y"&amp;$C$4&amp;"!E20")="Approved","▣",IF(INDIRECT("Y"&amp;$C$4&amp;"!E20")="Proposed","☐","─"))))</f>
        <v/>
      </c>
      <c r="H51" s="146" t="inlineStr">
        <is>
          <t>#15</t>
        </is>
      </c>
      <c r="I51" s="146">
        <f>INDIRECT("Y"&amp;$C$4&amp;"!B20")</f>
        <v/>
      </c>
      <c r="J51" s="146" t="inlineStr"/>
      <c r="K51" s="146">
        <f>INDIRECT("Y"&amp;$C$4&amp;"!E20")</f>
        <v/>
      </c>
    </row>
    <row r="53">
      <c r="G53" s="154" t="inlineStr">
        <is>
          <t>Legend:  ☑ Implemented/Committed   ▣ Approved   ☐ Proposed   ─ Not selected</t>
        </is>
      </c>
    </row>
  </sheetData>
  <mergeCells count="6">
    <mergeCell ref="B17:E17"/>
    <mergeCell ref="G30:K30"/>
    <mergeCell ref="B6:E6"/>
    <mergeCell ref="G27:K27"/>
    <mergeCell ref="G53:K53"/>
    <mergeCell ref="G6:K6"/>
  </mergeCells>
  <dataValidations count="1">
    <dataValidation sqref="C4" showDropDown="0" showInputMessage="0" showErrorMessage="0" allowBlank="0" type="list">
      <formula1>"2023,2024,2025,2026,2027,2028"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B1:F136"/>
  <sheetViews>
    <sheetView workbookViewId="0">
      <selection activeCell="A1" sqref="A1"/>
    </sheetView>
  </sheetViews>
  <sheetFormatPr baseColWidth="8" defaultRowHeight="15"/>
  <cols>
    <col width="2" customWidth="1" style="99" min="1" max="1"/>
    <col width="36" customWidth="1" style="99" min="2" max="2"/>
    <col width="18" customWidth="1" style="99" min="3" max="3"/>
    <col width="18" customWidth="1" style="99" min="4" max="4"/>
    <col width="18" customWidth="1" style="99" min="5" max="5"/>
    <col width="38" customWidth="1" style="99" min="6" max="6"/>
    <col width="2" customWidth="1" style="99" min="7" max="7"/>
  </cols>
  <sheetData>
    <row r="1">
      <c r="B1" s="120" t="inlineStr">
        <is>
          <t>ACCRUITY</t>
        </is>
      </c>
    </row>
    <row r="2">
      <c r="B2" s="121" t="inlineStr">
        <is>
          <t>TAX PLAN — CLIENT DELIVERABLE</t>
        </is>
      </c>
    </row>
    <row r="3">
      <c r="B3" s="122">
        <f>Active_Client&amp;" — Plan Year "&amp;Active_Year</f>
        <v/>
      </c>
    </row>
    <row r="4">
      <c r="B4" s="123">
        <f>Filing_Status&amp;" · Last Refresh: "&amp;TEXT(NOW(),"yyyy-mm-dd")</f>
        <v/>
      </c>
    </row>
    <row r="7">
      <c r="B7" s="124" t="inlineStr">
        <is>
          <t>SECTION 1 — HEADLINE SUMMARY</t>
        </is>
      </c>
    </row>
    <row r="9">
      <c r="B9" s="113" t="inlineStr">
        <is>
          <t>Your tax bill WITHOUT Accruity planning</t>
        </is>
      </c>
      <c r="E9" s="125">
        <f>INDIRECT("Y"&amp;Active_Year&amp;"!J133")</f>
        <v/>
      </c>
    </row>
    <row r="10">
      <c r="B10" s="113" t="inlineStr">
        <is>
          <t>Your tax bill WITH Accruity planning</t>
        </is>
      </c>
      <c r="E10" s="125">
        <f>INDIRECT("Y"&amp;Active_Year&amp;"!K133")</f>
        <v/>
      </c>
    </row>
    <row r="12">
      <c r="B12" s="126" t="inlineStr">
        <is>
          <t>ANNUAL TAX SAVINGS</t>
        </is>
      </c>
      <c r="E12" s="127">
        <f>E9-E10</f>
        <v/>
      </c>
    </row>
    <row r="14">
      <c r="B14" s="113" t="inlineStr">
        <is>
          <t>Effective tax rate</t>
        </is>
      </c>
      <c r="E14" s="128">
        <f>TEXT(INDIRECT("Y"&amp;Active_Year&amp;"!J134"),"0.00%")&amp;" → "&amp;TEXT(INDIRECT("Y"&amp;Active_Year&amp;"!K134"),"0.00%")</f>
        <v/>
      </c>
    </row>
    <row r="17">
      <c r="B17" s="124" t="inlineStr">
        <is>
          <t>SECTION 2 — INCOME WATERFALL</t>
        </is>
      </c>
    </row>
    <row r="19">
      <c r="B19" s="108" t="inlineStr">
        <is>
          <t>Description</t>
        </is>
      </c>
      <c r="C19" s="108" t="inlineStr">
        <is>
          <t>Without Planning</t>
        </is>
      </c>
      <c r="D19" s="108" t="inlineStr">
        <is>
          <t>With Planning</t>
        </is>
      </c>
      <c r="E19" s="108" t="inlineStr">
        <is>
          <t>Variance</t>
        </is>
      </c>
      <c r="F19" s="108" t="inlineStr">
        <is>
          <t>Notes</t>
        </is>
      </c>
    </row>
    <row r="20">
      <c r="B20" s="129" t="inlineStr">
        <is>
          <t>Wages (Line 1z)</t>
        </is>
      </c>
      <c r="C20" s="110">
        <f>INDIRECT("Y"&amp;Active_Year&amp;"!J6")</f>
        <v/>
      </c>
      <c r="D20" s="110">
        <f>INDIRECT("Y"&amp;Active_Year&amp;"!O6")</f>
        <v/>
      </c>
      <c r="E20" s="110">
        <f>D20-C20</f>
        <v/>
      </c>
      <c r="F20" s="130" t="inlineStr">
        <is>
          <t>Owner W-2 + 3rd-party</t>
        </is>
      </c>
    </row>
    <row r="21">
      <c r="B21" s="129" t="inlineStr">
        <is>
          <t>Tax-exempt interest (info, 2a)</t>
        </is>
      </c>
      <c r="C21" s="110">
        <f>INDIRECT("Y"&amp;Active_Year&amp;"!J7")</f>
        <v/>
      </c>
      <c r="D21" s="110">
        <f>INDIRECT("Y"&amp;Active_Year&amp;"!O7")</f>
        <v/>
      </c>
      <c r="E21" s="110">
        <f>D21-C21</f>
        <v/>
      </c>
      <c r="F21" s="130" t="inlineStr">
        <is>
          <t>Informational only</t>
        </is>
      </c>
    </row>
    <row r="22">
      <c r="B22" s="129" t="inlineStr">
        <is>
          <t>Taxable interest (2b)</t>
        </is>
      </c>
      <c r="C22" s="110">
        <f>INDIRECT("Y"&amp;Active_Year&amp;"!J8")</f>
        <v/>
      </c>
      <c r="D22" s="110">
        <f>INDIRECT("Y"&amp;Active_Year&amp;"!O8")</f>
        <v/>
      </c>
      <c r="E22" s="110">
        <f>D22-C22</f>
        <v/>
      </c>
      <c r="F22" s="130" t="inlineStr"/>
    </row>
    <row r="23">
      <c r="B23" s="129" t="inlineStr">
        <is>
          <t>Qualified dividends (info, 3a)</t>
        </is>
      </c>
      <c r="C23" s="110">
        <f>INDIRECT("Y"&amp;Active_Year&amp;"!J9")</f>
        <v/>
      </c>
      <c r="D23" s="110">
        <f>INDIRECT("Y"&amp;Active_Year&amp;"!O9")</f>
        <v/>
      </c>
      <c r="E23" s="110">
        <f>D23-C23</f>
        <v/>
      </c>
      <c r="F23" s="130" t="inlineStr">
        <is>
          <t>Stacks with LTCG</t>
        </is>
      </c>
    </row>
    <row r="24">
      <c r="B24" s="129" t="inlineStr">
        <is>
          <t>Ordinary dividends (3b)</t>
        </is>
      </c>
      <c r="C24" s="110">
        <f>INDIRECT("Y"&amp;Active_Year&amp;"!J10")</f>
        <v/>
      </c>
      <c r="D24" s="110">
        <f>INDIRECT("Y"&amp;Active_Year&amp;"!O10")</f>
        <v/>
      </c>
      <c r="E24" s="110">
        <f>D24-C24</f>
        <v/>
      </c>
      <c r="F24" s="130" t="inlineStr"/>
    </row>
    <row r="25">
      <c r="B25" s="129" t="inlineStr">
        <is>
          <t>Capital gain or (loss) (7)</t>
        </is>
      </c>
      <c r="C25" s="110">
        <f>INDIRECT("Y"&amp;Active_Year&amp;"!J11")</f>
        <v/>
      </c>
      <c r="D25" s="110">
        <f>INDIRECT("Y"&amp;Active_Year&amp;"!O11")</f>
        <v/>
      </c>
      <c r="E25" s="110">
        <f>D25-C25</f>
        <v/>
      </c>
      <c r="F25" s="130" t="inlineStr"/>
    </row>
    <row r="26">
      <c r="B26" s="129" t="inlineStr">
        <is>
          <t>Other income / Sch 1 biz (8)</t>
        </is>
      </c>
      <c r="C26" s="110">
        <f>INDIRECT("Y"&amp;Active_Year&amp;"!J12")</f>
        <v/>
      </c>
      <c r="D26" s="110">
        <f>INDIRECT("Y"&amp;Active_Year&amp;"!O12")</f>
        <v/>
      </c>
      <c r="E26" s="110">
        <f>D26-C26</f>
        <v/>
      </c>
      <c r="F26" s="130" t="inlineStr">
        <is>
          <t>Business income via K-1, Sch C/E/F</t>
        </is>
      </c>
    </row>
    <row r="27">
      <c r="B27" s="109" t="inlineStr">
        <is>
          <t>TOTAL INCOME (9)</t>
        </is>
      </c>
      <c r="C27" s="110">
        <f>INDIRECT("Y"&amp;Active_Year&amp;"!J13")</f>
        <v/>
      </c>
      <c r="D27" s="110">
        <f>INDIRECT("Y"&amp;Active_Year&amp;"!O13")</f>
        <v/>
      </c>
      <c r="E27" s="110">
        <f>D27-C27</f>
        <v/>
      </c>
      <c r="F27" s="130" t="inlineStr">
        <is>
          <t>Aggregator</t>
        </is>
      </c>
    </row>
    <row r="28">
      <c r="B28" s="129" t="inlineStr">
        <is>
          <t>Adjustments to income (10)</t>
        </is>
      </c>
      <c r="C28" s="110">
        <f>INDIRECT("Y"&amp;Active_Year&amp;"!J14")</f>
        <v/>
      </c>
      <c r="D28" s="110">
        <f>INDIRECT("Y"&amp;Active_Year&amp;"!O14")</f>
        <v/>
      </c>
      <c r="E28" s="110">
        <f>D28-C28</f>
        <v/>
      </c>
      <c r="F28" s="130" t="inlineStr">
        <is>
          <t>Above-line deductions</t>
        </is>
      </c>
    </row>
    <row r="29">
      <c r="B29" s="109" t="inlineStr">
        <is>
          <t>AGI (11)</t>
        </is>
      </c>
      <c r="C29" s="110">
        <f>INDIRECT("Y"&amp;Active_Year&amp;"!J15")</f>
        <v/>
      </c>
      <c r="D29" s="110">
        <f>INDIRECT("Y"&amp;Active_Year&amp;"!O15")</f>
        <v/>
      </c>
      <c r="E29" s="110">
        <f>D29-C29</f>
        <v/>
      </c>
      <c r="F29" s="130" t="inlineStr">
        <is>
          <t>Aggregator</t>
        </is>
      </c>
    </row>
    <row r="30">
      <c r="B30" s="129" t="inlineStr">
        <is>
          <t>Std/Itemized deduction (12)</t>
        </is>
      </c>
      <c r="C30" s="110">
        <f>INDIRECT("Y"&amp;Active_Year&amp;"!J16")</f>
        <v/>
      </c>
      <c r="D30" s="110">
        <f>INDIRECT("Y"&amp;Active_Year&amp;"!O16")</f>
        <v/>
      </c>
      <c r="E30" s="110">
        <f>D30-C30</f>
        <v/>
      </c>
      <c r="F30" s="130" t="inlineStr"/>
    </row>
    <row r="31">
      <c r="B31" s="129" t="inlineStr">
        <is>
          <t>QBI deduction (13)</t>
        </is>
      </c>
      <c r="C31" s="110">
        <f>INDIRECT("Y"&amp;Active_Year&amp;"!J17")</f>
        <v/>
      </c>
      <c r="D31" s="110">
        <f>INDIRECT("Y"&amp;Active_Year&amp;"!O17")</f>
        <v/>
      </c>
      <c r="E31" s="110">
        <f>D31-C31</f>
        <v/>
      </c>
      <c r="F31" s="130" t="inlineStr">
        <is>
          <t>§199A 20%</t>
        </is>
      </c>
    </row>
    <row r="32">
      <c r="B32" s="109" t="inlineStr">
        <is>
          <t>TAXABLE INCOME (15)</t>
        </is>
      </c>
      <c r="C32" s="110">
        <f>INDIRECT("Y"&amp;Active_Year&amp;"!J18")</f>
        <v/>
      </c>
      <c r="D32" s="110">
        <f>INDIRECT("Y"&amp;Active_Year&amp;"!O18")</f>
        <v/>
      </c>
      <c r="E32" s="110">
        <f>D32-C32</f>
        <v/>
      </c>
      <c r="F32" s="130" t="inlineStr">
        <is>
          <t>Aggregator</t>
        </is>
      </c>
    </row>
    <row r="35">
      <c r="B35" s="124" t="inlineStr">
        <is>
          <t>SECTION 3 — TAX COMPONENT SAVINGS</t>
        </is>
      </c>
    </row>
    <row r="37">
      <c r="B37" s="108" t="inlineStr">
        <is>
          <t>Tax Component</t>
        </is>
      </c>
      <c r="C37" s="108" t="inlineStr">
        <is>
          <t>Without Planning</t>
        </is>
      </c>
      <c r="D37" s="108" t="inlineStr">
        <is>
          <t>With Planning</t>
        </is>
      </c>
      <c r="E37" s="108" t="inlineStr">
        <is>
          <t>Δ Savings</t>
        </is>
      </c>
      <c r="F37" s="108" t="inlineStr">
        <is>
          <t>Notes</t>
        </is>
      </c>
    </row>
    <row r="38">
      <c r="B38" s="129" t="inlineStr">
        <is>
          <t>Ordinary Income Tax</t>
        </is>
      </c>
      <c r="C38" s="110">
        <f>INDIRECT("Y"&amp;Active_Year&amp;"!J97")</f>
        <v/>
      </c>
      <c r="D38" s="110">
        <f>INDIRECT("Y"&amp;Active_Year&amp;"!K97")</f>
        <v/>
      </c>
      <c r="E38" s="110">
        <f>C38-D38</f>
        <v/>
      </c>
      <c r="F38" s="130" t="inlineStr">
        <is>
          <t>Brackets x taxable income</t>
        </is>
      </c>
    </row>
    <row r="39">
      <c r="B39" s="129" t="inlineStr">
        <is>
          <t>Capital Gains Tax</t>
        </is>
      </c>
      <c r="C39" s="110">
        <f>INDIRECT("Y"&amp;Active_Year&amp;"!J107")</f>
        <v/>
      </c>
      <c r="D39" s="110">
        <f>INDIRECT("Y"&amp;Active_Year&amp;"!K107")</f>
        <v/>
      </c>
      <c r="E39" s="110">
        <f>C39-D39</f>
        <v/>
      </c>
      <c r="F39" s="130" t="inlineStr">
        <is>
          <t>Preferential rate on LTCG/Qual Div</t>
        </is>
      </c>
    </row>
    <row r="40">
      <c r="B40" s="129" t="inlineStr">
        <is>
          <t>Self-Employment Tax</t>
        </is>
      </c>
      <c r="C40" s="110">
        <f>INDIRECT("Y"&amp;Active_Year&amp;"!J80")</f>
        <v/>
      </c>
      <c r="D40" s="110">
        <f>INDIRECT("Y"&amp;Active_Year&amp;"!K80")</f>
        <v/>
      </c>
      <c r="E40" s="110">
        <f>C40-D40</f>
        <v/>
      </c>
      <c r="F40" s="130" t="inlineStr">
        <is>
          <t>15.3% on SE earnings × 0.9235</t>
        </is>
      </c>
    </row>
    <row r="41">
      <c r="B41" s="129" t="inlineStr">
        <is>
          <t>Payroll Tax (Employee + Employer)</t>
        </is>
      </c>
      <c r="C41" s="110">
        <f>INDIRECT("Y"&amp;Active_Year&amp;"!J91")</f>
        <v/>
      </c>
      <c r="D41" s="110">
        <f>INDIRECT("Y"&amp;Active_Year&amp;"!K91")</f>
        <v/>
      </c>
      <c r="E41" s="110">
        <f>C41-D41</f>
        <v/>
      </c>
      <c r="F41" s="130" t="inlineStr">
        <is>
          <t>FICA double-burden on owner W-2</t>
        </is>
      </c>
    </row>
    <row r="42">
      <c r="B42" s="129" t="inlineStr">
        <is>
          <t>NIIT (3.8%)</t>
        </is>
      </c>
      <c r="C42" s="110">
        <f>INDIRECT("Y"&amp;Active_Year&amp;"!J114")</f>
        <v/>
      </c>
      <c r="D42" s="110">
        <f>INDIRECT("Y"&amp;Active_Year&amp;"!K114")</f>
        <v/>
      </c>
      <c r="E42" s="110">
        <f>C42-D42</f>
        <v/>
      </c>
      <c r="F42" s="130" t="inlineStr">
        <is>
          <t>On investment income above thresh</t>
        </is>
      </c>
    </row>
    <row r="43">
      <c r="B43" s="129" t="inlineStr">
        <is>
          <t>Less: QBI Tax Benefit</t>
        </is>
      </c>
      <c r="C43" s="110">
        <f>INDIRECT("Y"&amp;Active_Year&amp;"!J131")</f>
        <v/>
      </c>
      <c r="D43" s="110">
        <f>INDIRECT("Y"&amp;Active_Year&amp;"!K131")</f>
        <v/>
      </c>
      <c r="E43" s="110">
        <f>C43-D43</f>
        <v/>
      </c>
      <c r="F43" s="130" t="inlineStr">
        <is>
          <t>§199A 20% deduction tax savings</t>
        </is>
      </c>
    </row>
    <row r="44">
      <c r="B44" s="109" t="inlineStr">
        <is>
          <t>TOTAL FEDERAL TAX</t>
        </is>
      </c>
      <c r="C44" s="110">
        <f>INDIRECT("Y"&amp;Active_Year&amp;"!J133")</f>
        <v/>
      </c>
      <c r="D44" s="110">
        <f>INDIRECT("Y"&amp;Active_Year&amp;"!K133")</f>
        <v/>
      </c>
      <c r="E44" s="110">
        <f>C44-D44</f>
        <v/>
      </c>
      <c r="F44" s="130" t="inlineStr"/>
    </row>
    <row r="47">
      <c r="B47" s="124" t="inlineStr">
        <is>
          <t>SECTION 4 — STRATEGY-BY-STRATEGY SAVINGS</t>
        </is>
      </c>
    </row>
    <row r="49">
      <c r="B49" s="108" t="inlineStr">
        <is>
          <t>#</t>
        </is>
      </c>
      <c r="C49" s="108" t="inlineStr">
        <is>
          <t>Strategy</t>
        </is>
      </c>
      <c r="D49" s="108" t="inlineStr">
        <is>
          <t>Status</t>
        </is>
      </c>
      <c r="E49" s="108" t="inlineStr">
        <is>
          <t>Amount</t>
        </is>
      </c>
      <c r="F49" s="108" t="inlineStr">
        <is>
          <t>Marginal Savings</t>
        </is>
      </c>
    </row>
    <row r="50">
      <c r="B50" s="109" t="inlineStr">
        <is>
          <t>#1</t>
        </is>
      </c>
      <c r="C50" s="111">
        <f>INDIRECT("Y"&amp;Active_Year&amp;"!B6")</f>
        <v/>
      </c>
      <c r="D50" s="111">
        <f>INDIRECT("Y"&amp;Active_Year&amp;"!E6")</f>
        <v/>
      </c>
      <c r="E50" s="110">
        <f>IFERROR(INDIRECT("Y"&amp;Active_Year&amp;"!D6"),0)</f>
        <v/>
      </c>
      <c r="F50" s="110">
        <f>IF(OR(INDIRECT("Y"&amp;Active_Year&amp;"!E6")="Committed",INDIRECT("Y"&amp;Active_Year&amp;"!E6")="Implemented"),-INDIRECT("Y"&amp;Active_Year&amp;"!D6")*0.32,0)</f>
        <v/>
      </c>
    </row>
    <row r="51">
      <c r="B51" s="109" t="inlineStr">
        <is>
          <t>#2</t>
        </is>
      </c>
      <c r="C51" s="111">
        <f>INDIRECT("Y"&amp;Active_Year&amp;"!B7")</f>
        <v/>
      </c>
      <c r="D51" s="111">
        <f>INDIRECT("Y"&amp;Active_Year&amp;"!E7")</f>
        <v/>
      </c>
      <c r="E51" s="110">
        <f>IFERROR(INDIRECT("Y"&amp;Active_Year&amp;"!D7"),0)</f>
        <v/>
      </c>
      <c r="F51" s="110">
        <f>IF(OR(INDIRECT("Y"&amp;Active_Year&amp;"!E7")="Committed",INDIRECT("Y"&amp;Active_Year&amp;"!E7")="Implemented"),-INDIRECT("Y"&amp;Active_Year&amp;"!D7")*0.32,0)</f>
        <v/>
      </c>
    </row>
    <row r="52">
      <c r="B52" s="109" t="inlineStr">
        <is>
          <t>#3</t>
        </is>
      </c>
      <c r="C52" s="111">
        <f>INDIRECT("Y"&amp;Active_Year&amp;"!B8")</f>
        <v/>
      </c>
      <c r="D52" s="111">
        <f>INDIRECT("Y"&amp;Active_Year&amp;"!E8")</f>
        <v/>
      </c>
      <c r="E52" s="110">
        <f>IFERROR(INDIRECT("Y"&amp;Active_Year&amp;"!D8"),0)</f>
        <v/>
      </c>
      <c r="F52" s="110">
        <f>IF(OR(INDIRECT("Y"&amp;Active_Year&amp;"!E8")="Committed",INDIRECT("Y"&amp;Active_Year&amp;"!E8")="Implemented"),-INDIRECT("Y"&amp;Active_Year&amp;"!D8")*0.32,0)</f>
        <v/>
      </c>
    </row>
    <row r="53">
      <c r="B53" s="109" t="inlineStr">
        <is>
          <t>#4</t>
        </is>
      </c>
      <c r="C53" s="111">
        <f>INDIRECT("Y"&amp;Active_Year&amp;"!B9")</f>
        <v/>
      </c>
      <c r="D53" s="111">
        <f>INDIRECT("Y"&amp;Active_Year&amp;"!E9")</f>
        <v/>
      </c>
      <c r="E53" s="110">
        <f>IFERROR(INDIRECT("Y"&amp;Active_Year&amp;"!D9"),0)</f>
        <v/>
      </c>
      <c r="F53" s="110">
        <f>IF(OR(INDIRECT("Y"&amp;Active_Year&amp;"!E9")="Committed",INDIRECT("Y"&amp;Active_Year&amp;"!E9")="Implemented"),-INDIRECT("Y"&amp;Active_Year&amp;"!D9")*0.32,0)</f>
        <v/>
      </c>
    </row>
    <row r="54">
      <c r="B54" s="109" t="inlineStr">
        <is>
          <t>#5</t>
        </is>
      </c>
      <c r="C54" s="111">
        <f>INDIRECT("Y"&amp;Active_Year&amp;"!B10")</f>
        <v/>
      </c>
      <c r="D54" s="111">
        <f>INDIRECT("Y"&amp;Active_Year&amp;"!E10")</f>
        <v/>
      </c>
      <c r="E54" s="110">
        <f>IFERROR(INDIRECT("Y"&amp;Active_Year&amp;"!D10"),0)</f>
        <v/>
      </c>
      <c r="F54" s="110">
        <f>IF(OR(INDIRECT("Y"&amp;Active_Year&amp;"!E10")="Committed",INDIRECT("Y"&amp;Active_Year&amp;"!E10")="Implemented"),-INDIRECT("Y"&amp;Active_Year&amp;"!D10")*0.32,0)</f>
        <v/>
      </c>
    </row>
    <row r="55">
      <c r="B55" s="109" t="inlineStr">
        <is>
          <t>#6</t>
        </is>
      </c>
      <c r="C55" s="111">
        <f>INDIRECT("Y"&amp;Active_Year&amp;"!B11")</f>
        <v/>
      </c>
      <c r="D55" s="111">
        <f>INDIRECT("Y"&amp;Active_Year&amp;"!E11")</f>
        <v/>
      </c>
      <c r="E55" s="110">
        <f>IFERROR(INDIRECT("Y"&amp;Active_Year&amp;"!D11"),0)</f>
        <v/>
      </c>
      <c r="F55" s="110">
        <f>IF(OR(INDIRECT("Y"&amp;Active_Year&amp;"!E11")="Committed",INDIRECT("Y"&amp;Active_Year&amp;"!E11")="Implemented"),-INDIRECT("Y"&amp;Active_Year&amp;"!D11")*0.32,0)</f>
        <v/>
      </c>
    </row>
    <row r="56">
      <c r="B56" s="109" t="inlineStr">
        <is>
          <t>#7</t>
        </is>
      </c>
      <c r="C56" s="111">
        <f>INDIRECT("Y"&amp;Active_Year&amp;"!B12")</f>
        <v/>
      </c>
      <c r="D56" s="111">
        <f>INDIRECT("Y"&amp;Active_Year&amp;"!E12")</f>
        <v/>
      </c>
      <c r="E56" s="110">
        <f>IFERROR(INDIRECT("Y"&amp;Active_Year&amp;"!D12"),0)</f>
        <v/>
      </c>
      <c r="F56" s="110">
        <f>IF(OR(INDIRECT("Y"&amp;Active_Year&amp;"!E12")="Committed",INDIRECT("Y"&amp;Active_Year&amp;"!E12")="Implemented"),-INDIRECT("Y"&amp;Active_Year&amp;"!D12")*0.32,0)</f>
        <v/>
      </c>
    </row>
    <row r="57">
      <c r="B57" s="109" t="inlineStr">
        <is>
          <t>#8</t>
        </is>
      </c>
      <c r="C57" s="111">
        <f>INDIRECT("Y"&amp;Active_Year&amp;"!B13")</f>
        <v/>
      </c>
      <c r="D57" s="111">
        <f>INDIRECT("Y"&amp;Active_Year&amp;"!E13")</f>
        <v/>
      </c>
      <c r="E57" s="110">
        <f>IFERROR(INDIRECT("Y"&amp;Active_Year&amp;"!D13"),0)</f>
        <v/>
      </c>
      <c r="F57" s="110">
        <f>IF(OR(INDIRECT("Y"&amp;Active_Year&amp;"!E13")="Committed",INDIRECT("Y"&amp;Active_Year&amp;"!E13")="Implemented"),-INDIRECT("Y"&amp;Active_Year&amp;"!D13")*0.32,0)</f>
        <v/>
      </c>
    </row>
    <row r="58">
      <c r="B58" s="109" t="inlineStr">
        <is>
          <t>#9</t>
        </is>
      </c>
      <c r="C58" s="111">
        <f>INDIRECT("Y"&amp;Active_Year&amp;"!B14")</f>
        <v/>
      </c>
      <c r="D58" s="111">
        <f>INDIRECT("Y"&amp;Active_Year&amp;"!E14")</f>
        <v/>
      </c>
      <c r="E58" s="110">
        <f>IFERROR(INDIRECT("Y"&amp;Active_Year&amp;"!D14"),0)</f>
        <v/>
      </c>
      <c r="F58" s="110">
        <f>IF(OR(INDIRECT("Y"&amp;Active_Year&amp;"!E14")="Committed",INDIRECT("Y"&amp;Active_Year&amp;"!E14")="Implemented"),-INDIRECT("Y"&amp;Active_Year&amp;"!D14")*0.32,0)</f>
        <v/>
      </c>
    </row>
    <row r="59">
      <c r="B59" s="109" t="inlineStr">
        <is>
          <t>#10</t>
        </is>
      </c>
      <c r="C59" s="111">
        <f>INDIRECT("Y"&amp;Active_Year&amp;"!B15")</f>
        <v/>
      </c>
      <c r="D59" s="111">
        <f>INDIRECT("Y"&amp;Active_Year&amp;"!E15")</f>
        <v/>
      </c>
      <c r="E59" s="110">
        <f>IFERROR(INDIRECT("Y"&amp;Active_Year&amp;"!D15"),0)</f>
        <v/>
      </c>
      <c r="F59" s="110">
        <f>IF(OR(INDIRECT("Y"&amp;Active_Year&amp;"!E15")="Committed",INDIRECT("Y"&amp;Active_Year&amp;"!E15")="Implemented"),-INDIRECT("Y"&amp;Active_Year&amp;"!D15")*0.32,0)</f>
        <v/>
      </c>
    </row>
    <row r="60">
      <c r="B60" s="109" t="inlineStr">
        <is>
          <t>#11</t>
        </is>
      </c>
      <c r="C60" s="111">
        <f>INDIRECT("Y"&amp;Active_Year&amp;"!B16")</f>
        <v/>
      </c>
      <c r="D60" s="111">
        <f>INDIRECT("Y"&amp;Active_Year&amp;"!E16")</f>
        <v/>
      </c>
      <c r="E60" s="110">
        <f>IFERROR(INDIRECT("Y"&amp;Active_Year&amp;"!D16"),0)</f>
        <v/>
      </c>
      <c r="F60" s="110">
        <f>IF(OR(INDIRECT("Y"&amp;Active_Year&amp;"!E16")="Committed",INDIRECT("Y"&amp;Active_Year&amp;"!E16")="Implemented"),-INDIRECT("Y"&amp;Active_Year&amp;"!D16")*0.32,0)</f>
        <v/>
      </c>
    </row>
    <row r="61">
      <c r="B61" s="109" t="inlineStr">
        <is>
          <t>#12</t>
        </is>
      </c>
      <c r="C61" s="111">
        <f>INDIRECT("Y"&amp;Active_Year&amp;"!B17")</f>
        <v/>
      </c>
      <c r="D61" s="111">
        <f>INDIRECT("Y"&amp;Active_Year&amp;"!E17")</f>
        <v/>
      </c>
      <c r="E61" s="110">
        <f>IFERROR(INDIRECT("Y"&amp;Active_Year&amp;"!D17"),0)</f>
        <v/>
      </c>
      <c r="F61" s="110">
        <f>IF(OR(INDIRECT("Y"&amp;Active_Year&amp;"!E17")="Committed",INDIRECT("Y"&amp;Active_Year&amp;"!E17")="Implemented"),-INDIRECT("Y"&amp;Active_Year&amp;"!D17")*0.32,0)</f>
        <v/>
      </c>
    </row>
    <row r="62">
      <c r="B62" s="109" t="inlineStr">
        <is>
          <t>#13</t>
        </is>
      </c>
      <c r="C62" s="111">
        <f>INDIRECT("Y"&amp;Active_Year&amp;"!B18")</f>
        <v/>
      </c>
      <c r="D62" s="111">
        <f>INDIRECT("Y"&amp;Active_Year&amp;"!E18")</f>
        <v/>
      </c>
      <c r="E62" s="110">
        <f>IFERROR(INDIRECT("Y"&amp;Active_Year&amp;"!D18"),0)</f>
        <v/>
      </c>
      <c r="F62" s="110">
        <f>IF(OR(INDIRECT("Y"&amp;Active_Year&amp;"!E18")="Committed",INDIRECT("Y"&amp;Active_Year&amp;"!E18")="Implemented"),-INDIRECT("Y"&amp;Active_Year&amp;"!D18")*0.32,0)</f>
        <v/>
      </c>
    </row>
    <row r="63">
      <c r="B63" s="109" t="inlineStr">
        <is>
          <t>#14</t>
        </is>
      </c>
      <c r="C63" s="111">
        <f>INDIRECT("Y"&amp;Active_Year&amp;"!B19")</f>
        <v/>
      </c>
      <c r="D63" s="111">
        <f>INDIRECT("Y"&amp;Active_Year&amp;"!E19")</f>
        <v/>
      </c>
      <c r="E63" s="110">
        <f>IFERROR(INDIRECT("Y"&amp;Active_Year&amp;"!D19"),0)</f>
        <v/>
      </c>
      <c r="F63" s="110">
        <f>IF(OR(INDIRECT("Y"&amp;Active_Year&amp;"!E19")="Committed",INDIRECT("Y"&amp;Active_Year&amp;"!E19")="Implemented"),-INDIRECT("Y"&amp;Active_Year&amp;"!D19")*0.32,0)</f>
        <v/>
      </c>
    </row>
    <row r="64">
      <c r="B64" s="109" t="inlineStr">
        <is>
          <t>#15</t>
        </is>
      </c>
      <c r="C64" s="111">
        <f>INDIRECT("Y"&amp;Active_Year&amp;"!B20")</f>
        <v/>
      </c>
      <c r="D64" s="111">
        <f>INDIRECT("Y"&amp;Active_Year&amp;"!E20")</f>
        <v/>
      </c>
      <c r="E64" s="110">
        <f>IFERROR(INDIRECT("Y"&amp;Active_Year&amp;"!D20"),0)</f>
        <v/>
      </c>
      <c r="F64" s="110">
        <f>IF(OR(INDIRECT("Y"&amp;Active_Year&amp;"!E20")="Committed",INDIRECT("Y"&amp;Active_Year&amp;"!E20")="Implemented"),-INDIRECT("Y"&amp;Active_Year&amp;"!D20")*0.32,0)</f>
        <v/>
      </c>
    </row>
    <row r="66">
      <c r="C66" s="113" t="inlineStr">
        <is>
          <t>Subtotal — Direct Strategy Savings</t>
        </is>
      </c>
      <c r="F66" s="114">
        <f>SUM(F50:F64)</f>
        <v/>
      </c>
    </row>
    <row r="67">
      <c r="C67" s="115" t="inlineStr">
        <is>
          <t>Plan Synergy (Canon v1.4 est.)</t>
        </is>
      </c>
      <c r="F67" s="116" t="n">
        <v>0</v>
      </c>
    </row>
    <row r="68">
      <c r="C68" s="126" t="inlineStr">
        <is>
          <t>PLAN TOTAL</t>
        </is>
      </c>
      <c r="F68" s="131">
        <f>F66+F67</f>
        <v/>
      </c>
    </row>
    <row r="69">
      <c r="B69" s="115" t="inlineStr">
        <is>
          <t>Marginal Savings = -Amount × estimated 32% marginal rate (approximate; replace with LAMBDA recalc for precision)</t>
        </is>
      </c>
    </row>
    <row r="72">
      <c r="B72" s="124" t="inlineStr">
        <is>
          <t>SECTION 5 — TAKE-HOME CASH + WEALTH POSITION</t>
        </is>
      </c>
    </row>
    <row r="74">
      <c r="B74" s="113" t="inlineStr">
        <is>
          <t>Take-Home Cash (after total federal tax)</t>
        </is>
      </c>
      <c r="E74" s="125">
        <f>INDIRECT("Y"&amp;Active_Year&amp;"!K125")-INDIRECT("Y"&amp;Active_Year&amp;"!K133")</f>
        <v/>
      </c>
    </row>
    <row r="75">
      <c r="B75" s="115" t="inlineStr">
        <is>
          <t>Without planning (for comparison)</t>
        </is>
      </c>
      <c r="E75" s="116">
        <f>INDIRECT("Y"&amp;Active_Year&amp;"!J125")-INDIRECT("Y"&amp;Active_Year&amp;"!J133")</f>
        <v/>
      </c>
    </row>
    <row r="76">
      <c r="B76" s="113" t="inlineStr">
        <is>
          <t>Take-Home Cash IMPROVEMENT</t>
        </is>
      </c>
      <c r="E76" s="132">
        <f>E74-E75</f>
        <v/>
      </c>
    </row>
    <row r="78">
      <c r="B78" s="113" t="inlineStr">
        <is>
          <t>Take-Home Cash as % of Total Income</t>
        </is>
      </c>
      <c r="E78" s="133">
        <f>IFERROR(E74/INDIRECT("Y"&amp;Active_Year&amp;"!K125"),0)</f>
        <v/>
      </c>
    </row>
    <row r="80">
      <c r="B80" s="115" t="inlineStr">
        <is>
          <t>Note: Wealth-position framing (long-term capital accumulation, RE equity build, etc.) is not modeled here — requires separate cash-flow projection.</t>
        </is>
      </c>
    </row>
    <row r="83">
      <c r="B83" s="124" t="inlineStr">
        <is>
          <t>SECTION 6 — IMPLEMENTATION GUIDE</t>
        </is>
      </c>
    </row>
    <row r="85">
      <c r="B85" s="108" t="inlineStr">
        <is>
          <t>#</t>
        </is>
      </c>
      <c r="C85" s="108" t="inlineStr">
        <is>
          <t>Strategy</t>
        </is>
      </c>
      <c r="D85" s="108" t="inlineStr">
        <is>
          <t>Jeff Ref</t>
        </is>
      </c>
      <c r="E85" s="108" t="inlineStr">
        <is>
          <t>Action Required</t>
        </is>
      </c>
      <c r="F85" s="108" t="inlineStr">
        <is>
          <t>Status</t>
        </is>
      </c>
    </row>
    <row r="86">
      <c r="B86" s="109" t="inlineStr">
        <is>
          <t>#1</t>
        </is>
      </c>
      <c r="C86" s="111">
        <f>INDIRECT("Y"&amp;Active_Year&amp;"!B6")</f>
        <v/>
      </c>
      <c r="D86" s="111">
        <f>INDIRECT("Y"&amp;Active_Year&amp;"!H6")</f>
        <v/>
      </c>
      <c r="E86" s="111">
        <f>IF(INDIRECT("Y"&amp;Active_Year&amp;"!E6")="Committed","File required forms; coordinate with admin",IF(INDIRECT("Y"&amp;Active_Year&amp;"!E6")="Approved","Awaiting client approval to commit",IF(INDIRECT("Y"&amp;Active_Year&amp;"!E6")="Implemented","Already in place; review annually","Discuss with client; pending decision")))</f>
        <v/>
      </c>
      <c r="F86" s="111">
        <f>INDIRECT("Y"&amp;Active_Year&amp;"!E6")</f>
        <v/>
      </c>
    </row>
    <row r="87">
      <c r="B87" s="109" t="inlineStr">
        <is>
          <t>#2</t>
        </is>
      </c>
      <c r="C87" s="111">
        <f>INDIRECT("Y"&amp;Active_Year&amp;"!B7")</f>
        <v/>
      </c>
      <c r="D87" s="111">
        <f>INDIRECT("Y"&amp;Active_Year&amp;"!H7")</f>
        <v/>
      </c>
      <c r="E87" s="111">
        <f>IF(INDIRECT("Y"&amp;Active_Year&amp;"!E7")="Committed","File required forms; coordinate with admin",IF(INDIRECT("Y"&amp;Active_Year&amp;"!E7")="Approved","Awaiting client approval to commit",IF(INDIRECT("Y"&amp;Active_Year&amp;"!E7")="Implemented","Already in place; review annually","Discuss with client; pending decision")))</f>
        <v/>
      </c>
      <c r="F87" s="111">
        <f>INDIRECT("Y"&amp;Active_Year&amp;"!E7")</f>
        <v/>
      </c>
    </row>
    <row r="88">
      <c r="B88" s="109" t="inlineStr">
        <is>
          <t>#3</t>
        </is>
      </c>
      <c r="C88" s="111">
        <f>INDIRECT("Y"&amp;Active_Year&amp;"!B8")</f>
        <v/>
      </c>
      <c r="D88" s="111">
        <f>INDIRECT("Y"&amp;Active_Year&amp;"!H8")</f>
        <v/>
      </c>
      <c r="E88" s="111">
        <f>IF(INDIRECT("Y"&amp;Active_Year&amp;"!E8")="Committed","File required forms; coordinate with admin",IF(INDIRECT("Y"&amp;Active_Year&amp;"!E8")="Approved","Awaiting client approval to commit",IF(INDIRECT("Y"&amp;Active_Year&amp;"!E8")="Implemented","Already in place; review annually","Discuss with client; pending decision")))</f>
        <v/>
      </c>
      <c r="F88" s="111">
        <f>INDIRECT("Y"&amp;Active_Year&amp;"!E8")</f>
        <v/>
      </c>
    </row>
    <row r="89">
      <c r="B89" s="109" t="inlineStr">
        <is>
          <t>#4</t>
        </is>
      </c>
      <c r="C89" s="111">
        <f>INDIRECT("Y"&amp;Active_Year&amp;"!B9")</f>
        <v/>
      </c>
      <c r="D89" s="111">
        <f>INDIRECT("Y"&amp;Active_Year&amp;"!H9")</f>
        <v/>
      </c>
      <c r="E89" s="111">
        <f>IF(INDIRECT("Y"&amp;Active_Year&amp;"!E9")="Committed","File required forms; coordinate with admin",IF(INDIRECT("Y"&amp;Active_Year&amp;"!E9")="Approved","Awaiting client approval to commit",IF(INDIRECT("Y"&amp;Active_Year&amp;"!E9")="Implemented","Already in place; review annually","Discuss with client; pending decision")))</f>
        <v/>
      </c>
      <c r="F89" s="111">
        <f>INDIRECT("Y"&amp;Active_Year&amp;"!E9")</f>
        <v/>
      </c>
    </row>
    <row r="90">
      <c r="B90" s="109" t="inlineStr">
        <is>
          <t>#5</t>
        </is>
      </c>
      <c r="C90" s="111">
        <f>INDIRECT("Y"&amp;Active_Year&amp;"!B10")</f>
        <v/>
      </c>
      <c r="D90" s="111">
        <f>INDIRECT("Y"&amp;Active_Year&amp;"!H10")</f>
        <v/>
      </c>
      <c r="E90" s="111">
        <f>IF(INDIRECT("Y"&amp;Active_Year&amp;"!E10")="Committed","File required forms; coordinate with admin",IF(INDIRECT("Y"&amp;Active_Year&amp;"!E10")="Approved","Awaiting client approval to commit",IF(INDIRECT("Y"&amp;Active_Year&amp;"!E10")="Implemented","Already in place; review annually","Discuss with client; pending decision")))</f>
        <v/>
      </c>
      <c r="F90" s="111">
        <f>INDIRECT("Y"&amp;Active_Year&amp;"!E10")</f>
        <v/>
      </c>
    </row>
    <row r="91">
      <c r="B91" s="109" t="inlineStr">
        <is>
          <t>#6</t>
        </is>
      </c>
      <c r="C91" s="111">
        <f>INDIRECT("Y"&amp;Active_Year&amp;"!B11")</f>
        <v/>
      </c>
      <c r="D91" s="111">
        <f>INDIRECT("Y"&amp;Active_Year&amp;"!H11")</f>
        <v/>
      </c>
      <c r="E91" s="111">
        <f>IF(INDIRECT("Y"&amp;Active_Year&amp;"!E11")="Committed","File required forms; coordinate with admin",IF(INDIRECT("Y"&amp;Active_Year&amp;"!E11")="Approved","Awaiting client approval to commit",IF(INDIRECT("Y"&amp;Active_Year&amp;"!E11")="Implemented","Already in place; review annually","Discuss with client; pending decision")))</f>
        <v/>
      </c>
      <c r="F91" s="111">
        <f>INDIRECT("Y"&amp;Active_Year&amp;"!E11")</f>
        <v/>
      </c>
    </row>
    <row r="92">
      <c r="B92" s="109" t="inlineStr">
        <is>
          <t>#7</t>
        </is>
      </c>
      <c r="C92" s="111">
        <f>INDIRECT("Y"&amp;Active_Year&amp;"!B12")</f>
        <v/>
      </c>
      <c r="D92" s="111">
        <f>INDIRECT("Y"&amp;Active_Year&amp;"!H12")</f>
        <v/>
      </c>
      <c r="E92" s="111">
        <f>IF(INDIRECT("Y"&amp;Active_Year&amp;"!E12")="Committed","File required forms; coordinate with admin",IF(INDIRECT("Y"&amp;Active_Year&amp;"!E12")="Approved","Awaiting client approval to commit",IF(INDIRECT("Y"&amp;Active_Year&amp;"!E12")="Implemented","Already in place; review annually","Discuss with client; pending decision")))</f>
        <v/>
      </c>
      <c r="F92" s="111">
        <f>INDIRECT("Y"&amp;Active_Year&amp;"!E12")</f>
        <v/>
      </c>
    </row>
    <row r="93">
      <c r="B93" s="109" t="inlineStr">
        <is>
          <t>#8</t>
        </is>
      </c>
      <c r="C93" s="111">
        <f>INDIRECT("Y"&amp;Active_Year&amp;"!B13")</f>
        <v/>
      </c>
      <c r="D93" s="111">
        <f>INDIRECT("Y"&amp;Active_Year&amp;"!H13")</f>
        <v/>
      </c>
      <c r="E93" s="111">
        <f>IF(INDIRECT("Y"&amp;Active_Year&amp;"!E13")="Committed","File required forms; coordinate with admin",IF(INDIRECT("Y"&amp;Active_Year&amp;"!E13")="Approved","Awaiting client approval to commit",IF(INDIRECT("Y"&amp;Active_Year&amp;"!E13")="Implemented","Already in place; review annually","Discuss with client; pending decision")))</f>
        <v/>
      </c>
      <c r="F93" s="111">
        <f>INDIRECT("Y"&amp;Active_Year&amp;"!E13")</f>
        <v/>
      </c>
    </row>
    <row r="94">
      <c r="B94" s="109" t="inlineStr">
        <is>
          <t>#9</t>
        </is>
      </c>
      <c r="C94" s="111">
        <f>INDIRECT("Y"&amp;Active_Year&amp;"!B14")</f>
        <v/>
      </c>
      <c r="D94" s="111">
        <f>INDIRECT("Y"&amp;Active_Year&amp;"!H14")</f>
        <v/>
      </c>
      <c r="E94" s="111">
        <f>IF(INDIRECT("Y"&amp;Active_Year&amp;"!E14")="Committed","File required forms; coordinate with admin",IF(INDIRECT("Y"&amp;Active_Year&amp;"!E14")="Approved","Awaiting client approval to commit",IF(INDIRECT("Y"&amp;Active_Year&amp;"!E14")="Implemented","Already in place; review annually","Discuss with client; pending decision")))</f>
        <v/>
      </c>
      <c r="F94" s="111">
        <f>INDIRECT("Y"&amp;Active_Year&amp;"!E14")</f>
        <v/>
      </c>
    </row>
    <row r="95">
      <c r="B95" s="109" t="inlineStr">
        <is>
          <t>#10</t>
        </is>
      </c>
      <c r="C95" s="111">
        <f>INDIRECT("Y"&amp;Active_Year&amp;"!B15")</f>
        <v/>
      </c>
      <c r="D95" s="111">
        <f>INDIRECT("Y"&amp;Active_Year&amp;"!H15")</f>
        <v/>
      </c>
      <c r="E95" s="111">
        <f>IF(INDIRECT("Y"&amp;Active_Year&amp;"!E15")="Committed","File required forms; coordinate with admin",IF(INDIRECT("Y"&amp;Active_Year&amp;"!E15")="Approved","Awaiting client approval to commit",IF(INDIRECT("Y"&amp;Active_Year&amp;"!E15")="Implemented","Already in place; review annually","Discuss with client; pending decision")))</f>
        <v/>
      </c>
      <c r="F95" s="111">
        <f>INDIRECT("Y"&amp;Active_Year&amp;"!E15")</f>
        <v/>
      </c>
    </row>
    <row r="96">
      <c r="B96" s="109" t="inlineStr">
        <is>
          <t>#11</t>
        </is>
      </c>
      <c r="C96" s="111">
        <f>INDIRECT("Y"&amp;Active_Year&amp;"!B16")</f>
        <v/>
      </c>
      <c r="D96" s="111">
        <f>INDIRECT("Y"&amp;Active_Year&amp;"!H16")</f>
        <v/>
      </c>
      <c r="E96" s="111">
        <f>IF(INDIRECT("Y"&amp;Active_Year&amp;"!E16")="Committed","File required forms; coordinate with admin",IF(INDIRECT("Y"&amp;Active_Year&amp;"!E16")="Approved","Awaiting client approval to commit",IF(INDIRECT("Y"&amp;Active_Year&amp;"!E16")="Implemented","Already in place; review annually","Discuss with client; pending decision")))</f>
        <v/>
      </c>
      <c r="F96" s="111">
        <f>INDIRECT("Y"&amp;Active_Year&amp;"!E16")</f>
        <v/>
      </c>
    </row>
    <row r="97">
      <c r="B97" s="109" t="inlineStr">
        <is>
          <t>#12</t>
        </is>
      </c>
      <c r="C97" s="111">
        <f>INDIRECT("Y"&amp;Active_Year&amp;"!B17")</f>
        <v/>
      </c>
      <c r="D97" s="111">
        <f>INDIRECT("Y"&amp;Active_Year&amp;"!H17")</f>
        <v/>
      </c>
      <c r="E97" s="111">
        <f>IF(INDIRECT("Y"&amp;Active_Year&amp;"!E17")="Committed","File required forms; coordinate with admin",IF(INDIRECT("Y"&amp;Active_Year&amp;"!E17")="Approved","Awaiting client approval to commit",IF(INDIRECT("Y"&amp;Active_Year&amp;"!E17")="Implemented","Already in place; review annually","Discuss with client; pending decision")))</f>
        <v/>
      </c>
      <c r="F97" s="111">
        <f>INDIRECT("Y"&amp;Active_Year&amp;"!E17")</f>
        <v/>
      </c>
    </row>
    <row r="98">
      <c r="B98" s="109" t="inlineStr">
        <is>
          <t>#13</t>
        </is>
      </c>
      <c r="C98" s="111">
        <f>INDIRECT("Y"&amp;Active_Year&amp;"!B18")</f>
        <v/>
      </c>
      <c r="D98" s="111">
        <f>INDIRECT("Y"&amp;Active_Year&amp;"!H18")</f>
        <v/>
      </c>
      <c r="E98" s="111">
        <f>IF(INDIRECT("Y"&amp;Active_Year&amp;"!E18")="Committed","File required forms; coordinate with admin",IF(INDIRECT("Y"&amp;Active_Year&amp;"!E18")="Approved","Awaiting client approval to commit",IF(INDIRECT("Y"&amp;Active_Year&amp;"!E18")="Implemented","Already in place; review annually","Discuss with client; pending decision")))</f>
        <v/>
      </c>
      <c r="F98" s="111">
        <f>INDIRECT("Y"&amp;Active_Year&amp;"!E18")</f>
        <v/>
      </c>
    </row>
    <row r="99">
      <c r="B99" s="109" t="inlineStr">
        <is>
          <t>#14</t>
        </is>
      </c>
      <c r="C99" s="111">
        <f>INDIRECT("Y"&amp;Active_Year&amp;"!B19")</f>
        <v/>
      </c>
      <c r="D99" s="111">
        <f>INDIRECT("Y"&amp;Active_Year&amp;"!H19")</f>
        <v/>
      </c>
      <c r="E99" s="111">
        <f>IF(INDIRECT("Y"&amp;Active_Year&amp;"!E19")="Committed","File required forms; coordinate with admin",IF(INDIRECT("Y"&amp;Active_Year&amp;"!E19")="Approved","Awaiting client approval to commit",IF(INDIRECT("Y"&amp;Active_Year&amp;"!E19")="Implemented","Already in place; review annually","Discuss with client; pending decision")))</f>
        <v/>
      </c>
      <c r="F99" s="111">
        <f>INDIRECT("Y"&amp;Active_Year&amp;"!E19")</f>
        <v/>
      </c>
    </row>
    <row r="100">
      <c r="B100" s="109" t="inlineStr">
        <is>
          <t>#15</t>
        </is>
      </c>
      <c r="C100" s="111">
        <f>INDIRECT("Y"&amp;Active_Year&amp;"!B20")</f>
        <v/>
      </c>
      <c r="D100" s="111">
        <f>INDIRECT("Y"&amp;Active_Year&amp;"!H20")</f>
        <v/>
      </c>
      <c r="E100" s="111">
        <f>IF(INDIRECT("Y"&amp;Active_Year&amp;"!E20")="Committed","File required forms; coordinate with admin",IF(INDIRECT("Y"&amp;Active_Year&amp;"!E20")="Approved","Awaiting client approval to commit",IF(INDIRECT("Y"&amp;Active_Year&amp;"!E20")="Implemented","Already in place; review annually","Discuss with client; pending decision")))</f>
        <v/>
      </c>
      <c r="F100" s="111">
        <f>INDIRECT("Y"&amp;Active_Year&amp;"!E20")</f>
        <v/>
      </c>
    </row>
    <row r="102">
      <c r="B102" s="115" t="inlineStr">
        <is>
          <t>Implementation guidance is auto-generated from strategy status. Refine per-strategy in real engagements.</t>
        </is>
      </c>
    </row>
    <row r="105">
      <c r="B105" s="124" t="inlineStr">
        <is>
          <t>SECTION 7 — OPEN ITEMS &amp; ASSUMPTIONS</t>
        </is>
      </c>
    </row>
    <row r="107">
      <c r="B107" s="113" t="inlineStr">
        <is>
          <t>Open items flagged from the Tax Strategy Questionnaire (when populated):</t>
        </is>
      </c>
    </row>
    <row r="109">
      <c r="B109" s="108" t="inlineStr">
        <is>
          <t>#</t>
        </is>
      </c>
      <c r="C109" s="108" t="inlineStr">
        <is>
          <t>Category</t>
        </is>
      </c>
      <c r="D109" s="108" t="inlineStr">
        <is>
          <t>Question</t>
        </is>
      </c>
      <c r="E109" s="108" t="inlineStr">
        <is>
          <t>Flag</t>
        </is>
      </c>
      <c r="F109" s="108" t="inlineStr">
        <is>
          <t>Notes</t>
        </is>
      </c>
    </row>
    <row r="110">
      <c r="B110" s="111">
        <f>Questionnaire!B5</f>
        <v/>
      </c>
      <c r="C110" s="111">
        <f>Questionnaire!C5</f>
        <v/>
      </c>
      <c r="D110" s="111">
        <f>IFERROR(LEFT(Questionnaire!D5,80),"")</f>
        <v/>
      </c>
      <c r="E110" s="111">
        <f>IFERROR(Questionnaire!F5,"")</f>
        <v/>
      </c>
      <c r="F110" s="111" t="inlineStr"/>
    </row>
    <row r="111">
      <c r="B111" s="111">
        <f>Questionnaire!B6</f>
        <v/>
      </c>
      <c r="C111" s="111">
        <f>Questionnaire!C6</f>
        <v/>
      </c>
      <c r="D111" s="111">
        <f>IFERROR(LEFT(Questionnaire!D6,80),"")</f>
        <v/>
      </c>
      <c r="E111" s="111">
        <f>IFERROR(Questionnaire!F6,"")</f>
        <v/>
      </c>
      <c r="F111" s="111" t="inlineStr"/>
    </row>
    <row r="112">
      <c r="B112" s="111">
        <f>Questionnaire!B7</f>
        <v/>
      </c>
      <c r="C112" s="111">
        <f>Questionnaire!C7</f>
        <v/>
      </c>
      <c r="D112" s="111">
        <f>IFERROR(LEFT(Questionnaire!D7,80),"")</f>
        <v/>
      </c>
      <c r="E112" s="111">
        <f>IFERROR(Questionnaire!F7,"")</f>
        <v/>
      </c>
      <c r="F112" s="111" t="inlineStr"/>
    </row>
    <row r="113">
      <c r="B113" s="111">
        <f>Questionnaire!B8</f>
        <v/>
      </c>
      <c r="C113" s="111">
        <f>Questionnaire!C8</f>
        <v/>
      </c>
      <c r="D113" s="111">
        <f>IFERROR(LEFT(Questionnaire!D8,80),"")</f>
        <v/>
      </c>
      <c r="E113" s="111">
        <f>IFERROR(Questionnaire!F8,"")</f>
        <v/>
      </c>
      <c r="F113" s="111" t="inlineStr"/>
    </row>
    <row r="114">
      <c r="B114" s="111">
        <f>Questionnaire!B9</f>
        <v/>
      </c>
      <c r="C114" s="111">
        <f>Questionnaire!C9</f>
        <v/>
      </c>
      <c r="D114" s="111">
        <f>IFERROR(LEFT(Questionnaire!D9,80),"")</f>
        <v/>
      </c>
      <c r="E114" s="111">
        <f>IFERROR(Questionnaire!F9,"")</f>
        <v/>
      </c>
      <c r="F114" s="111" t="inlineStr"/>
    </row>
    <row r="115">
      <c r="B115" s="111">
        <f>Questionnaire!B10</f>
        <v/>
      </c>
      <c r="C115" s="111">
        <f>Questionnaire!C10</f>
        <v/>
      </c>
      <c r="D115" s="111">
        <f>IFERROR(LEFT(Questionnaire!D10,80),"")</f>
        <v/>
      </c>
      <c r="E115" s="111">
        <f>IFERROR(Questionnaire!F10,"")</f>
        <v/>
      </c>
      <c r="F115" s="111" t="inlineStr"/>
    </row>
    <row r="116">
      <c r="B116" s="111">
        <f>Questionnaire!B11</f>
        <v/>
      </c>
      <c r="C116" s="111">
        <f>Questionnaire!C11</f>
        <v/>
      </c>
      <c r="D116" s="111">
        <f>IFERROR(LEFT(Questionnaire!D11,80),"")</f>
        <v/>
      </c>
      <c r="E116" s="111">
        <f>IFERROR(Questionnaire!F11,"")</f>
        <v/>
      </c>
      <c r="F116" s="111" t="inlineStr"/>
    </row>
    <row r="117">
      <c r="B117" s="111">
        <f>Questionnaire!B12</f>
        <v/>
      </c>
      <c r="C117" s="111">
        <f>Questionnaire!C12</f>
        <v/>
      </c>
      <c r="D117" s="111">
        <f>IFERROR(LEFT(Questionnaire!D12,80),"")</f>
        <v/>
      </c>
      <c r="E117" s="111">
        <f>IFERROR(Questionnaire!F12,"")</f>
        <v/>
      </c>
      <c r="F117" s="111" t="inlineStr"/>
    </row>
    <row r="118">
      <c r="B118" s="111">
        <f>Questionnaire!B13</f>
        <v/>
      </c>
      <c r="C118" s="111">
        <f>Questionnaire!C13</f>
        <v/>
      </c>
      <c r="D118" s="111">
        <f>IFERROR(LEFT(Questionnaire!D13,80),"")</f>
        <v/>
      </c>
      <c r="E118" s="111">
        <f>IFERROR(Questionnaire!F13,"")</f>
        <v/>
      </c>
      <c r="F118" s="111" t="inlineStr"/>
    </row>
    <row r="119">
      <c r="B119" s="111">
        <f>Questionnaire!B14</f>
        <v/>
      </c>
      <c r="C119" s="111">
        <f>Questionnaire!C14</f>
        <v/>
      </c>
      <c r="D119" s="111">
        <f>IFERROR(LEFT(Questionnaire!D14,80),"")</f>
        <v/>
      </c>
      <c r="E119" s="111">
        <f>IFERROR(Questionnaire!F14,"")</f>
        <v/>
      </c>
      <c r="F119" s="111" t="inlineStr"/>
    </row>
    <row r="120">
      <c r="B120" s="111">
        <f>Questionnaire!B15</f>
        <v/>
      </c>
      <c r="C120" s="111">
        <f>Questionnaire!C15</f>
        <v/>
      </c>
      <c r="D120" s="111">
        <f>IFERROR(LEFT(Questionnaire!D15,80),"")</f>
        <v/>
      </c>
      <c r="E120" s="111">
        <f>IFERROR(Questionnaire!F15,"")</f>
        <v/>
      </c>
      <c r="F120" s="111" t="inlineStr"/>
    </row>
    <row r="121">
      <c r="B121" s="111">
        <f>Questionnaire!B16</f>
        <v/>
      </c>
      <c r="C121" s="111">
        <f>Questionnaire!C16</f>
        <v/>
      </c>
      <c r="D121" s="111">
        <f>IFERROR(LEFT(Questionnaire!D16,80),"")</f>
        <v/>
      </c>
      <c r="E121" s="111">
        <f>IFERROR(Questionnaire!F16,"")</f>
        <v/>
      </c>
      <c r="F121" s="111" t="inlineStr"/>
    </row>
    <row r="122">
      <c r="B122" s="111">
        <f>Questionnaire!B17</f>
        <v/>
      </c>
      <c r="C122" s="111">
        <f>Questionnaire!C17</f>
        <v/>
      </c>
      <c r="D122" s="111">
        <f>IFERROR(LEFT(Questionnaire!D17,80),"")</f>
        <v/>
      </c>
      <c r="E122" s="111">
        <f>IFERROR(Questionnaire!F17,"")</f>
        <v/>
      </c>
      <c r="F122" s="111" t="inlineStr"/>
    </row>
    <row r="123">
      <c r="B123" s="111">
        <f>Questionnaire!B18</f>
        <v/>
      </c>
      <c r="C123" s="111">
        <f>Questionnaire!C18</f>
        <v/>
      </c>
      <c r="D123" s="111">
        <f>IFERROR(LEFT(Questionnaire!D18,80),"")</f>
        <v/>
      </c>
      <c r="E123" s="111">
        <f>IFERROR(Questionnaire!F18,"")</f>
        <v/>
      </c>
      <c r="F123" s="111" t="inlineStr"/>
    </row>
    <row r="124">
      <c r="B124" s="111">
        <f>Questionnaire!B19</f>
        <v/>
      </c>
      <c r="C124" s="111">
        <f>Questionnaire!C19</f>
        <v/>
      </c>
      <c r="D124" s="111">
        <f>IFERROR(LEFT(Questionnaire!D19,80),"")</f>
        <v/>
      </c>
      <c r="E124" s="111">
        <f>IFERROR(Questionnaire!F19,"")</f>
        <v/>
      </c>
      <c r="F124" s="111" t="inlineStr"/>
    </row>
    <row r="126">
      <c r="B126" s="115" t="inlineStr">
        <is>
          <t>Items flagged "NO" or "#VALUE!" need preparer review before plan can be finalized.</t>
        </is>
      </c>
    </row>
    <row r="129">
      <c r="B129" s="113" t="inlineStr">
        <is>
          <t>Assumptions applied to this plan:</t>
        </is>
      </c>
    </row>
    <row r="131">
      <c r="B131" s="115" t="inlineStr">
        <is>
          <t>• Federal brackets per IRS published values (Tax_Ref sheet)</t>
        </is>
      </c>
    </row>
    <row r="132">
      <c r="B132" s="115" t="inlineStr">
        <is>
          <t>• Filing status pulled from Control_Panel</t>
        </is>
      </c>
    </row>
    <row r="133">
      <c r="B133" s="115" t="inlineStr">
        <is>
          <t>• Strategies in "Committed" or "Implemented" status flow into the calc; "Proposed" / "Approved" excluded</t>
        </is>
      </c>
    </row>
    <row r="134">
      <c r="B134" s="115" t="inlineStr">
        <is>
          <t>• Marginal savings shown at 32% rate proxy — replace with LAMBDA-based per-strategy recalc for precision</t>
        </is>
      </c>
    </row>
    <row r="135">
      <c r="B135" s="115" t="inlineStr">
        <is>
          <t>• State income tax NOT modeled in current version (Phase 5 deliverable)</t>
        </is>
      </c>
    </row>
    <row r="136">
      <c r="B136" s="115" t="inlineStr">
        <is>
          <t>• Plan Synergy line is currently $0 (placeholder); Canon v1.4 synergy modeling TBD</t>
        </is>
      </c>
    </row>
  </sheetData>
  <mergeCells count="18">
    <mergeCell ref="B105:F105"/>
    <mergeCell ref="B83:F83"/>
    <mergeCell ref="B126:F126"/>
    <mergeCell ref="B7:F7"/>
    <mergeCell ref="B129:F129"/>
    <mergeCell ref="B47:F47"/>
    <mergeCell ref="B133:F133"/>
    <mergeCell ref="B72:F72"/>
    <mergeCell ref="B134:F134"/>
    <mergeCell ref="B80:F80"/>
    <mergeCell ref="B136:F136"/>
    <mergeCell ref="B107:F107"/>
    <mergeCell ref="B132:F132"/>
    <mergeCell ref="B131:F131"/>
    <mergeCell ref="B17:F17"/>
    <mergeCell ref="B102:F102"/>
    <mergeCell ref="B135:F13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B2:G22"/>
  <sheetViews>
    <sheetView showGridLines="0" workbookViewId="0">
      <selection activeCell="C5" sqref="C5"/>
    </sheetView>
  </sheetViews>
  <sheetFormatPr baseColWidth="8" defaultRowHeight="14.5"/>
  <cols>
    <col width="3.6328125" customWidth="1" style="99" min="1" max="1"/>
    <col width="13.6328125" customWidth="1" style="99" min="2" max="2"/>
    <col width="41.81640625" customWidth="1" style="99" min="3" max="3"/>
    <col width="23.6328125" customWidth="1" style="99" min="4" max="5"/>
    <col width="16.36328125" customWidth="1" style="99" min="6" max="6"/>
    <col width="18.1796875" customWidth="1" style="99" min="7" max="7"/>
  </cols>
  <sheetData>
    <row r="2" ht="18.5" customHeight="1" s="99">
      <c r="B2" s="15" t="inlineStr">
        <is>
          <t>PY RECON — Baseline vs Filed Return</t>
        </is>
      </c>
    </row>
    <row r="3">
      <c r="B3" s="16" t="inlineStr">
        <is>
          <t>Compares computed Baseline (tblMaster_Inputs) vs AsFiled (tblAsFiled) for Active_Year + Active_Client. Verify the engine before trusting roll-forward.</t>
        </is>
      </c>
    </row>
    <row r="5" ht="15.5" customHeight="1" s="99">
      <c r="B5" s="17" t="inlineStr">
        <is>
          <t>Recon Year:</t>
        </is>
      </c>
      <c r="C5" s="46" t="n">
        <v>2025</v>
      </c>
      <c r="D5" s="17" t="inlineStr">
        <is>
          <t>Client:</t>
        </is>
      </c>
      <c r="E5" s="46" t="inlineStr">
        <is>
          <t>SAMPLE</t>
        </is>
      </c>
    </row>
    <row r="7">
      <c r="B7" s="36" t="inlineStr">
        <is>
          <t>1040 Line</t>
        </is>
      </c>
      <c r="C7" s="36" t="inlineStr">
        <is>
          <t>Description</t>
        </is>
      </c>
      <c r="D7" s="35" t="inlineStr">
        <is>
          <t>Computed (Baseline)</t>
        </is>
      </c>
      <c r="E7" s="35" t="inlineStr">
        <is>
          <t>Filed (AsFiled)</t>
        </is>
      </c>
      <c r="F7" s="35" t="inlineStr">
        <is>
          <t>Variance</t>
        </is>
      </c>
      <c r="G7" s="35" t="inlineStr">
        <is>
          <t>Status</t>
        </is>
      </c>
    </row>
    <row r="8">
      <c r="B8" s="21" t="inlineStr">
        <is>
          <t>1z</t>
        </is>
      </c>
      <c r="C8" t="inlineStr">
        <is>
          <t>Wages, salaries, tips</t>
        </is>
      </c>
      <c r="D8" s="100">
        <f>SUMIFS(tblMaster_Inputs[Baseline_Amount],tblMaster_Inputs[Year],$C$5,tblMaster_Inputs[ClientID],$E$5,tblMaster_Inputs[Primary_Line],"1z")</f>
        <v/>
      </c>
      <c r="E8" s="100">
        <f>SUMIFS(tblAsFiled[Filed_Amount],tblAsFiled[Year],$C$5,tblAsFiled[ClientID],$E$5,tblAsFiled[Primary_Line],"1z")</f>
        <v/>
      </c>
      <c r="F8" s="100">
        <f>D8-E8</f>
        <v/>
      </c>
      <c r="G8">
        <f>IF(ABS(F8)&lt;1,"✓ OK","⚠ CHECK")</f>
        <v/>
      </c>
    </row>
    <row r="9">
      <c r="B9" s="21" t="inlineStr">
        <is>
          <t>2b</t>
        </is>
      </c>
      <c r="C9" t="inlineStr">
        <is>
          <t>Taxable interest</t>
        </is>
      </c>
      <c r="D9" s="100">
        <f>SUMIFS(tblMaster_Inputs[Baseline_Amount],tblMaster_Inputs[Year],$C$5,tblMaster_Inputs[ClientID],$E$5,tblMaster_Inputs[Primary_Line],"2b")</f>
        <v/>
      </c>
      <c r="E9" s="100">
        <f>SUMIFS(tblAsFiled[Filed_Amount],tblAsFiled[Year],$C$5,tblAsFiled[ClientID],$E$5,tblAsFiled[Primary_Line],"2b")</f>
        <v/>
      </c>
      <c r="F9" s="100">
        <f>D9-E9</f>
        <v/>
      </c>
      <c r="G9">
        <f>IF(ABS(F9)&lt;1,"✓ OK","⚠ CHECK")</f>
        <v/>
      </c>
    </row>
    <row r="10">
      <c r="B10" s="21" t="inlineStr">
        <is>
          <t>3b</t>
        </is>
      </c>
      <c r="C10" t="inlineStr">
        <is>
          <t>Ordinary dividends</t>
        </is>
      </c>
      <c r="D10" s="100">
        <f>SUMIFS(tblMaster_Inputs[Baseline_Amount],tblMaster_Inputs[Year],$C$5,tblMaster_Inputs[ClientID],$E$5,tblMaster_Inputs[Primary_Line],"3b")</f>
        <v/>
      </c>
      <c r="E10" s="100">
        <f>SUMIFS(tblAsFiled[Filed_Amount],tblAsFiled[Year],$C$5,tblAsFiled[ClientID],$E$5,tblAsFiled[Primary_Line],"3b")</f>
        <v/>
      </c>
      <c r="F10" s="100">
        <f>D10-E10</f>
        <v/>
      </c>
      <c r="G10">
        <f>IF(ABS(F10)&lt;1,"✓ OK","⚠ CHECK")</f>
        <v/>
      </c>
    </row>
    <row r="11">
      <c r="B11" s="21" t="n">
        <v>7</v>
      </c>
      <c r="C11" t="inlineStr">
        <is>
          <t>Capital gain or (loss)</t>
        </is>
      </c>
      <c r="D11" s="100">
        <f>SUMIFS(tblMaster_Inputs[Baseline_Amount],tblMaster_Inputs[Year],$C$5,tblMaster_Inputs[ClientID],$E$5,tblMaster_Inputs[Primary_Line],"7")</f>
        <v/>
      </c>
      <c r="E11" s="100">
        <f>SUMIFS(tblAsFiled[Filed_Amount],tblAsFiled[Year],$C$5,tblAsFiled[ClientID],$E$5,tblAsFiled[Primary_Line],"7")</f>
        <v/>
      </c>
      <c r="F11" s="100">
        <f>D11-E11</f>
        <v/>
      </c>
      <c r="G11">
        <f>IF(ABS(F11)&lt;1,"✓ OK","⚠ CHECK")</f>
        <v/>
      </c>
    </row>
    <row r="12">
      <c r="B12" s="21" t="n">
        <v>8</v>
      </c>
      <c r="C12" t="inlineStr">
        <is>
          <t>Other income (Sch 1 — business)</t>
        </is>
      </c>
      <c r="D12" s="100">
        <f>SUMIFS(tblMaster_Inputs[Baseline_Amount],tblMaster_Inputs[Year],$C$5,tblMaster_Inputs[ClientID],$E$5,tblMaster_Inputs[Primary_Line],"8")</f>
        <v/>
      </c>
      <c r="E12" s="100">
        <f>SUMIFS(tblAsFiled[Filed_Amount],tblAsFiled[Year],$C$5,tblAsFiled[ClientID],$E$5,tblAsFiled[Primary_Line],"8")</f>
        <v/>
      </c>
      <c r="F12" s="100">
        <f>D12-E12</f>
        <v/>
      </c>
      <c r="G12">
        <f>IF(ABS(F12)&lt;1,"✓ OK","⚠ CHECK")</f>
        <v/>
      </c>
    </row>
    <row r="13">
      <c r="B13" s="39" t="n">
        <v>9</v>
      </c>
      <c r="C13" s="37" t="inlineStr">
        <is>
          <t>TOTAL INCOME</t>
        </is>
      </c>
      <c r="D13" s="38">
        <f>SUM(D8:D12)</f>
        <v/>
      </c>
      <c r="E13" s="38">
        <f>SUM(E8:E12)</f>
        <v/>
      </c>
      <c r="F13" s="38">
        <f>D13-E13</f>
        <v/>
      </c>
      <c r="G13" s="37">
        <f>IF(ABS(F13)&lt;1,"✓ OK","⚠ CHECK")</f>
        <v/>
      </c>
    </row>
    <row r="14">
      <c r="B14" s="21" t="n">
        <v>10</v>
      </c>
      <c r="C14" t="inlineStr">
        <is>
          <t>Adjustments to income</t>
        </is>
      </c>
      <c r="D14" s="100">
        <f>SUMIFS(tblMaster_Inputs[Baseline_Amount],tblMaster_Inputs[Year],$C$5,tblMaster_Inputs[ClientID],$E$5,tblMaster_Inputs[Primary_Line],"10")</f>
        <v/>
      </c>
      <c r="E14" s="100">
        <f>SUMIFS(tblAsFiled[Filed_Amount],tblAsFiled[Year],$C$5,tblAsFiled[ClientID],$E$5,tblAsFiled[Primary_Line],"10")</f>
        <v/>
      </c>
      <c r="F14" s="100">
        <f>D14-E14</f>
        <v/>
      </c>
      <c r="G14">
        <f>IF(ABS(F14)&lt;1,"✓ OK","⚠ CHECK")</f>
        <v/>
      </c>
    </row>
    <row r="15">
      <c r="B15" s="39" t="n">
        <v>11</v>
      </c>
      <c r="C15" s="37" t="inlineStr">
        <is>
          <t>AGI</t>
        </is>
      </c>
      <c r="D15" s="38">
        <f>D13+D14</f>
        <v/>
      </c>
      <c r="E15" s="38">
        <f>E13+E14</f>
        <v/>
      </c>
      <c r="F15" s="38">
        <f>D15-E15</f>
        <v/>
      </c>
      <c r="G15" s="37">
        <f>IF(ABS(F15)&lt;1,"✓ OK","⚠ CHECK")</f>
        <v/>
      </c>
    </row>
    <row r="16">
      <c r="B16" s="21" t="n">
        <v>12</v>
      </c>
      <c r="C16" t="inlineStr">
        <is>
          <t>Standard / Itemized deduction</t>
        </is>
      </c>
      <c r="D16" s="100">
        <f>SUMIFS(tblMaster_Inputs[Baseline_Amount],tblMaster_Inputs[Year],$C$5,tblMaster_Inputs[ClientID],$E$5,tblMaster_Inputs[Primary_Line],"12")</f>
        <v/>
      </c>
      <c r="E16" s="100">
        <f>SUMIFS(tblAsFiled[Filed_Amount],tblAsFiled[Year],$C$5,tblAsFiled[ClientID],$E$5,tblAsFiled[Primary_Line],"12")</f>
        <v/>
      </c>
      <c r="F16" s="100">
        <f>D16-E16</f>
        <v/>
      </c>
      <c r="G16">
        <f>IF(ABS(F16)&lt;1,"✓ OK","⚠ CHECK")</f>
        <v/>
      </c>
    </row>
    <row r="17">
      <c r="B17" s="40" t="n">
        <v>13</v>
      </c>
      <c r="C17" s="13" t="inlineStr">
        <is>
          <t>QBI deduction</t>
        </is>
      </c>
      <c r="D17" s="100">
        <f>SUMIFS(tblMaster_Inputs[Baseline_Amount],tblMaster_Inputs[Year],$C$5,tblMaster_Inputs[ClientID],$E$5,tblMaster_Inputs[Primary_Line],"13")</f>
        <v/>
      </c>
      <c r="E17" s="100">
        <f>SUMIFS(tblAsFiled[Filed_Amount],tblAsFiled[Year],$C$5,tblAsFiled[ClientID],$E$5,tblAsFiled[Primary_Line],"13")</f>
        <v/>
      </c>
      <c r="F17" s="100">
        <f>D17-E17</f>
        <v/>
      </c>
      <c r="G17" s="13">
        <f>IF(ABS(F17)&lt;1,"✓ OK","⚠ CHECK")</f>
        <v/>
      </c>
    </row>
    <row r="18">
      <c r="B18" s="39" t="n">
        <v>15</v>
      </c>
      <c r="C18" s="37" t="inlineStr">
        <is>
          <t>TAXABLE INCOME</t>
        </is>
      </c>
      <c r="D18" s="38">
        <f>D15+D16+D17</f>
        <v/>
      </c>
      <c r="E18" s="38">
        <f>E15+E16+E17</f>
        <v/>
      </c>
      <c r="F18" s="38">
        <f>D18-E18</f>
        <v/>
      </c>
      <c r="G18" s="37">
        <f>IF(ABS(F18)&lt;1,"✓ OK","⚠ CHECK")</f>
        <v/>
      </c>
    </row>
    <row r="20" ht="15" customHeight="1" s="99" thickBot="1">
      <c r="B20" s="18" t="inlineStr">
        <is>
          <t>RECON SUMMARY</t>
        </is>
      </c>
    </row>
    <row r="21">
      <c r="B21" t="inlineStr">
        <is>
          <t>Lines matched:</t>
        </is>
      </c>
      <c r="C21">
        <f>COUNTIF(G8:G18,"✓ OK")</f>
        <v/>
      </c>
      <c r="D21" t="inlineStr">
        <is>
          <t>of</t>
        </is>
      </c>
      <c r="E21">
        <f>COUNTA(G8:G18)</f>
        <v/>
      </c>
    </row>
    <row r="22">
      <c r="B22" t="inlineStr">
        <is>
          <t>Overall status:</t>
        </is>
      </c>
      <c r="C22" s="13">
        <f>IF(C21=E21,"✓ ALL LINES MATCH","⚠ VARIANCES FOUND — REVIEW BEFORE PLANNING")</f>
        <v/>
      </c>
    </row>
  </sheetData>
  <dataValidations count="2">
    <dataValidation sqref="C5" showDropDown="0" showInputMessage="1" showErrorMessage="1" allowBlank="1" promptTitle="Recon Year" prompt="Select the year to reconcile" type="list">
      <formula1>"2023,2024,2025,2026,2027,2028"</formula1>
    </dataValidation>
    <dataValidation sqref="E5" showDropDown="0" showInputMessage="1" showErrorMessage="1" allowBlank="1" promptTitle="Client" prompt="Select the client to reconcile" type="list">
      <formula1>"CEDILLO,SAMPLE"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23.6328125" customWidth="1" style="99" min="3" max="3"/>
    <col width="15.453125" customWidth="1" style="99" min="4" max="9"/>
    <col width="17.26953125" customWidth="1" style="99" min="10" max="10"/>
  </cols>
  <sheetData>
    <row r="2" ht="18.5" customHeight="1" s="99">
      <c r="B2" s="15" t="inlineStr">
        <is>
          <t>PIVOT GETPIVOTDATA — Multi-Year Named Range Bridge</t>
        </is>
      </c>
    </row>
    <row r="3">
      <c r="B3" s="16" t="inlineStr">
        <is>
          <t>Full year grid + Active_Year column (→ VP_ named ranges). GETPIVOTDATA pulls directly from visual pivots.</t>
        </is>
      </c>
    </row>
    <row r="5" ht="15" customHeight="1" s="99" thickBot="1">
      <c r="B5" s="18" t="inlineStr">
        <is>
          <t>INCOME BY 1040 LINE</t>
        </is>
      </c>
      <c r="C5" s="18" t="n"/>
      <c r="D5" s="34" t="n"/>
      <c r="E5" s="34" t="n"/>
      <c r="F5" s="34" t="n"/>
      <c r="G5" s="34" t="n"/>
      <c r="H5" s="34" t="n"/>
      <c r="I5" s="34" t="n"/>
      <c r="J5" s="18" t="n"/>
    </row>
    <row r="6">
      <c r="B6" s="25" t="inlineStr">
        <is>
          <t>Named Range</t>
        </is>
      </c>
      <c r="C6" s="25" t="inlineStr">
        <is>
          <t>Description</t>
        </is>
      </c>
      <c r="D6" s="25" t="n">
        <v>2023</v>
      </c>
      <c r="E6" s="25" t="n">
        <v>2024</v>
      </c>
      <c r="F6" s="25" t="n">
        <v>2025</v>
      </c>
      <c r="G6" s="25" t="n">
        <v>2026</v>
      </c>
      <c r="H6" s="25" t="n">
        <v>2027</v>
      </c>
      <c r="I6" s="25" t="n">
        <v>2028</v>
      </c>
      <c r="J6" s="41" t="inlineStr">
        <is>
          <t>Active Year</t>
        </is>
      </c>
    </row>
    <row r="7">
      <c r="B7" s="26" t="inlineStr">
        <is>
          <t>VP_Line_1z_Wages</t>
        </is>
      </c>
      <c r="C7" t="inlineStr">
        <is>
          <t>Wages (1z)</t>
        </is>
      </c>
      <c r="D7" s="100">
        <f>IFERROR(GETPIVOTDATA("Baseline_Amount",Visual_Pivot_Income!$B$5,"Primary_Line","1z","Year",2023),0)</f>
        <v/>
      </c>
      <c r="E7" s="100">
        <f>IFERROR(GETPIVOTDATA("Baseline_Amount",Visual_Pivot_Income!$B$5,"Primary_Line","1z","Year",2024),0)</f>
        <v/>
      </c>
      <c r="F7" s="100">
        <f>IFERROR(GETPIVOTDATA("Baseline_Amount",Visual_Pivot_Income!$B$5,"Primary_Line","1z","Year",2025),0)</f>
        <v/>
      </c>
      <c r="G7" s="100">
        <f>IFERROR(GETPIVOTDATA("Baseline_Amount",Visual_Pivot_Income!$B$5,"Primary_Line","1z","Year",2026),0)</f>
        <v/>
      </c>
      <c r="H7" s="100">
        <f>IFERROR(GETPIVOTDATA("Baseline_Amount",Visual_Pivot_Income!$B$5,"Primary_Line","1z","Year",2027),0)</f>
        <v/>
      </c>
      <c r="I7" s="100">
        <f>IFERROR(GETPIVOTDATA("Baseline_Amount",Visual_Pivot_Income!$B$5,"Primary_Line","1z","Year",2028),0)</f>
        <v/>
      </c>
      <c r="J7" s="45">
        <f>IFERROR(GETPIVOTDATA("Baseline_Amount",Visual_Pivot_Income!$B$5,"Primary_Line","1z","Year",Active_Year),0)</f>
        <v/>
      </c>
    </row>
    <row r="8">
      <c r="B8" s="26" t="inlineStr">
        <is>
          <t>VP_Line_2b_TaxInt</t>
        </is>
      </c>
      <c r="C8" t="inlineStr">
        <is>
          <t>Tax Interest (2b)</t>
        </is>
      </c>
      <c r="D8" s="100">
        <f>IFERROR(GETPIVOTDATA("Baseline_Amount",Visual_Pivot_Income!$B$5,"Primary_Line","2b","Year",2023),0)</f>
        <v/>
      </c>
      <c r="E8" s="100">
        <f>IFERROR(GETPIVOTDATA("Baseline_Amount",Visual_Pivot_Income!$B$5,"Primary_Line","2b","Year",2024),0)</f>
        <v/>
      </c>
      <c r="F8" s="100">
        <f>IFERROR(GETPIVOTDATA("Baseline_Amount",Visual_Pivot_Income!$B$5,"Primary_Line","2b","Year",2025),0)</f>
        <v/>
      </c>
      <c r="G8" s="100">
        <f>IFERROR(GETPIVOTDATA("Baseline_Amount",Visual_Pivot_Income!$B$5,"Primary_Line","2b","Year",2026),0)</f>
        <v/>
      </c>
      <c r="H8" s="100">
        <f>IFERROR(GETPIVOTDATA("Baseline_Amount",Visual_Pivot_Income!$B$5,"Primary_Line","2b","Year",2027),0)</f>
        <v/>
      </c>
      <c r="I8" s="100">
        <f>IFERROR(GETPIVOTDATA("Baseline_Amount",Visual_Pivot_Income!$B$5,"Primary_Line","2b","Year",2028),0)</f>
        <v/>
      </c>
      <c r="J8" s="45">
        <f>IFERROR(GETPIVOTDATA("Baseline_Amount",Visual_Pivot_Income!$B$5,"Primary_Line","2b","Year",Active_Year),0)</f>
        <v/>
      </c>
    </row>
    <row r="9">
      <c r="B9" s="26" t="inlineStr">
        <is>
          <t>VP_Line_3b_OrdDiv</t>
        </is>
      </c>
      <c r="C9" t="inlineStr">
        <is>
          <t>Ord Dividends (3b)</t>
        </is>
      </c>
      <c r="D9" s="100">
        <f>IFERROR(GETPIVOTDATA("Baseline_Amount",Visual_Pivot_Income!$B$5,"Primary_Line","3b","Year",2023),0)</f>
        <v/>
      </c>
      <c r="E9" s="100">
        <f>IFERROR(GETPIVOTDATA("Baseline_Amount",Visual_Pivot_Income!$B$5,"Primary_Line","3b","Year",2024),0)</f>
        <v/>
      </c>
      <c r="F9" s="100">
        <f>IFERROR(GETPIVOTDATA("Baseline_Amount",Visual_Pivot_Income!$B$5,"Primary_Line","3b","Year",2025),0)</f>
        <v/>
      </c>
      <c r="G9" s="100">
        <f>IFERROR(GETPIVOTDATA("Baseline_Amount",Visual_Pivot_Income!$B$5,"Primary_Line","3b","Year",2026),0)</f>
        <v/>
      </c>
      <c r="H9" s="100">
        <f>IFERROR(GETPIVOTDATA("Baseline_Amount",Visual_Pivot_Income!$B$5,"Primary_Line","3b","Year",2027),0)</f>
        <v/>
      </c>
      <c r="I9" s="100">
        <f>IFERROR(GETPIVOTDATA("Baseline_Amount",Visual_Pivot_Income!$B$5,"Primary_Line","3b","Year",2028),0)</f>
        <v/>
      </c>
      <c r="J9" s="45">
        <f>IFERROR(GETPIVOTDATA("Baseline_Amount",Visual_Pivot_Income!$B$5,"Primary_Line","3b","Year",Active_Year),0)</f>
        <v/>
      </c>
    </row>
    <row r="10">
      <c r="B10" s="26" t="inlineStr">
        <is>
          <t>VP_Line_7_CapGain</t>
        </is>
      </c>
      <c r="C10" t="inlineStr">
        <is>
          <t>Cap Gains (7)</t>
        </is>
      </c>
      <c r="D10" s="100">
        <f>IFERROR(GETPIVOTDATA("Baseline_Amount",Visual_Pivot_Income!$B$5,"Primary_Line","7","Year",2023),0)</f>
        <v/>
      </c>
      <c r="E10" s="100">
        <f>IFERROR(GETPIVOTDATA("Baseline_Amount",Visual_Pivot_Income!$B$5,"Primary_Line","7","Year",2024),0)</f>
        <v/>
      </c>
      <c r="F10" s="100">
        <f>IFERROR(GETPIVOTDATA("Baseline_Amount",Visual_Pivot_Income!$B$5,"Primary_Line","7","Year",2025),0)</f>
        <v/>
      </c>
      <c r="G10" s="100">
        <f>IFERROR(GETPIVOTDATA("Baseline_Amount",Visual_Pivot_Income!$B$5,"Primary_Line","7","Year",2026),0)</f>
        <v/>
      </c>
      <c r="H10" s="100">
        <f>IFERROR(GETPIVOTDATA("Baseline_Amount",Visual_Pivot_Income!$B$5,"Primary_Line","7","Year",2027),0)</f>
        <v/>
      </c>
      <c r="I10" s="100">
        <f>IFERROR(GETPIVOTDATA("Baseline_Amount",Visual_Pivot_Income!$B$5,"Primary_Line","7","Year",2028),0)</f>
        <v/>
      </c>
      <c r="J10" s="45">
        <f>IFERROR(GETPIVOTDATA("Baseline_Amount",Visual_Pivot_Income!$B$5,"Primary_Line","7","Year",Active_Year),0)</f>
        <v/>
      </c>
    </row>
    <row r="11">
      <c r="B11" s="26" t="inlineStr">
        <is>
          <t>VP_Line_8_OtherInc</t>
        </is>
      </c>
      <c r="C11" t="inlineStr">
        <is>
          <t>Business/Other (8)</t>
        </is>
      </c>
      <c r="D11" s="100">
        <f>IFERROR(GETPIVOTDATA("Baseline_Amount",Visual_Pivot_Income!$B$5,"Primary_Line","8","Year",2023),0)</f>
        <v/>
      </c>
      <c r="E11" s="100">
        <f>IFERROR(GETPIVOTDATA("Baseline_Amount",Visual_Pivot_Income!$B$5,"Primary_Line","8","Year",2024),0)</f>
        <v/>
      </c>
      <c r="F11" s="100">
        <f>IFERROR(GETPIVOTDATA("Baseline_Amount",Visual_Pivot_Income!$B$5,"Primary_Line","8","Year",2025),0)</f>
        <v/>
      </c>
      <c r="G11" s="100">
        <f>IFERROR(GETPIVOTDATA("Baseline_Amount",Visual_Pivot_Income!$B$5,"Primary_Line","8","Year",2026),0)</f>
        <v/>
      </c>
      <c r="H11" s="100">
        <f>IFERROR(GETPIVOTDATA("Baseline_Amount",Visual_Pivot_Income!$B$5,"Primary_Line","8","Year",2027),0)</f>
        <v/>
      </c>
      <c r="I11" s="100">
        <f>IFERROR(GETPIVOTDATA("Baseline_Amount",Visual_Pivot_Income!$B$5,"Primary_Line","8","Year",2028),0)</f>
        <v/>
      </c>
      <c r="J11" s="45">
        <f>IFERROR(GETPIVOTDATA("Baseline_Amount",Visual_Pivot_Income!$B$5,"Primary_Line","8","Year",Active_Year),0)</f>
        <v/>
      </c>
    </row>
    <row r="12">
      <c r="B12" s="26" t="inlineStr">
        <is>
          <t>VP_Line_12_Deduction</t>
        </is>
      </c>
      <c r="C12" t="inlineStr">
        <is>
          <t>Std/Item Ded (12)</t>
        </is>
      </c>
      <c r="D12" s="100">
        <f>IFERROR(GETPIVOTDATA("Baseline_Amount",Visual_Pivot_Income!$B$5,"Primary_Line","12","Year",2023),0)</f>
        <v/>
      </c>
      <c r="E12" s="100">
        <f>IFERROR(GETPIVOTDATA("Baseline_Amount",Visual_Pivot_Income!$B$5,"Primary_Line","12","Year",2024),0)</f>
        <v/>
      </c>
      <c r="F12" s="100">
        <f>IFERROR(GETPIVOTDATA("Baseline_Amount",Visual_Pivot_Income!$B$5,"Primary_Line","12","Year",2025),0)</f>
        <v/>
      </c>
      <c r="G12" s="100">
        <f>IFERROR(GETPIVOTDATA("Baseline_Amount",Visual_Pivot_Income!$B$5,"Primary_Line","12","Year",2026),0)</f>
        <v/>
      </c>
      <c r="H12" s="100">
        <f>IFERROR(GETPIVOTDATA("Baseline_Amount",Visual_Pivot_Income!$B$5,"Primary_Line","12","Year",2027),0)</f>
        <v/>
      </c>
      <c r="I12" s="100">
        <f>IFERROR(GETPIVOTDATA("Baseline_Amount",Visual_Pivot_Income!$B$5,"Primary_Line","12","Year",2028),0)</f>
        <v/>
      </c>
      <c r="J12" s="45">
        <f>IFERROR(GETPIVOTDATA("Baseline_Amount",Visual_Pivot_Income!$B$5,"Primary_Line","12","Year",Active_Year),0)</f>
        <v/>
      </c>
    </row>
    <row r="13">
      <c r="B13" s="26" t="inlineStr">
        <is>
          <t>VP_TotalIncome</t>
        </is>
      </c>
      <c r="C13" t="inlineStr">
        <is>
          <t>Grand Total</t>
        </is>
      </c>
      <c r="D13" s="100">
        <f>IFERROR(GETPIVOTDATA("Baseline_Amount",Visual_Pivot_Income!$B$5,"Year",2023),0)</f>
        <v/>
      </c>
      <c r="E13" s="100">
        <f>IFERROR(GETPIVOTDATA("Baseline_Amount",Visual_Pivot_Income!$B$5,"Year",2024),0)</f>
        <v/>
      </c>
      <c r="F13" s="100">
        <f>IFERROR(GETPIVOTDATA("Baseline_Amount",Visual_Pivot_Income!$B$5,"Year",2025),0)</f>
        <v/>
      </c>
      <c r="G13" s="100">
        <f>IFERROR(GETPIVOTDATA("Baseline_Amount",Visual_Pivot_Income!$B$5,"Year",2026),0)</f>
        <v/>
      </c>
      <c r="H13" s="100">
        <f>IFERROR(GETPIVOTDATA("Baseline_Amount",Visual_Pivot_Income!$B$5,"Year",2027),0)</f>
        <v/>
      </c>
      <c r="I13" s="100">
        <f>IFERROR(GETPIVOTDATA("Baseline_Amount",Visual_Pivot_Income!$B$5,"Year",2028),0)</f>
        <v/>
      </c>
      <c r="J13" s="45">
        <f>IFERROR(GETPIVOTDATA("Baseline_Amount",Visual_Pivot_Income!$B$5,"Year",Active_Year),0)</f>
        <v/>
      </c>
    </row>
    <row r="14">
      <c r="D14" s="100" t="n"/>
      <c r="E14" s="100" t="n"/>
      <c r="F14" s="100" t="n"/>
      <c r="G14" s="100" t="n"/>
      <c r="H14" s="100" t="n"/>
      <c r="I14" s="100" t="n"/>
      <c r="J14" s="100" t="n"/>
    </row>
    <row r="15" ht="15" customHeight="1" s="99" thickBot="1">
      <c r="B15" s="18" t="inlineStr">
        <is>
          <t>HELPER CARVE-OUTS</t>
        </is>
      </c>
      <c r="C15" s="18" t="n"/>
      <c r="D15" s="42" t="n"/>
      <c r="E15" s="42" t="n"/>
      <c r="F15" s="42" t="n"/>
      <c r="G15" s="42" t="n"/>
      <c r="H15" s="42" t="n"/>
      <c r="I15" s="42" t="n"/>
      <c r="J15" s="42" t="n"/>
    </row>
    <row r="16">
      <c r="B16" s="25" t="inlineStr">
        <is>
          <t>Named Range</t>
        </is>
      </c>
      <c r="C16" s="25" t="inlineStr">
        <is>
          <t>Description</t>
        </is>
      </c>
      <c r="D16" s="43" t="n">
        <v>2023</v>
      </c>
      <c r="E16" s="43" t="n">
        <v>2024</v>
      </c>
      <c r="F16" s="43" t="n">
        <v>2025</v>
      </c>
      <c r="G16" s="43" t="n">
        <v>2026</v>
      </c>
      <c r="H16" s="43" t="n">
        <v>2027</v>
      </c>
      <c r="I16" s="43" t="n">
        <v>2028</v>
      </c>
      <c r="J16" s="44" t="inlineStr">
        <is>
          <t>Active Year</t>
        </is>
      </c>
    </row>
    <row r="17">
      <c r="B17" s="26" t="inlineStr">
        <is>
          <t>VP_OWNER_PAY</t>
        </is>
      </c>
      <c r="C17" t="inlineStr">
        <is>
          <t>Owner Wages</t>
        </is>
      </c>
      <c r="D17" s="100">
        <f>IFERROR(GETPIVOTDATA("Helper_Amount",Visual_Pivot_HelperCarveOuts!$B$5,"Helper_Treatment","OWNER_PAY","Year",2023),0)</f>
        <v/>
      </c>
      <c r="E17" s="100">
        <f>IFERROR(GETPIVOTDATA("Helper_Amount",Visual_Pivot_HelperCarveOuts!$B$5,"Helper_Treatment","OWNER_PAY","Year",2024),0)</f>
        <v/>
      </c>
      <c r="F17" s="100">
        <f>IFERROR(GETPIVOTDATA("Helper_Amount",Visual_Pivot_HelperCarveOuts!$B$5,"Helper_Treatment","OWNER_PAY","Year",2025),0)</f>
        <v/>
      </c>
      <c r="G17" s="100">
        <f>IFERROR(GETPIVOTDATA("Helper_Amount",Visual_Pivot_HelperCarveOuts!$B$5,"Helper_Treatment","OWNER_PAY","Year",2026),0)</f>
        <v/>
      </c>
      <c r="H17" s="100">
        <f>IFERROR(GETPIVOTDATA("Helper_Amount",Visual_Pivot_HelperCarveOuts!$B$5,"Helper_Treatment","OWNER_PAY","Year",2027),0)</f>
        <v/>
      </c>
      <c r="I17" s="100">
        <f>IFERROR(GETPIVOTDATA("Helper_Amount",Visual_Pivot_HelperCarveOuts!$B$5,"Helper_Treatment","OWNER_PAY","Year",2028),0)</f>
        <v/>
      </c>
      <c r="J17" s="45">
        <f>IFERROR(GETPIVOTDATA("Helper_Amount",Visual_Pivot_HelperCarveOuts!$B$5,"Helper_Treatment","OWNER_PAY","Year",Active_Year),0)</f>
        <v/>
      </c>
    </row>
    <row r="18">
      <c r="B18" s="26" t="inlineStr">
        <is>
          <t>VP_QUAL_DIV</t>
        </is>
      </c>
      <c r="C18" t="inlineStr">
        <is>
          <t>Qualified Dividends</t>
        </is>
      </c>
      <c r="D18" s="100">
        <f>IFERROR(GETPIVOTDATA("Helper_Amount",Visual_Pivot_HelperCarveOuts!$B$5,"Helper_Treatment","QUAL_DIV","Year",2023),0)</f>
        <v/>
      </c>
      <c r="E18" s="100">
        <f>IFERROR(GETPIVOTDATA("Helper_Amount",Visual_Pivot_HelperCarveOuts!$B$5,"Helper_Treatment","QUAL_DIV","Year",2024),0)</f>
        <v/>
      </c>
      <c r="F18" s="100">
        <f>IFERROR(GETPIVOTDATA("Helper_Amount",Visual_Pivot_HelperCarveOuts!$B$5,"Helper_Treatment","QUAL_DIV","Year",2025),0)</f>
        <v/>
      </c>
      <c r="G18" s="100">
        <f>IFERROR(GETPIVOTDATA("Helper_Amount",Visual_Pivot_HelperCarveOuts!$B$5,"Helper_Treatment","QUAL_DIV","Year",2026),0)</f>
        <v/>
      </c>
      <c r="H18" s="100">
        <f>IFERROR(GETPIVOTDATA("Helper_Amount",Visual_Pivot_HelperCarveOuts!$B$5,"Helper_Treatment","QUAL_DIV","Year",2027),0)</f>
        <v/>
      </c>
      <c r="I18" s="100">
        <f>IFERROR(GETPIVOTDATA("Helper_Amount",Visual_Pivot_HelperCarveOuts!$B$5,"Helper_Treatment","QUAL_DIV","Year",2028),0)</f>
        <v/>
      </c>
      <c r="J18" s="45">
        <f>IFERROR(GETPIVOTDATA("Helper_Amount",Visual_Pivot_HelperCarveOuts!$B$5,"Helper_Treatment","QUAL_DIV","Year",Active_Year),0)</f>
        <v/>
      </c>
    </row>
    <row r="19">
      <c r="D19" s="100" t="n"/>
      <c r="E19" s="100" t="n"/>
      <c r="F19" s="100" t="n"/>
      <c r="G19" s="100" t="n"/>
      <c r="H19" s="100" t="n"/>
      <c r="I19" s="100" t="n"/>
      <c r="J19" s="100" t="n"/>
    </row>
    <row r="20" ht="15" customHeight="1" s="99" thickBot="1">
      <c r="B20" s="18" t="inlineStr">
        <is>
          <t>BUSINESS INCOME BY TREATMENT</t>
        </is>
      </c>
      <c r="C20" s="18" t="n"/>
      <c r="D20" s="42" t="n"/>
      <c r="E20" s="42" t="n"/>
      <c r="F20" s="42" t="n"/>
      <c r="G20" s="42" t="n"/>
      <c r="H20" s="42" t="n"/>
      <c r="I20" s="42" t="n"/>
      <c r="J20" s="42" t="n"/>
    </row>
    <row r="21">
      <c r="B21" s="25" t="inlineStr">
        <is>
          <t>Named Range</t>
        </is>
      </c>
      <c r="C21" s="25" t="inlineStr">
        <is>
          <t>Description</t>
        </is>
      </c>
      <c r="D21" s="43" t="n">
        <v>2023</v>
      </c>
      <c r="E21" s="43" t="n">
        <v>2024</v>
      </c>
      <c r="F21" s="43" t="n">
        <v>2025</v>
      </c>
      <c r="G21" s="43" t="n">
        <v>2026</v>
      </c>
      <c r="H21" s="43" t="n">
        <v>2027</v>
      </c>
      <c r="I21" s="43" t="n">
        <v>2028</v>
      </c>
      <c r="J21" s="44" t="inlineStr">
        <is>
          <t>Active Year</t>
        </is>
      </c>
    </row>
    <row r="22">
      <c r="B22" s="26" t="inlineStr">
        <is>
          <t>VP_BI_K1_SCorp_Active</t>
        </is>
      </c>
      <c r="C22" t="inlineStr">
        <is>
          <t>S-Corp K-1 Active</t>
        </is>
      </c>
      <c r="D22" s="100">
        <f>IFERROR(GETPIVOTDATA("Baseline_Amount",Visual_Pivot_BusinessIncome!$B$5,"Treatment_Profile","K1_SCorp_Active","Year",2023),0)</f>
        <v/>
      </c>
      <c r="E22" s="100">
        <f>IFERROR(GETPIVOTDATA("Baseline_Amount",Visual_Pivot_BusinessIncome!$B$5,"Treatment_Profile","K1_SCorp_Active","Year",2024),0)</f>
        <v/>
      </c>
      <c r="F22" s="100">
        <f>IFERROR(GETPIVOTDATA("Baseline_Amount",Visual_Pivot_BusinessIncome!$B$5,"Treatment_Profile","K1_SCorp_Active","Year",2025),0)</f>
        <v/>
      </c>
      <c r="G22" s="100">
        <f>IFERROR(GETPIVOTDATA("Baseline_Amount",Visual_Pivot_BusinessIncome!$B$5,"Treatment_Profile","K1_SCorp_Active","Year",2026),0)</f>
        <v/>
      </c>
      <c r="H22" s="100">
        <f>IFERROR(GETPIVOTDATA("Baseline_Amount",Visual_Pivot_BusinessIncome!$B$5,"Treatment_Profile","K1_SCorp_Active","Year",2027),0)</f>
        <v/>
      </c>
      <c r="I22" s="100">
        <f>IFERROR(GETPIVOTDATA("Baseline_Amount",Visual_Pivot_BusinessIncome!$B$5,"Treatment_Profile","K1_SCorp_Active","Year",2028),0)</f>
        <v/>
      </c>
      <c r="J22" s="45">
        <f>IFERROR(GETPIVOTDATA("Baseline_Amount",Visual_Pivot_BusinessIncome!$B$5,"Treatment_Profile","K1_SCorp_Active","Year",Active_Year),0)</f>
        <v/>
      </c>
    </row>
    <row r="23">
      <c r="B23" s="26" t="inlineStr">
        <is>
          <t>VP_BI_K1_PTP_Passive</t>
        </is>
      </c>
      <c r="C23" t="inlineStr">
        <is>
          <t>PTP K-1 Passive</t>
        </is>
      </c>
      <c r="D23" s="100">
        <f>IFERROR(GETPIVOTDATA("Baseline_Amount",Visual_Pivot_BusinessIncome!$B$5,"Treatment_Profile","K1_PTP_Passive","Year",2023),0)</f>
        <v/>
      </c>
      <c r="E23" s="100">
        <f>IFERROR(GETPIVOTDATA("Baseline_Amount",Visual_Pivot_BusinessIncome!$B$5,"Treatment_Profile","K1_PTP_Passive","Year",2024),0)</f>
        <v/>
      </c>
      <c r="F23" s="100">
        <f>IFERROR(GETPIVOTDATA("Baseline_Amount",Visual_Pivot_BusinessIncome!$B$5,"Treatment_Profile","K1_PTP_Passive","Year",2025),0)</f>
        <v/>
      </c>
      <c r="G23" s="100">
        <f>IFERROR(GETPIVOTDATA("Baseline_Amount",Visual_Pivot_BusinessIncome!$B$5,"Treatment_Profile","K1_PTP_Passive","Year",2026),0)</f>
        <v/>
      </c>
      <c r="H23" s="100">
        <f>IFERROR(GETPIVOTDATA("Baseline_Amount",Visual_Pivot_BusinessIncome!$B$5,"Treatment_Profile","K1_PTP_Passive","Year",2027),0)</f>
        <v/>
      </c>
      <c r="I23" s="100">
        <f>IFERROR(GETPIVOTDATA("Baseline_Amount",Visual_Pivot_BusinessIncome!$B$5,"Treatment_Profile","K1_PTP_Passive","Year",2028),0)</f>
        <v/>
      </c>
      <c r="J23" s="45">
        <f>IFERROR(GETPIVOTDATA("Baseline_Amount",Visual_Pivot_BusinessIncome!$B$5,"Treatment_Profile","K1_PTP_Passive","Year",Active_Year),0)</f>
        <v/>
      </c>
    </row>
    <row r="24">
      <c r="B24" s="26" t="inlineStr">
        <is>
          <t>VP_BI_SchE_Rental</t>
        </is>
      </c>
      <c r="C24" t="inlineStr">
        <is>
          <t>Sch E Rental</t>
        </is>
      </c>
      <c r="D24" s="100">
        <f>IFERROR(GETPIVOTDATA("Baseline_Amount",Visual_Pivot_BusinessIncome!$B$5,"Treatment_Profile","SchE_Rental","Year",2023),0)</f>
        <v/>
      </c>
      <c r="E24" s="100">
        <f>IFERROR(GETPIVOTDATA("Baseline_Amount",Visual_Pivot_BusinessIncome!$B$5,"Treatment_Profile","SchE_Rental","Year",2024),0)</f>
        <v/>
      </c>
      <c r="F24" s="100">
        <f>IFERROR(GETPIVOTDATA("Baseline_Amount",Visual_Pivot_BusinessIncome!$B$5,"Treatment_Profile","SchE_Rental","Year",2025),0)</f>
        <v/>
      </c>
      <c r="G24" s="100">
        <f>IFERROR(GETPIVOTDATA("Baseline_Amount",Visual_Pivot_BusinessIncome!$B$5,"Treatment_Profile","SchE_Rental","Year",2026),0)</f>
        <v/>
      </c>
      <c r="H24" s="100">
        <f>IFERROR(GETPIVOTDATA("Baseline_Amount",Visual_Pivot_BusinessIncome!$B$5,"Treatment_Profile","SchE_Rental","Year",2027),0)</f>
        <v/>
      </c>
      <c r="I24" s="100">
        <f>IFERROR(GETPIVOTDATA("Baseline_Amount",Visual_Pivot_BusinessIncome!$B$5,"Treatment_Profile","SchE_Rental","Year",2028),0)</f>
        <v/>
      </c>
      <c r="J24" s="45">
        <f>IFERROR(GETPIVOTDATA("Baseline_Amount",Visual_Pivot_BusinessIncome!$B$5,"Treatment_Profile","SchE_Rental","Year",Active_Year),0)</f>
        <v/>
      </c>
    </row>
    <row r="25">
      <c r="B25" s="26" t="inlineStr">
        <is>
          <t>VP_BI_Total</t>
        </is>
      </c>
      <c r="C25" t="inlineStr">
        <is>
          <t>Business Total</t>
        </is>
      </c>
      <c r="D25" s="100">
        <f>IFERROR(GETPIVOTDATA("Baseline_Amount",Visual_Pivot_BusinessIncome!$B$5,"Year",2023),0)</f>
        <v/>
      </c>
      <c r="E25" s="100">
        <f>IFERROR(GETPIVOTDATA("Baseline_Amount",Visual_Pivot_BusinessIncome!$B$5,"Year",2024),0)</f>
        <v/>
      </c>
      <c r="F25" s="100">
        <f>IFERROR(GETPIVOTDATA("Baseline_Amount",Visual_Pivot_BusinessIncome!$B$5,"Year",2025),0)</f>
        <v/>
      </c>
      <c r="G25" s="100">
        <f>IFERROR(GETPIVOTDATA("Baseline_Amount",Visual_Pivot_BusinessIncome!$B$5,"Year",2026),0)</f>
        <v/>
      </c>
      <c r="H25" s="100">
        <f>IFERROR(GETPIVOTDATA("Baseline_Amount",Visual_Pivot_BusinessIncome!$B$5,"Year",2027),0)</f>
        <v/>
      </c>
      <c r="I25" s="100">
        <f>IFERROR(GETPIVOTDATA("Baseline_Amount",Visual_Pivot_BusinessIncome!$B$5,"Year",2028),0)</f>
        <v/>
      </c>
      <c r="J25" s="45">
        <f>IFERROR(GETPIVOTDATA("Baseline_Amount",Visual_Pivot_BusinessIncome!$B$5,"Year",Active_Year),0)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V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</cols>
  <sheetData>
    <row r="1" ht="18.5" customHeight="1" s="99">
      <c r="A1" s="17" t="inlineStr">
        <is>
          <t>Y2023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2023, tblMaster_Inputs[Primary_Line], $I6, tblMaster_Inputs[Activity_Type], "Baseline")</f>
        <v/>
      </c>
      <c r="L6" s="54" t="n"/>
      <c r="M6" s="4" t="n"/>
      <c r="N6" s="100">
        <f>SUMIFS(tblY2023_Strategies[Amount],tblY2023_Strategies[TargetLine],$I6)-SUMIFS(tblY2023_Strategies[Amount],tblY2023_Strategies[CounterLine],$I6)</f>
        <v/>
      </c>
      <c r="O6" s="100">
        <f>IF(UPPER(L6)="Y",SUMIFS(tblMaster_Inputs[Baseline_Amount],tblMaster_Inputs[Year],2022,tblMaster_Inputs[Primary_Line],"1z"),IF(ISBLANK(M6),K6,M6))</f>
        <v/>
      </c>
      <c r="P6" s="100">
        <f>O6+N6</f>
        <v/>
      </c>
      <c r="Q6" s="8">
        <f>HYPERLINK("#Y2023!I49",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SUMIFS(tblMaster_Inputs[Helper_Amount], tblMaster_Inputs[Year], 2023, tblMaster_Inputs[Helper_Treatment], "TAX_EXEMPT")</f>
        <v/>
      </c>
      <c r="L7" s="54" t="n"/>
      <c r="M7" s="4" t="n"/>
      <c r="N7">
        <f>SUMIFS(tblY2023_Strategies[Amount],tblY2023_Strategies[TargetLine],"2a",tblY2023_Strategies[Status],"Committed")</f>
        <v/>
      </c>
      <c r="O7" s="100">
        <f>IF(UPPER(L7)="Y",SUMIFS(tblMaster_Inputs[Helper_Amount],tblMaster_Inputs[Year],2022,tblMaster_Inputs[Helper_Treatment],"TAX_EXEMPT"),IF(ISBLANK(M7),K7,M7))</f>
        <v/>
      </c>
      <c r="P7" s="100">
        <f>O7</f>
        <v/>
      </c>
      <c r="Q7" s="8">
        <f>HYPERLINK("#Y2023!I49",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2023, tblMaster_Inputs[Primary_Line], $I8, tblMaster_Inputs[Activity_Type], "Baseline")</f>
        <v/>
      </c>
      <c r="L8" s="54" t="n"/>
      <c r="M8" s="4" t="n"/>
      <c r="N8" s="100">
        <f>SUMIFS(tblY2023_Strategies[Amount],tblY2023_Strategies[TargetLine],$I8)-SUMIFS(tblY2023_Strategies[Amount],tblY2023_Strategies[CounterLine],$I8)</f>
        <v/>
      </c>
      <c r="O8" s="100">
        <f>IF(UPPER(L8)="Y",SUMIFS(tblMaster_Inputs[Baseline_Amount],tblMaster_Inputs[Year],2022,tblMaster_Inputs[Primary_Line],"2b"),IF(ISBLANK(M8),K8,M8))</f>
        <v/>
      </c>
      <c r="P8" s="100">
        <f>O8+N8</f>
        <v/>
      </c>
      <c r="Q8" s="8">
        <f>HYPERLINK("#Y2023!I49",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SUMIFS(tblMaster_Inputs[Helper_Amount], tblMaster_Inputs[Year], 2023, tblMaster_Inputs[Helper_Treatment], "QUAL_DIV")</f>
        <v/>
      </c>
      <c r="L9" s="54" t="n"/>
      <c r="M9" s="4" t="n"/>
      <c r="N9">
        <f>SUMIFS(tblY2023_Strategies[Amount],tblY2023_Strategies[TargetLine],"3a",tblY2023_Strategies[Status],"Committed")</f>
        <v/>
      </c>
      <c r="O9" s="100">
        <f>IF(UPPER(L9)="Y",SUMIFS(tblMaster_Inputs[Helper_Amount],tblMaster_Inputs[Year],2022,tblMaster_Inputs[Helper_Treatment],"QUAL_DIV"),IF(ISBLANK(M9),K9,M9))</f>
        <v/>
      </c>
      <c r="P9" s="100">
        <f>O9</f>
        <v/>
      </c>
      <c r="Q9" s="8">
        <f>HYPERLINK("#Y2023!I49",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2023, tblMaster_Inputs[Primary_Line], $I10, tblMaster_Inputs[Activity_Type], "Baseline")</f>
        <v/>
      </c>
      <c r="L10" s="54" t="n"/>
      <c r="M10" s="4" t="n"/>
      <c r="N10" s="100">
        <f>SUMIFS(tblY2023_Strategies[Amount],tblY2023_Strategies[TargetLine],$I10)-SUMIFS(tblY2023_Strategies[Amount],tblY2023_Strategies[CounterLine],$I10)</f>
        <v/>
      </c>
      <c r="O10" s="100">
        <f>IF(UPPER(L10)="Y",SUMIFS(tblMaster_Inputs[Baseline_Amount],tblMaster_Inputs[Year],2022,tblMaster_Inputs[Primary_Line],"3b"),IF(ISBLANK(M10),K10,M10))</f>
        <v/>
      </c>
      <c r="P10" s="100">
        <f>O10+N10</f>
        <v/>
      </c>
      <c r="Q10" s="8">
        <f>HYPERLINK("#Y2023!I49",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 tblMaster_Inputs[Year], 2023, tblMaster_Inputs[Primary_Line], $I11, tblMaster_Inputs[Activity_Type], "Baseline")</f>
        <v/>
      </c>
      <c r="L11" s="54" t="n"/>
      <c r="M11" s="4" t="n"/>
      <c r="N11" s="100">
        <f>SUMIFS(tblY2023_Strategies[Amount],tblY2023_Strategies[TargetLine],$I11)-SUMIFS(tblY2023_Strategies[Amount],tblY2023_Strategies[CounterLine],$I11)</f>
        <v/>
      </c>
      <c r="O11" s="100">
        <f>IF(UPPER(L11)="Y",SUMIFS(tblMaster_Inputs[Baseline_Amount],tblMaster_Inputs[Year],2022,tblMaster_Inputs[Primary_Line],"7"),IF(ISBLANK(M11),K11,M11))</f>
        <v/>
      </c>
      <c r="P11" s="100">
        <f>O11+N11</f>
        <v/>
      </c>
      <c r="Q11" s="8">
        <f>HYPERLINK("#Y2023!I49",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(incl business income via Sch 1)</t>
        </is>
      </c>
      <c r="K12" s="100">
        <f>SUMIFS(tblMaster_Inputs[Baseline_Amount], tblMaster_Inputs[Year], 2023, tblMaster_Inputs[Primary_Line], $I12, tblMaster_Inputs[Activity_Type], "Baseline")</f>
        <v/>
      </c>
      <c r="L12" s="54" t="n"/>
      <c r="M12" s="4" t="n"/>
      <c r="N12" s="100">
        <f>SUMIFS(tblY2023_Strategies[Amount],tblY2023_Strategies[TargetLine],$I12)-SUMIFS(tblY2023_Strategies[Amount],tblY2023_Strategies[CounterLine],$I12)</f>
        <v/>
      </c>
      <c r="O12" s="100">
        <f>IF(UPPER(L12)="Y",SUMIFS(tblMaster_Inputs[Baseline_Amount],tblMaster_Inputs[Year],2022,tblMaster_Inputs[Primary_Line],"8"),IF(ISBLANK(M12),K12,M12))</f>
        <v/>
      </c>
      <c r="P12" s="100">
        <f>O12+N12</f>
        <v/>
      </c>
      <c r="Q12" s="8">
        <f>HYPERLINK("#Y2023!I49",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HYPERLINK("#Y2023!I49",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 tblMaster_Inputs[Year], 2023, tblMaster_Inputs[Primary_Line], $I14, tblMaster_Inputs[Activity_Type], "Baseline")</f>
        <v/>
      </c>
      <c r="L14" s="54" t="n"/>
      <c r="M14" s="4" t="n"/>
      <c r="N14" s="100">
        <f>SUMIFS(tblY2023_Strategies[Amount],tblY2023_Strategies[TargetLine],$I14)-SUMIFS(tblY2023_Strategies[Amount],tblY2023_Strategies[CounterLine],$I14)</f>
        <v/>
      </c>
      <c r="O14" s="100">
        <f>IF(UPPER(L14)="Y",SUMIFS(tblMaster_Inputs[Baseline_Amount],tblMaster_Inputs[Year],2022,tblMaster_Inputs[Primary_Line],"10"),IF(ISBLANK(M14),K14,M14))</f>
        <v/>
      </c>
      <c r="P14" s="100">
        <f>O14+N14</f>
        <v/>
      </c>
      <c r="Q14" s="8">
        <f>HYPERLINK("#Y2023!I49",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HYPERLINK("#Y2023!I49",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 tblMaster_Inputs[Year], 2023, tblMaster_Inputs[Primary_Line], $I16, tblMaster_Inputs[Activity_Type], "Baseline")</f>
        <v/>
      </c>
      <c r="L16" s="54" t="n"/>
      <c r="M16" s="4" t="n"/>
      <c r="N16" s="100">
        <f>SUMIFS(tblY2023_Strategies[Amount],tblY2023_Strategies[TargetLine],$I16)-SUMIFS(tblY2023_Strategies[Amount],tblY2023_Strategies[CounterLine],$I16)</f>
        <v/>
      </c>
      <c r="O16" s="100">
        <f>IF(UPPER(L16)="Y",SUMIFS(tblMaster_Inputs[Baseline_Amount],tblMaster_Inputs[Year],2022,tblMaster_Inputs[Primary_Line],"12"),IF(ISBLANK(M16),K16,M16))</f>
        <v/>
      </c>
      <c r="P16" s="100">
        <f>O16+N16</f>
        <v/>
      </c>
      <c r="Q16" s="8">
        <f>HYPERLINK("#Y2023!I49",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 tblMaster_Inputs[Year], 2023, tblMaster_Inputs[Primary_Line], $I17, tblMaster_Inputs[Activity_Type], "Baseline")</f>
        <v/>
      </c>
      <c r="L17" s="54" t="n"/>
      <c r="M17" s="4" t="n"/>
      <c r="N17" s="100">
        <f>SUMIFS(tblY2023_Strategies[Amount],tblY2023_Strategies[TargetLine],$I17)-SUMIFS(tblY2023_Strategies[Amount],tblY2023_Strategies[CounterLine],$I17)</f>
        <v/>
      </c>
      <c r="O17" s="100">
        <f>IF(UPPER(L17)="Y",SUMIFS(tblMaster_Inputs[Baseline_Amount],tblMaster_Inputs[Year],2022,tblMaster_Inputs[Primary_Line],"13"),IF(ISBLANK(M17),K17,M17))</f>
        <v/>
      </c>
      <c r="P17" s="100">
        <f>O17+N17</f>
        <v/>
      </c>
      <c r="Q17" s="8">
        <f>HYPERLINK("#Y2023!I49",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HYPERLINK("#Y2023!I49",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 wages</t>
        </is>
      </c>
      <c r="J23" s="100">
        <f>SUMIFS(tblMaster_Inputs[Baseline_Amount], tblMaster_Inputs[Year], 2023, tblMaster_Inputs[Treatment_Profile], "W2_SCorpOwner", tblMaster_Inputs[Activity_Type], "Baseline")</f>
        <v/>
      </c>
      <c r="K23" s="100">
        <f>J23+SUMIFS(tblY2023_Strategies[Amount],tblY2023_Strategies[TargetLine],"1z")-SUMIFS(tblY2023_Strategies[Amount],tblY2023_Strategies[CounterLine],"1z")</f>
        <v/>
      </c>
      <c r="L23" s="2" t="inlineStr">
        <is>
          <t>FICA/Employee</t>
        </is>
      </c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 wages</t>
        </is>
      </c>
      <c r="J24" s="100">
        <f>SUMIFS(tblMaster_Inputs[Baseline_Amount], tblMaster_Inputs[Year], 2023, tblMaster_Inputs[Treatment_Profile], "W2_Employee", tblMaster_Inputs[Activity_Type], "Baseline")</f>
        <v/>
      </c>
      <c r="K24" s="100">
        <f>J24</f>
        <v/>
      </c>
      <c r="L24" s="2" t="inlineStr">
        <is>
          <t>SE Tax sharing</t>
        </is>
      </c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</t>
        </is>
      </c>
      <c r="J25" s="100">
        <f>J23+J24</f>
        <v/>
      </c>
      <c r="K25" s="100">
        <f>K23+K24</f>
        <v/>
      </c>
      <c r="L25" s="2" t="inlineStr">
        <is>
          <t>SE Tax sharing</t>
        </is>
      </c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</t>
        </is>
      </c>
      <c r="J26" s="100">
        <f>SUMIFS(tblMaster_Inputs[Baseline_Amount], tblMaster_Inputs[Year], 2023,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SE Tax base</t>
        </is>
      </c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SE</t>
        </is>
      </c>
      <c r="J27" s="100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K27" s="100">
        <f>J27+SUMIFS(tblY2023_Strategies[Amount],tblY2023_Strategies[TargetLine],"8")-SUMIFS(tblY2023_Strategies[Amount],tblY2023_Strategies[CounterLine],"8")</f>
        <v/>
      </c>
      <c r="L27" s="2" t="inlineStr">
        <is>
          <t>NIIT/QBI</t>
        </is>
      </c>
    </row>
    <row r="28" ht="14.5" customHeight="1" s="99">
      <c r="A28" t="inlineStr">
        <is>
          <t>Committed Strategies</t>
        </is>
      </c>
      <c r="B28" s="97">
        <f>COUNTIF(tblY2023_Strategies[Status],"Committed")</f>
        <v/>
      </c>
      <c r="C28" s="97" t="inlineStr">
        <is>
          <t>Net Strategy Impact</t>
        </is>
      </c>
      <c r="D28" s="94">
        <f>SUMIF(tblY2023_Strategies[Status],"Committed",tblY2023_Strategies[Amount])</f>
        <v/>
      </c>
      <c r="E28" s="97" t="n"/>
      <c r="I28" t="inlineStr">
        <is>
          <t>Passive business income/loss</t>
        </is>
      </c>
      <c r="J28" s="100">
        <f>SUMIFS(tblMaster_Inputs[Baseline_Amount], tblMaster_Inputs[Year], 2023,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 Loss/NIIT</t>
        </is>
      </c>
    </row>
    <row r="29" ht="14.5" customHeight="1" s="99">
      <c r="I29" t="inlineStr">
        <is>
          <t>Tax-exempt interest</t>
        </is>
      </c>
      <c r="J29" s="100">
        <f>SUMIFS(tblMaster_Inputs[Helper_Amount], tblMaster_Inputs[Year], 2023, tblMaster_Inputs[Helper_Treatment], "TAX_EXEMPT")</f>
        <v/>
      </c>
      <c r="K29" s="100">
        <f>J29+SUMIFS(tblY2023_Strategies[Amount],tblY2023_Strategies[TargetLine],"2a")-SUMIFS(tblY2023_Strategies[Amount],tblY2023_Strategies[CounterLine],"2a")</f>
        <v/>
      </c>
      <c r="L29" s="2" t="inlineStr">
        <is>
          <t>MAGI</t>
        </is>
      </c>
    </row>
    <row r="30" ht="14.5" customHeight="1" s="99">
      <c r="I30" t="inlineStr">
        <is>
          <t>Qualified dividends carve-out</t>
        </is>
      </c>
      <c r="J30" s="100">
        <f>SUMIFS(tblMaster_Inputs[Helper_Amount], tblMaster_Inputs[Year], 2023, tblMaster_Inputs[Helper_Treatment], "QUAL_DIV", tblMaster_Inputs[Activity_Type], "Baseline")</f>
        <v/>
      </c>
      <c r="K30" s="100">
        <f>J30</f>
        <v/>
      </c>
      <c r="L30" s="2" t="inlineStr">
        <is>
          <t>LTCG stacking</t>
        </is>
      </c>
    </row>
    <row r="31" ht="14.5" customHeight="1" s="99">
      <c r="I31" t="inlineStr">
        <is>
          <t>Long-term capital gains</t>
        </is>
      </c>
      <c r="J31" s="100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/>
      </c>
      <c r="K31" s="100">
        <f>J31+SUMIFS(tblY2023_Strategies[Amount],tblY2023_Strategies[TargetLine],"7")-SUMIFS(tblY2023_Strategies[Amount],tblY2023_Strategies[CounterLine],"7")</f>
        <v/>
      </c>
      <c r="L31" s="2" t="inlineStr">
        <is>
          <t>Cap Gains Tax</t>
        </is>
      </c>
    </row>
    <row r="32" ht="14.5" customHeight="1" s="99">
      <c r="I32" t="inlineStr">
        <is>
          <t>Short-term capital gains</t>
        </is>
      </c>
      <c r="J32" s="100">
        <f>SUMIFS(tblMaster_Inputs[Baseline_Amount], tblMaster_Inputs[Year], 2023, tblMaster_Inputs[Treatment_Profile], "STCG_Stock", tblMaster_Inputs[Activity_Type], "Baseline")</f>
        <v/>
      </c>
      <c r="K32" s="100">
        <f>J32</f>
        <v/>
      </c>
      <c r="L32" s="2" t="inlineStr">
        <is>
          <t>Ordinary Tax</t>
        </is>
      </c>
    </row>
    <row r="33" ht="14.5" customHeight="1" s="99">
      <c r="I33" t="inlineStr">
        <is>
          <t>§1250 unrecaptured gain</t>
        </is>
      </c>
      <c r="J33" s="100">
        <f>SUMIFS(tblMaster_Inputs[Helper_Amount], tblMaster_Inputs[Year], 2023, tblMaster_Inputs[Helper_Treatment], "SEC1250", tblMaster_Inputs[Activity_Type], "Baseline")</f>
        <v/>
      </c>
      <c r="K33" s="100">
        <f>J33</f>
        <v/>
      </c>
      <c r="L33" s="2" t="inlineStr">
        <is>
          <t>1250 Tax</t>
        </is>
      </c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 - LTCG - QUAL_DIV - SEC1250</t>
        </is>
      </c>
      <c r="J37" s="100">
        <f>K18-J31-J30-J33</f>
        <v/>
      </c>
      <c r="K37" s="100">
        <f>P18-K31-K30-K33</f>
        <v/>
      </c>
      <c r="L37" s="2" t="inlineStr">
        <is>
          <t>Ordinary Tax</t>
        </is>
      </c>
    </row>
    <row r="38" ht="14.5" customHeight="1" s="99">
      <c r="I38" t="inlineStr">
        <is>
          <t>AGI + tax-exempt interest</t>
        </is>
      </c>
      <c r="J38" s="100">
        <f>K15+J29</f>
        <v/>
      </c>
      <c r="K38" s="100">
        <f>P15+K29</f>
        <v/>
      </c>
      <c r="L38" s="2" t="inlineStr">
        <is>
          <t>NIIT</t>
        </is>
      </c>
    </row>
    <row r="39" ht="14.5" customHeight="1" s="99">
      <c r="I39" t="inlineStr">
        <is>
          <t>Net investment income</t>
        </is>
      </c>
      <c r="J39" s="100">
        <f>K8+K10+K11+J28</f>
        <v/>
      </c>
      <c r="K39" s="100">
        <f>P8+P10+P11+K28</f>
        <v/>
      </c>
      <c r="L39" s="2" t="inlineStr">
        <is>
          <t>NIIT</t>
        </is>
      </c>
    </row>
    <row r="40" ht="14.5" customHeight="1" s="99">
      <c r="I40" t="inlineStr">
        <is>
          <t>QBI-eligible business income</t>
        </is>
      </c>
      <c r="J40" s="100">
        <f>J26+J27</f>
        <v/>
      </c>
      <c r="K40" s="100">
        <f>K26+K27</f>
        <v/>
      </c>
      <c r="L40" s="2" t="inlineStr">
        <is>
          <t>QBI</t>
        </is>
      </c>
    </row>
    <row r="41" ht="14.5" customHeight="1" s="99">
      <c r="I41" t="inlineStr">
        <is>
          <t>TI before QBI deduction</t>
        </is>
      </c>
      <c r="J41" s="100">
        <f>K15+K16</f>
        <v/>
      </c>
      <c r="K41" s="100">
        <f>P15+P16</f>
        <v/>
      </c>
      <c r="L41" s="2" t="inlineStr">
        <is>
          <t>QBI cap</t>
        </is>
      </c>
    </row>
    <row r="42" ht="14.5" customHeight="1" s="99">
      <c r="I42" t="inlineStr">
        <is>
          <t>Net business loss</t>
        </is>
      </c>
      <c r="J42" s="100">
        <f>MIN(0,J26+J27+J28)</f>
        <v/>
      </c>
      <c r="K42" s="100">
        <f>MIN(0,K26+K27+K28)</f>
        <v/>
      </c>
      <c r="L42" s="2" t="inlineStr">
        <is>
          <t>EBL</t>
        </is>
      </c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inlineStr">
        <is>
          <t>SE Tax</t>
        </is>
      </c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 "✏ open Master_Inputs to edit")</f>
        <v/>
      </c>
    </row>
    <row r="50" ht="14.5" customHeight="1" s="99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2023, tblThresholds[FilingStatus], Filing_Status, tblThresholds[Item], "SE_Earnings_Factor")</f>
        <v/>
      </c>
      <c r="K71" s="19">
        <f>K70*SUMIFS(tblThresholds[Value], tblThresholds[Year], 2023,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2023, tblThresholds[FilingStatus], Filing_Status, tblThresholds[Item], "SS_Wage_Base")-J72)</f>
        <v/>
      </c>
      <c r="K73" s="100">
        <f>MAX(0,SUMIFS(tblThresholds[Value], tblThresholds[Year], 2023,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2023, tblThresholds[FilingStatus], Filing_Status, tblThresholds[Item], "SS_Rate_Combined")</f>
        <v/>
      </c>
      <c r="K75" s="100">
        <f>K74*SUMIFS(tblThresholds[Value], tblThresholds[Year], 2023,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2023, tblThresholds[FilingStatus], Filing_Status, tblThresholds[Item], "Medicare_Rate_Combined")</f>
        <v/>
      </c>
      <c r="K76" s="51">
        <f>K71*SUMIFS(tblThresholds[Value], tblThresholds[Year], 2023,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77" s="100">
        <f>MAX(0,(K72+K71-SUMIFS(tblThresholds[Value],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2023, tblThresholds[FilingStatus], Filing_Status, tblThresholds[Item], "SS_Wage_Base"))*0.062</f>
        <v/>
      </c>
      <c r="K84" s="100">
        <f>MIN(K83,SUMIFS(tblThresholds[Value], tblThresholds[Year], 2023,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86" s="100">
        <f>MAX(0,(K83-SUMIFS(tblThresholds[Value],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2023)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2023)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SUMPRODUCT((Tax_Ref!$B$210:$B$281=2023)*(Tax_Ref!$C$210:$C$281=Filing_Status)*((K102&gt;Tax_Ref!$E$210:$E$281)*(Tax_Ref!$E$210:$E$281-Tax_Ref!$D$210:$D$281)+(K102&gt;Tax_Ref!$D$210:$D$281)*(K102&lt;=Tax_Ref!$E$210:$E$281)*(K102-Tax_Ref!$D$210:$D$281))*Tax_Ref!$F$210:$F$281)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2023, tblThresholds[FilingStatus], Filing_Status, tblThresholds[Item], "NIIT_Threshold")</f>
        <v/>
      </c>
      <c r="K111" s="100">
        <f>SUMIFS(tblThresholds[Value], tblThresholds[Year], 2023,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2023, tblThresholds[FilingStatus], Filing_Status, tblThresholds[Item], "NIIT_Rate")</f>
        <v/>
      </c>
      <c r="K114" s="19">
        <f>MIN(K112,K113)*SUMIFS(tblThresholds[Value], tblThresholds[Year], 2023,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2023, tblThresholds[FilingStatus], Filing_Status, tblThresholds[Item], "QBI_Threshold_Start"),"YES","NO")</f>
        <v/>
      </c>
      <c r="K121" s="100">
        <f>IF(K41&gt;SUMIFS(tblThresholds[Value], tblThresholds[Year], 2023,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/>
      </c>
      <c r="K122" s="19">
        <f>IF(AND(K45=TRUE,K41&gt;SUMIFS(tblThresholds[Value], tblThresholds[Year], 2023, tblThresholds[FilingStatus], Filing_Status, tblThresholds[Item], "QBI_Threshold_End")),0,IF(K41&lt;=SUMIFS(tblThresholds[Value], tblThresholds[Year], 2023,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Y2023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2023)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V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</cols>
  <sheetData>
    <row r="1" ht="18.5" customHeight="1" s="99">
      <c r="A1" s="17" t="inlineStr">
        <is>
          <t>Y2024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SUMIFS(tblMaster_Inputs[Baseline_Amount],tblMaster_Inputs[Year],2024,tblMaster_Inputs[Primary_Line],$I6, tblMaster_Inputs[Activity_Type], "Baseline")</f>
        <v/>
      </c>
      <c r="L6" s="54" t="n"/>
      <c r="M6" s="4" t="n"/>
      <c r="N6" s="100">
        <f>SUMIFS(tblY2024_Strategies[Amount],tblY2024_Strategies[TargetLine],$I6)-SUMIFS(tblY2024_Strategies[Amount],tblY2024_Strategies[CounterLine],$I6)</f>
        <v/>
      </c>
      <c r="O6" s="100">
        <f>IF(UPPER(L6)="Y",SUMIFS(tblMaster_Inputs[Baseline_Amount],tblMaster_Inputs[Year],2023,tblMaster_Inputs[Primary_Line],"1z"),IF(ISBLANK(M6),K6,M6))</f>
        <v/>
      </c>
      <c r="P6" s="100">
        <f>O6+N6</f>
        <v/>
      </c>
      <c r="Q6" s="8">
        <f>HYPERLINK("#Y2024!I49",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(Helper)</t>
        </is>
      </c>
      <c r="K7" s="100">
        <f>SUMIFS(tblMaster_Inputs[Helper_Amount],tblMaster_Inputs[Year],2024,tblMaster_Inputs[Helper_Treatment],"TAX_EXEMPT")</f>
        <v/>
      </c>
      <c r="L7" s="54" t="n"/>
      <c r="M7" s="4" t="n"/>
      <c r="N7">
        <f>SUMIFS(tblY2024_Strategies[Amount],tblY2024_Strategies[TargetLine],"2a",tblY2024_Strategies[Status],"Committed")</f>
        <v/>
      </c>
      <c r="O7" s="100">
        <f>IF(UPPER(L7)="Y",SUMIFS(tblMaster_Inputs[Helper_Amount],tblMaster_Inputs[Year],2023,tblMaster_Inputs[Helper_Treatment],"TAX_EXEMPT"),IF(ISBLANK(M7),K7,M7))</f>
        <v/>
      </c>
      <c r="P7" s="100">
        <f>O7</f>
        <v/>
      </c>
      <c r="Q7" s="8">
        <f>HYPERLINK("#Y2024!I49",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SUMIFS(tblMaster_Inputs[Baseline_Amount],tblMaster_Inputs[Year],2024,tblMaster_Inputs[Primary_Line],$I8, tblMaster_Inputs[Activity_Type], "Baseline")</f>
        <v/>
      </c>
      <c r="L8" s="54" t="n"/>
      <c r="M8" s="4" t="n"/>
      <c r="N8" s="100">
        <f>SUMIFS(tblY2024_Strategies[Amount],tblY2024_Strategies[TargetLine],$I8)-SUMIFS(tblY2024_Strategies[Amount],tblY2024_Strategies[CounterLine],$I8)</f>
        <v/>
      </c>
      <c r="O8" s="100">
        <f>IF(UPPER(L8)="Y",SUMIFS(tblMaster_Inputs[Baseline_Amount],tblMaster_Inputs[Year],2023,tblMaster_Inputs[Primary_Line],"2b"),IF(ISBLANK(M8),K8,M8))</f>
        <v/>
      </c>
      <c r="P8" s="100">
        <f>O8+N8</f>
        <v/>
      </c>
      <c r="Q8" s="8">
        <f>HYPERLINK("#Y2024!I49",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(Helper)</t>
        </is>
      </c>
      <c r="K9" s="100">
        <f>SUMIFS(tblMaster_Inputs[Helper_Amount],tblMaster_Inputs[Year],2024,tblMaster_Inputs[Helper_Treatment],"QUAL_DIV")</f>
        <v/>
      </c>
      <c r="L9" s="54" t="n"/>
      <c r="M9" s="4" t="n"/>
      <c r="N9">
        <f>SUMIFS(tblY2024_Strategies[Amount],tblY2024_Strategies[TargetLine],"3a",tblY2024_Strategies[Status],"Committed")</f>
        <v/>
      </c>
      <c r="O9" s="100">
        <f>IF(UPPER(L9)="Y",SUMIFS(tblMaster_Inputs[Helper_Amount],tblMaster_Inputs[Year],2023,tblMaster_Inputs[Helper_Treatment],"QUAL_DIV"),IF(ISBLANK(M9),K9,M9))</f>
        <v/>
      </c>
      <c r="P9" s="100">
        <f>O9</f>
        <v/>
      </c>
      <c r="Q9" s="8">
        <f>HYPERLINK("#Y2024!I49",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SUMIFS(tblMaster_Inputs[Baseline_Amount],tblMaster_Inputs[Year],2024,tblMaster_Inputs[Primary_Line],$I10, tblMaster_Inputs[Activity_Type], "Baseline")</f>
        <v/>
      </c>
      <c r="L10" s="54" t="n"/>
      <c r="M10" s="4" t="n"/>
      <c r="N10" s="100">
        <f>SUMIFS(tblY2024_Strategies[Amount],tblY2024_Strategies[TargetLine],$I10)-SUMIFS(tblY2024_Strategies[Amount],tblY2024_Strategies[CounterLine],$I10)</f>
        <v/>
      </c>
      <c r="O10" s="100">
        <f>IF(UPPER(L10)="Y",SUMIFS(tblMaster_Inputs[Baseline_Amount],tblMaster_Inputs[Year],2023,tblMaster_Inputs[Primary_Line],"3b"),IF(ISBLANK(M10),K10,M10))</f>
        <v/>
      </c>
      <c r="P10" s="100">
        <f>O10+N10</f>
        <v/>
      </c>
      <c r="Q10" s="8">
        <f>HYPERLINK("#Y2024!I49",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SUMIFS(tblMaster_Inputs[Baseline_Amount],tblMaster_Inputs[Year],2024,tblMaster_Inputs[Primary_Line],$I11, tblMaster_Inputs[Activity_Type], "Baseline")</f>
        <v/>
      </c>
      <c r="L11" s="54" t="n"/>
      <c r="M11" s="4" t="n"/>
      <c r="N11" s="100">
        <f>SUMIFS(tblY2024_Strategies[Amount],tblY2024_Strategies[TargetLine],$I11)-SUMIFS(tblY2024_Strategies[Amount],tblY2024_Strategies[CounterLine],$I11)</f>
        <v/>
      </c>
      <c r="O11" s="100">
        <f>IF(UPPER(L11)="Y",SUMIFS(tblMaster_Inputs[Baseline_Amount],tblMaster_Inputs[Year],2023,tblMaster_Inputs[Primary_Line],"7"),IF(ISBLANK(M11),K11,M11))</f>
        <v/>
      </c>
      <c r="P11" s="100">
        <f>O11+N11</f>
        <v/>
      </c>
      <c r="Q11" s="8">
        <f>HYPERLINK("#Y2024!I49",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 via Sch 1)</t>
        </is>
      </c>
      <c r="K12" s="100">
        <f>SUMIFS(tblMaster_Inputs[Baseline_Amount],tblMaster_Inputs[Year],2024,tblMaster_Inputs[Primary_Line],$I12, tblMaster_Inputs[Activity_Type], "Baseline")</f>
        <v/>
      </c>
      <c r="L12" s="54" t="n"/>
      <c r="M12" s="4" t="n"/>
      <c r="N12" s="100">
        <f>SUMIFS(tblY2024_Strategies[Amount],tblY2024_Strategies[TargetLine],$I12)-SUMIFS(tblY2024_Strategies[Amount],tblY2024_Strategies[CounterLine],$I12)</f>
        <v/>
      </c>
      <c r="O12" s="100">
        <f>IF(UPPER(L12)="Y",SUMIFS(tblMaster_Inputs[Baseline_Amount],tblMaster_Inputs[Year],2023,tblMaster_Inputs[Primary_Line],"8"),IF(ISBLANK(M12),K12,M12))</f>
        <v/>
      </c>
      <c r="P12" s="100">
        <f>O12+N12</f>
        <v/>
      </c>
      <c r="Q12" s="8">
        <f>HYPERLINK("#Y2024!I49",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HYPERLINK("#Y2024!I49",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SUMIFS(tblMaster_Inputs[Baseline_Amount],tblMaster_Inputs[Year],2024,tblMaster_Inputs[Primary_Line],$I14, tblMaster_Inputs[Activity_Type], "Baseline")</f>
        <v/>
      </c>
      <c r="L14" s="54" t="n"/>
      <c r="M14" s="4" t="n"/>
      <c r="N14" s="100">
        <f>SUMIFS(tblY2024_Strategies[Amount],tblY2024_Strategies[TargetLine],$I14)-SUMIFS(tblY2024_Strategies[Amount],tblY2024_Strategies[CounterLine],$I14)</f>
        <v/>
      </c>
      <c r="O14" s="100">
        <f>IF(UPPER(L14)="Y",SUMIFS(tblMaster_Inputs[Baseline_Amount],tblMaster_Inputs[Year],2023,tblMaster_Inputs[Primary_Line],"10"),IF(ISBLANK(M14),K14,M14))</f>
        <v/>
      </c>
      <c r="P14" s="100">
        <f>O14+N14</f>
        <v/>
      </c>
      <c r="Q14" s="8">
        <f>HYPERLINK("#Y2024!I49",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HYPERLINK("#Y2024!I49",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SUMIFS(tblMaster_Inputs[Baseline_Amount],tblMaster_Inputs[Year],2024,tblMaster_Inputs[Primary_Line],$I16, tblMaster_Inputs[Activity_Type], "Baseline")</f>
        <v/>
      </c>
      <c r="L16" s="54" t="n"/>
      <c r="M16" s="4" t="n"/>
      <c r="N16" s="100">
        <f>SUMIFS(tblY2024_Strategies[Amount],tblY2024_Strategies[TargetLine],$I16)-SUMIFS(tblY2024_Strategies[Amount],tblY2024_Strategies[CounterLine],$I16)</f>
        <v/>
      </c>
      <c r="O16" s="100">
        <f>IF(UPPER(L16)="Y",SUMIFS(tblMaster_Inputs[Baseline_Amount],tblMaster_Inputs[Year],2023,tblMaster_Inputs[Primary_Line],"12"),IF(ISBLANK(M16),K16,M16))</f>
        <v/>
      </c>
      <c r="P16" s="100">
        <f>O16+N16</f>
        <v/>
      </c>
      <c r="Q16" s="8">
        <f>HYPERLINK("#Y2024!I49",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SUMIFS(tblMaster_Inputs[Baseline_Amount],tblMaster_Inputs[Year],2024,tblMaster_Inputs[Primary_Line],$I17, tblMaster_Inputs[Activity_Type], "Baseline")</f>
        <v/>
      </c>
      <c r="L17" s="54" t="n"/>
      <c r="M17" s="4" t="n"/>
      <c r="N17" s="100">
        <f>SUMIFS(tblY2024_Strategies[Amount],tblY2024_Strategies[TargetLine],$I17)-SUMIFS(tblY2024_Strategies[Amount],tblY2024_Strategies[CounterLine],$I17)</f>
        <v/>
      </c>
      <c r="O17" s="100">
        <f>IF(UPPER(L17)="Y",SUMIFS(tblMaster_Inputs[Baseline_Amount],tblMaster_Inputs[Year],2023,tblMaster_Inputs[Primary_Line],"13"),IF(ISBLANK(M17),K17,M17))</f>
        <v/>
      </c>
      <c r="P17" s="100">
        <f>O17+N17</f>
        <v/>
      </c>
      <c r="Q17" s="8">
        <f>HYPERLINK("#Y2024!I49",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HYPERLINK("#Y2024!I49",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SUMIFS(tblMaster_Inputs[Baseline_Amount],tblMaster_Inputs[Year],2024,tblMaster_Inputs[Treatment_Profile],"W2_SCorpOwner", tblMaster_Inputs[Activity_Type], "Baseline")</f>
        <v/>
      </c>
      <c r="K23" s="100">
        <f>J23+SUMIFS(tblY2024_Strategies[Amount],tblY2024_Strategies[TargetLine],"1z")-SUMIFS(tblY2024_Strategies[Amount],tblY2024_Strategies[CounterLine],"1z")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SUMIFS(tblMaster_Inputs[Baseline_Amount],tblMaster_Inputs[Year],2024,tblMaster_Inputs[Treatment_Profile],"W2_Employee",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 income</t>
        </is>
      </c>
      <c r="J26" s="100">
        <f>SUMIFS(tblMaster_Inputs[Baseline_Amount],tblMaster_Inputs[Year],2024,tblMaster_Inputs[Bucket],"Business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 business</t>
        </is>
      </c>
      <c r="J27" s="100">
        <f>SUMIFS(tblMaster_Inputs[Baseline_Amount],tblMaster_Inputs[Year],2024,tblMaster_Inputs[Bucket],"Business Income",tblMaster_Inputs[SE_Subject],"No",tblMaster_Inputs[NIIT_Class],"Active", tblMaster_Inputs[Activity_Type], "Baseline")</f>
        <v/>
      </c>
      <c r="K27" s="100">
        <f>J27+SUMIFS(tblY2024_Strategies[Amount],tblY2024_Strategies[TargetLine],"8")-SUMIFS(tblY2024_Strategies[Amount],tblY2024_Strategies[CounterLine],"8")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COUNTIF(tblY2024_Strategies[Status],"Committed")</f>
        <v/>
      </c>
      <c r="C28" s="97" t="inlineStr">
        <is>
          <t>Net Strategy Impact</t>
        </is>
      </c>
      <c r="D28" s="94">
        <f>SUMIF(tblY2024_Strategies[Status],"Committed",tblY2024_Strategies[Amount])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SUMIFS(tblMaster_Inputs[Baseline_Amount],tblMaster_Inputs[Year],2024,tblMaster_Inputs[Bucket],"Business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interest</t>
        </is>
      </c>
      <c r="J29" s="100">
        <f>SUMIFS(tblMaster_Inputs[Helper_Amount],tblMaster_Inputs[Year],2024,tblMaster_Inputs[Helper_Treatment],"TAX_EXEMPT")</f>
        <v/>
      </c>
      <c r="K29" s="100">
        <f>J29+SUMIFS(tblY2024_Strategies[Amount],tblY2024_Strategies[TargetLine],"2a")-SUMIFS(tblY2024_Strategies[Amount],tblY2024_Strategies[CounterLine],"2a")</f>
        <v/>
      </c>
      <c r="L29" s="2" t="n"/>
    </row>
    <row r="30" ht="14.5" customHeight="1" s="99">
      <c r="I30" t="inlineStr">
        <is>
          <t>Qualified dividends</t>
        </is>
      </c>
      <c r="J30" s="100">
        <f>SUMIFS(tblMaster_Inputs[Helper_Amount],tblMaster_Inputs[Year],2024,tblMaster_Inputs[Helper_Treatment],"QUAL_DIV",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Long-term cap gains</t>
        </is>
      </c>
      <c r="J31" s="100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/>
      </c>
      <c r="K31" s="100">
        <f>J31+SUMIFS(tblY2024_Strategies[Amount],tblY2024_Strategies[TargetLine],"7")-SUMIFS(tblY2024_Strategies[Amount],tblY2024_Strategies[CounterLine],"7")</f>
        <v/>
      </c>
      <c r="L31" s="2" t="n"/>
    </row>
    <row r="32" ht="14.5" customHeight="1" s="99">
      <c r="I32" t="inlineStr">
        <is>
          <t>Short-term cap gains</t>
        </is>
      </c>
      <c r="J32" s="100">
        <f>SUMIFS(tblMaster_Inputs[Baseline_Amount],tblMaster_Inputs[Year],2024,tblMaster_Inputs[Treatment_Profile],"STCG_Stock",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SUMIFS(tblMaster_Inputs[Helper_Amount],tblMaster_Inputs[Year],2024,tblMaster_Inputs[Helper_Treatment],"SEC1250",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TI-LTCG-QUAL_DIV-SEC1250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2024, tblThresholds[FilingStatus], Filing_Status, tblThresholds[Item], "SE_Earnings_Factor")</f>
        <v/>
      </c>
      <c r="K71" s="19">
        <f>K70*SUMIFS(tblThresholds[Value], tblThresholds[Year], 2024,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2024, tblThresholds[FilingStatus], Filing_Status, tblThresholds[Item], "SS_Wage_Base")-J72)</f>
        <v/>
      </c>
      <c r="K73" s="100">
        <f>MAX(0,SUMIFS(tblThresholds[Value], tblThresholds[Year], 2024,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2024, tblThresholds[FilingStatus], Filing_Status, tblThresholds[Item], "SS_Rate_Combined")</f>
        <v/>
      </c>
      <c r="K75" s="100">
        <f>K74*SUMIFS(tblThresholds[Value], tblThresholds[Year], 2024,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2024, tblThresholds[FilingStatus], Filing_Status, tblThresholds[Item], "Medicare_Rate_Combined")</f>
        <v/>
      </c>
      <c r="K76" s="51">
        <f>K71*SUMIFS(tblThresholds[Value], tblThresholds[Year], 2024,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77" s="100">
        <f>MAX(0,(K72+K71-SUMIFS(tblThresholds[Value],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2024, tblThresholds[FilingStatus], Filing_Status, tblThresholds[Item], "SS_Wage_Base"))*0.062</f>
        <v/>
      </c>
      <c r="K84" s="100">
        <f>MIN(K83,SUMIFS(tblThresholds[Value], tblThresholds[Year], 2024,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86" s="100">
        <f>MAX(0,(K83-SUMIFS(tblThresholds[Value],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2024)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2024)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SUMPRODUCT((Tax_Ref!$B$210:$B$281=2024)*(Tax_Ref!$C$210:$C$281=Filing_Status)*((K102&gt;Tax_Ref!$E$210:$E$281)*(Tax_Ref!$E$210:$E$281-Tax_Ref!$D$210:$D$281)+(K102&gt;Tax_Ref!$D$210:$D$281)*(K102&lt;=Tax_Ref!$E$210:$E$281)*(K102-Tax_Ref!$D$210:$D$281))*Tax_Ref!$F$210:$F$281)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2024, tblThresholds[FilingStatus], Filing_Status, tblThresholds[Item], "NIIT_Threshold")</f>
        <v/>
      </c>
      <c r="K111" s="100">
        <f>SUMIFS(tblThresholds[Value], tblThresholds[Year], 2024,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2024, tblThresholds[FilingStatus], Filing_Status, tblThresholds[Item], "NIIT_Rate")</f>
        <v/>
      </c>
      <c r="K114" s="19">
        <f>MIN(K112,K113)*SUMIFS(tblThresholds[Value], tblThresholds[Year], 2024,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2024, tblThresholds[FilingStatus], Filing_Status, tblThresholds[Item], "QBI_Threshold_Start"),"YES","NO")</f>
        <v/>
      </c>
      <c r="K121" s="100">
        <f>IF(K41&gt;SUMIFS(tblThresholds[Value], tblThresholds[Year], 2024,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/>
      </c>
      <c r="K122" s="19">
        <f>IF(AND(K45=TRUE,K41&gt;SUMIFS(tblThresholds[Value], tblThresholds[Year], 2024, tblThresholds[FilingStatus], Filing_Status, tblThresholds[Item], "QBI_Threshold_End")),0,IF(K41&lt;=SUMIFS(tblThresholds[Value], tblThresholds[Year], 2024,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Y2024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2024)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V185"/>
  <sheetViews>
    <sheetView tabSelected="1" workbookViewId="0">
      <pane ySplit="5" topLeftCell="A12" activePane="bottomLeft" state="frozen"/>
      <selection pane="bottomLeft" activeCell="I24" sqref="I24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7"/>
    <col width="4" customWidth="1" style="99" min="8" max="8"/>
    <col width="32" customWidth="1" style="99" min="9" max="9"/>
    <col width="14" customWidth="1" style="99" min="10" max="10"/>
    <col width="16" bestFit="1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</cols>
  <sheetData>
    <row r="1">
      <c r="A1" s="17" t="inlineStr">
        <is>
          <t>Y2025 — standalone tax planning sandbox</t>
        </is>
      </c>
    </row>
    <row r="2">
      <c r="A2" s="89" t="inlineStr">
        <is>
          <t>Strategies: enter Amount + Status below. Committed strategies flow to rollup M column. Push to Master_Inputs when final.</t>
        </is>
      </c>
    </row>
    <row r="4">
      <c r="A4" s="80" t="inlineStr">
        <is>
          <t>▸ STRATEGIES</t>
        </is>
      </c>
    </row>
    <row r="5" ht="43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</row>
    <row r="6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>
        <v>-25000</v>
      </c>
      <c r="E6" s="65" t="inlineStr">
        <is>
          <t>Committed</t>
        </is>
      </c>
      <c r="F6" s="65" t="inlineStr">
        <is>
          <t>Reduce W-2 $25K, offset by K-1 increase</t>
        </is>
      </c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2025, tblMaster_Inputs[Primary_Line], $I6, tblMaster_Inputs[Activity_Type], "Baseline")</f>
        <v/>
      </c>
      <c r="L6" s="54" t="n"/>
      <c r="M6" s="55" t="n"/>
      <c r="N6" s="100">
        <f>SUMIFS(tblY2025_Strategies[Amount],tblY2025_Strategies[TargetLine],$I6)-SUMIFS(tblY2025_Strategies[Amount],tblY2025_Strategies[CounterLine],$I6)</f>
        <v/>
      </c>
      <c r="O6" s="100">
        <f>IF(UPPER(L6)="Y",SUMIFS(tblMaster_Inputs[Baseline_Amount],tblMaster_Inputs[Year],2024,tblMaster_Inputs[Primary_Line],"1z"),IF(ISBLANK(M6),K6,M6))</f>
        <v/>
      </c>
      <c r="P6" s="100">
        <f>O6+N6</f>
        <v/>
      </c>
      <c r="Q6" s="8">
        <f>HYPERLINK("#Y2025!I49",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</row>
    <row r="7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>
        <v>-8550</v>
      </c>
      <c r="E7" s="65" t="inlineStr">
        <is>
          <t>Committed</t>
        </is>
      </c>
      <c r="F7" s="65" t="inlineStr">
        <is>
          <t>Family HSA contribution</t>
        </is>
      </c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TAX_EXEMPT</f>
        <v/>
      </c>
      <c r="L7" s="54" t="n"/>
      <c r="M7" s="4" t="n"/>
      <c r="N7">
        <f>SUMIFS(tblY2025_Strategies[Amount],tblY2025_Strategies[TargetLine],"2a",tblY2025_Strategies[Status],"Committed")</f>
        <v/>
      </c>
      <c r="O7" s="100">
        <f>IF(UPPER(L7)="Y",SUMIFS(tblMaster_Inputs[Helper_Amount],tblMaster_Inputs[Year],2024,tblMaster_Inputs[Helper_Treatment],"TAX_EXEMPT"),IF(ISBLANK(M7),K7,M7))</f>
        <v/>
      </c>
      <c r="P7" s="100">
        <f>O7</f>
        <v/>
      </c>
      <c r="Q7" s="8">
        <f>HYPERLINK("#Y2025!I49",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</row>
    <row r="8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>
        <v>15000</v>
      </c>
      <c r="E8" s="65" t="inlineStr">
        <is>
          <t>Proposed</t>
        </is>
      </c>
      <c r="F8" s="65" t="inlineStr">
        <is>
          <t>Donor-advised fund stacking</t>
        </is>
      </c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2025, tblMaster_Inputs[Primary_Line], $I8, tblMaster_Inputs[Activity_Type], "Baseline")</f>
        <v/>
      </c>
      <c r="L8" s="54" t="n"/>
      <c r="M8" s="4" t="n"/>
      <c r="N8" s="100">
        <f>SUMIFS(tblY2025_Strategies[Amount],tblY2025_Strategies[TargetLine],$I8)-SUMIFS(tblY2025_Strategies[Amount],tblY2025_Strategies[CounterLine],$I8)</f>
        <v/>
      </c>
      <c r="O8" s="100">
        <f>IF(UPPER(L8)="Y",SUMIFS(tblMaster_Inputs[Baseline_Amount],tblMaster_Inputs[Year],2024,tblMaster_Inputs[Primary_Line],"2b"),IF(ISBLANK(M8),K8,M8))</f>
        <v/>
      </c>
      <c r="P8" s="100">
        <f>O8+N8</f>
        <v/>
      </c>
      <c r="Q8" s="8">
        <f>HYPERLINK("#Y2025!I49",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</row>
    <row r="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>
        <v>-7000</v>
      </c>
      <c r="E9" s="65" t="inlineStr">
        <is>
          <t>Approved</t>
        </is>
      </c>
      <c r="F9" s="65" t="inlineStr">
        <is>
          <t>Retirement contribution</t>
        </is>
      </c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QUAL_DIV</f>
        <v/>
      </c>
      <c r="L9" s="54" t="n"/>
      <c r="M9" s="4" t="n"/>
      <c r="N9">
        <f>SUMIFS(tblY2025_Strategies[Amount],tblY2025_Strategies[TargetLine],"3a",tblY2025_Strategies[Status],"Committed")</f>
        <v/>
      </c>
      <c r="O9" s="100">
        <f>IF(UPPER(L9)="Y",SUMIFS(tblMaster_Inputs[Helper_Amount],tblMaster_Inputs[Year],2024,tblMaster_Inputs[Helper_Treatment],"QUAL_DIV"),IF(ISBLANK(M9),K9,M9))</f>
        <v/>
      </c>
      <c r="P9" s="100">
        <f>O9</f>
        <v/>
      </c>
      <c r="Q9" s="8">
        <f>HYPERLINK("#Y2025!I49",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</row>
    <row r="10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>
        <v>-80000</v>
      </c>
      <c r="E10" s="65" t="inlineStr">
        <is>
          <t>Committed</t>
        </is>
      </c>
      <c r="F10" s="65" t="inlineStr">
        <is>
          <t>123 Main St — accelerated depreciation</t>
        </is>
      </c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2025, tblMaster_Inputs[Primary_Line], $I10, tblMaster_Inputs[Activity_Type], "Baseline")</f>
        <v/>
      </c>
      <c r="L10" s="54" t="n"/>
      <c r="M10" s="4" t="n"/>
      <c r="N10" s="100">
        <f>SUMIFS(tblY2025_Strategies[Amount],tblY2025_Strategies[TargetLine],$I10)-SUMIFS(tblY2025_Strategies[Amount],tblY2025_Strategies[CounterLine],$I10)</f>
        <v/>
      </c>
      <c r="O10" s="100">
        <f>IF(UPPER(L10)="Y",SUMIFS(tblMaster_Inputs[Baseline_Amount],tblMaster_Inputs[Year],2024,tblMaster_Inputs[Primary_Line],"3b"),IF(ISBLANK(M10),K10,M10))</f>
        <v/>
      </c>
      <c r="P10" s="100">
        <f>O10+N10</f>
        <v/>
      </c>
      <c r="Q10" s="8">
        <f>HYPERLINK("#Y2025!I49",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</row>
    <row r="11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inlineStr">
        <is>
          <t>Conversion amount (increases taxable income)</t>
        </is>
      </c>
      <c r="G11" s="65" t="n"/>
      <c r="H11" s="65" t="inlineStr">
        <is>
          <t>ADV-004</t>
        </is>
      </c>
      <c r="I11" t="inlineStr">
        <is>
          <t>7</t>
        </is>
      </c>
      <c r="J11" t="inlineStr">
        <is>
          <t>Capital gain or (loss)</t>
        </is>
      </c>
      <c r="K11" s="100">
        <f>SUMIFS(tblMaster_Inputs[Baseline_Amount], tblMaster_Inputs[Year], 2025, tblMaster_Inputs[Primary_Line], $I11, tblMaster_Inputs[Activity_Type], "Baseline")</f>
        <v/>
      </c>
      <c r="L11" s="54" t="n"/>
      <c r="M11" s="4" t="n"/>
      <c r="N11" s="100">
        <f>SUMIFS(tblY2025_Strategies[Amount],tblY2025_Strategies[TargetLine],$I11)-SUMIFS(tblY2025_Strategies[Amount],tblY2025_Strategies[CounterLine],$I11)</f>
        <v/>
      </c>
      <c r="O11" s="100">
        <f>IF(UPPER(L11)="Y",SUMIFS(tblMaster_Inputs[Baseline_Amount],tblMaster_Inputs[Year],2024,tblMaster_Inputs[Primary_Line],"7"),IF(ISBLANK(M11),K11,M11))</f>
        <v/>
      </c>
      <c r="P11" s="100">
        <f>O11+N11</f>
        <v/>
      </c>
      <c r="Q11" s="8">
        <f>HYPERLINK("#Y2025!I49",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</row>
    <row r="12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inlineStr">
        <is>
          <t>Home rental to S-Corp (≤14 days, tax-free)</t>
        </is>
      </c>
      <c r="G12" s="65" t="n"/>
      <c r="H12" s="65" t="inlineStr">
        <is>
          <t>STD-002</t>
        </is>
      </c>
      <c r="I12" t="inlineStr">
        <is>
          <t>8</t>
        </is>
      </c>
      <c r="J12" t="inlineStr">
        <is>
          <t>Other income (incl business income via Sch 1)</t>
        </is>
      </c>
      <c r="K12" s="100">
        <f>SUMIFS(tblMaster_Inputs[Baseline_Amount], tblMaster_Inputs[Year], 2025, tblMaster_Inputs[Primary_Line], $I12, tblMaster_Inputs[Activity_Type], "Baseline")</f>
        <v/>
      </c>
      <c r="L12" s="54" t="n"/>
      <c r="M12" s="55" t="n"/>
      <c r="N12" s="100">
        <f>SUMIFS(tblY2025_Strategies[Amount],tblY2025_Strategies[TargetLine],$I12)-SUMIFS(tblY2025_Strategies[Amount],tblY2025_Strategies[CounterLine],$I12)</f>
        <v/>
      </c>
      <c r="O12" s="100">
        <f>IF(UPPER(L12)="Y",SUMIFS(tblMaster_Inputs[Baseline_Amount],tblMaster_Inputs[Year],2024,tblMaster_Inputs[Primary_Line],"8"),IF(ISBLANK(M12),K12,M12))</f>
        <v/>
      </c>
      <c r="P12" s="100">
        <f>O12+N12</f>
        <v/>
      </c>
      <c r="Q12" s="8">
        <f>HYPERLINK("#Y2025!I49",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</row>
    <row r="13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inlineStr">
        <is>
          <t>Business expense reimbursement</t>
        </is>
      </c>
      <c r="G13" s="65" t="n"/>
      <c r="H13" s="65" t="inlineStr">
        <is>
          <t>STD-003</t>
        </is>
      </c>
      <c r="I13" t="inlineStr">
        <is>
          <t>9</t>
        </is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HYPERLINK("#Y2025!I49",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</row>
    <row r="14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Wages to children under §3121(b)(3)</t>
        </is>
      </c>
      <c r="G14" s="65" t="inlineStr">
        <is>
          <t>1z</t>
        </is>
      </c>
      <c r="H14" s="65" t="inlineStr">
        <is>
          <t>STD-005</t>
        </is>
      </c>
      <c r="I14" t="inlineStr">
        <is>
          <t>10</t>
        </is>
      </c>
      <c r="J14" t="inlineStr">
        <is>
          <t>Adjustments to income</t>
        </is>
      </c>
      <c r="K14" s="100">
        <f>SUMIFS(tblMaster_Inputs[Baseline_Amount], tblMaster_Inputs[Year], 2025, tblMaster_Inputs[Primary_Line], $I14, tblMaster_Inputs[Activity_Type], "Baseline")</f>
        <v/>
      </c>
      <c r="L14" s="54" t="n"/>
      <c r="M14" s="4" t="n"/>
      <c r="N14" s="100">
        <f>SUMIFS(tblY2025_Strategies[Amount],tblY2025_Strategies[TargetLine],$I14)-SUMIFS(tblY2025_Strategies[Amount],tblY2025_Strategies[CounterLine],$I14)</f>
        <v/>
      </c>
      <c r="O14" s="100">
        <f>IF(UPPER(L14)="Y",SUMIFS(tblMaster_Inputs[Baseline_Amount],tblMaster_Inputs[Year],2024,tblMaster_Inputs[Primary_Line],"10"),IF(ISBLANK(M14),K14,M14))</f>
        <v/>
      </c>
      <c r="P14" s="100">
        <f>O14+N14</f>
        <v/>
      </c>
      <c r="Q14" s="8">
        <f>HYPERLINK("#Y2025!I49",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</row>
    <row r="15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inlineStr">
        <is>
          <t>Partnership → S-Corp, etc.</t>
        </is>
      </c>
      <c r="G15" s="65" t="inlineStr">
        <is>
          <t>1z</t>
        </is>
      </c>
      <c r="H15" s="65" t="inlineStr">
        <is>
          <t>STD-007</t>
        </is>
      </c>
      <c r="I15" t="inlineStr">
        <is>
          <t>11</t>
        </is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HYPERLINK("#Y2025!I49",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</row>
    <row r="16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inlineStr">
        <is>
          <t>Gain deferral strategies</t>
        </is>
      </c>
      <c r="G16" s="65" t="n"/>
      <c r="H16" s="65" t="inlineStr">
        <is>
          <t>STD-009 + ADV-006</t>
        </is>
      </c>
      <c r="I16" t="inlineStr">
        <is>
          <t>12</t>
        </is>
      </c>
      <c r="J16" t="inlineStr">
        <is>
          <t>Std/Itemized deduction</t>
        </is>
      </c>
      <c r="K16" s="100">
        <f>SUMIFS(tblMaster_Inputs[Baseline_Amount], tblMaster_Inputs[Year], 2025, tblMaster_Inputs[Primary_Line], $I16, tblMaster_Inputs[Activity_Type], "Baseline")</f>
        <v/>
      </c>
      <c r="L16" s="54" t="n"/>
      <c r="M16" s="4" t="n"/>
      <c r="N16" s="100">
        <f>SUMIFS(tblY2025_Strategies[Amount],tblY2025_Strategies[TargetLine],$I16)-SUMIFS(tblY2025_Strategies[Amount],tblY2025_Strategies[CounterLine],$I16)</f>
        <v/>
      </c>
      <c r="O16" s="100">
        <f>IF(UPPER(L16)="Y",SUMIFS(tblMaster_Inputs[Baseline_Amount],tblMaster_Inputs[Year],2024,tblMaster_Inputs[Primary_Line],"12"),IF(ISBLANK(M16),K16,M16))</f>
        <v/>
      </c>
      <c r="P16" s="100">
        <f>O16+N16</f>
        <v/>
      </c>
      <c r="Q16" s="8">
        <f>HYPERLINK("#Y2025!I49",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</row>
    <row r="17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inlineStr">
        <is>
          <t>First-year depreciation</t>
        </is>
      </c>
      <c r="G17" s="65" t="n"/>
      <c r="H17" s="65" t="inlineStr">
        <is>
          <t>STD-012</t>
        </is>
      </c>
      <c r="I17" t="inlineStr">
        <is>
          <t>13</t>
        </is>
      </c>
      <c r="J17" t="inlineStr">
        <is>
          <t>QBI deduction</t>
        </is>
      </c>
      <c r="K17" s="100">
        <f>SUMIFS(tblMaster_Inputs[Baseline_Amount], tblMaster_Inputs[Year], 2025, tblMaster_Inputs[Primary_Line], $I17, tblMaster_Inputs[Activity_Type], "Baseline")</f>
        <v/>
      </c>
      <c r="L17" s="54" t="n"/>
      <c r="M17" s="4" t="n"/>
      <c r="N17" s="100">
        <f>SUMIFS(tblY2025_Strategies[Amount],tblY2025_Strategies[TargetLine],$I17)-SUMIFS(tblY2025_Strategies[Amount],tblY2025_Strategies[CounterLine],$I17)</f>
        <v/>
      </c>
      <c r="O17" s="100">
        <f>IF(UPPER(L17)="Y",SUMIFS(tblMaster_Inputs[Baseline_Amount],tblMaster_Inputs[Year],2024,tblMaster_Inputs[Primary_Line],"13"),IF(ISBLANK(M17),K17,M17))</f>
        <v/>
      </c>
      <c r="P17" s="100">
        <f>O17+N17</f>
        <v/>
      </c>
      <c r="Q17" s="8">
        <f>HYPERLINK("#Y2025!I49",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</row>
    <row r="18">
      <c r="A18" s="65" t="inlineStr">
        <is>
          <t>STR-013</t>
        </is>
      </c>
      <c r="B18" s="65" t="inlineStr">
        <is>
          <t>R&amp;D Credit §41</t>
        </is>
      </c>
      <c r="C18" s="65" t="n">
        <v>20</v>
      </c>
      <c r="D18" s="93" t="n"/>
      <c r="E18" s="65" t="n"/>
      <c r="F18" s="65" t="inlineStr">
        <is>
          <t>Research credit</t>
        </is>
      </c>
      <c r="G18" s="65" t="n"/>
      <c r="H18" s="65" t="n"/>
      <c r="I18" t="inlineStr">
        <is>
          <t>15</t>
        </is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HYPERLINK("#Y2025!I49",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</row>
    <row r="1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inlineStr">
        <is>
          <t>State pass-through entity tax</t>
        </is>
      </c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</row>
    <row r="20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inlineStr">
        <is>
          <t>Income acceleration or deferral</t>
        </is>
      </c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</row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>
        <f>O5</f>
        <v/>
      </c>
      <c r="K22" s="3">
        <f>P5</f>
        <v/>
      </c>
      <c r="L22" s="3" t="inlineStr">
        <is>
          <t>Used by</t>
        </is>
      </c>
    </row>
    <row r="23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long-term capital gains (LT preferential rate; stacks with qualified div)</t>
        </is>
      </c>
      <c r="J23" s="100">
        <f>SUMIFS(tblMaster_Inputs[Baseline_Amount], tblMaster_Inputs[Year], 2025, tblMaster_Inputs[Treatment_Profile], "W2_SCorpOwner", tblMaster_Inputs[Activity_Type], "Baseline")</f>
        <v/>
      </c>
      <c r="K23" s="100">
        <f>J23+SUMIFS(tblY2025_Strategies[Amount],tblY2025_Strategies[TargetLine],"1z")-SUMIFS(tblY2025_Strategies[Amount],tblY2025_Strategies[CounterLine],"1z")</f>
        <v/>
      </c>
      <c r="L23" s="2" t="inlineStr">
        <is>
          <t>FICA_Employer/Employee — True Tax Burden box</t>
        </is>
      </c>
    </row>
    <row r="24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 xml:space="preserve">where I can simply go through and </t>
        </is>
      </c>
      <c r="J24" s="100">
        <f>SUMIFS(tblMaster_Inputs[Baseline_Amount], tblMaster_Inputs[Year], 2025, tblMaster_Inputs[Treatment_Profile], "W2_Employee", tblMaster_Inputs[Activity_Type], "Baseline")</f>
        <v/>
      </c>
      <c r="K24" s="100">
        <f>J24</f>
        <v/>
      </c>
      <c r="L24" s="2" t="inlineStr">
        <is>
          <t>Calc_SE_Tax (SS-base sharing) · AddlMedicareTax_FN</t>
        </is>
      </c>
    </row>
    <row r="25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 (owner + third-party)</t>
        </is>
      </c>
      <c r="J25" s="100">
        <f>J23+J24</f>
        <v/>
      </c>
      <c r="K25" s="100">
        <f>K23+K24</f>
        <v/>
      </c>
      <c r="L25" s="2" t="inlineStr">
        <is>
          <t>Calc_SE_Tax (SS-base sharing) · AddlMedicareTax_FN</t>
        </is>
      </c>
    </row>
    <row r="26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 tax (Sch C, Sch F, active K-1 PTP)</t>
        </is>
      </c>
      <c r="J26" s="100">
        <f>SUMIFS(tblMaster_Inputs[Baseline_Amount], tblMaster_Inputs[Year], 2025,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Calc_SE_Tax base · AddlMedicareTax_FN</t>
        </is>
      </c>
    </row>
    <row r="27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subject to SE (active S-Corp K-1, etc.)</t>
        </is>
      </c>
      <c r="J27" s="100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K27" s="100">
        <f>J27+SUMIFS(tblY2025_Strategies[Amount],tblY2025_Strategies[TargetLine],"8")-SUMIFS(tblY2025_Strategies[Amount],tblY2025_Strategies[CounterLine],"8")</f>
        <v/>
      </c>
      <c r="L27" s="2" t="inlineStr">
        <is>
          <t>NIIT exclusion (active) · QBI eligible</t>
        </is>
      </c>
    </row>
    <row r="28">
      <c r="A28" t="inlineStr">
        <is>
          <t>Committed Strategies</t>
        </is>
      </c>
      <c r="B28" s="97">
        <f>COUNTIF(tblY2025_Strategies[Status],"Committed")</f>
        <v/>
      </c>
      <c r="C28" s="97" t="inlineStr">
        <is>
          <t>Net Strategy Impact</t>
        </is>
      </c>
      <c r="D28" s="94">
        <f>SUMIF(tblY2025_Strategies[Status],"Committed",tblY2025_Strategies[Amount])</f>
        <v/>
      </c>
      <c r="E28" s="97" t="n"/>
      <c r="I28" t="inlineStr">
        <is>
          <t>Passive business income / loss (passive K-1s, Sch E rental)</t>
        </is>
      </c>
      <c r="J28" s="100">
        <f>SUMIFS(tblMaster_Inputs[Baseline_Amount], tblMaster_Inputs[Year], 2025,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PassiveLossAllowed_FN · NIIT inclusion</t>
        </is>
      </c>
    </row>
    <row r="29">
      <c r="I29" t="inlineStr">
        <is>
          <t>Tax-exempt interest (Line 2a; reported but not taxed)</t>
        </is>
      </c>
      <c r="J29" s="100">
        <f>SUMIFS(tblMaster_Inputs[Helper_Amount], tblMaster_Inputs[Year], 2025, tblMaster_Inputs[Helper_Treatment], "TAX_EXEMPT")</f>
        <v/>
      </c>
      <c r="K29" s="100">
        <f>J29+SUMIFS(tblY2025_Strategies[Amount],tblY2025_Strategies[TargetLine],"2a")-SUMIFS(tblY2025_Strategies[Amount],tblY2025_Strategies[CounterLine],"2a")</f>
        <v/>
      </c>
      <c r="L29" s="2" t="inlineStr">
        <is>
          <t>NIIT_FN (MAGI base)</t>
        </is>
      </c>
    </row>
    <row r="30">
      <c r="I30" t="inlineStr">
        <is>
          <t>Qualified dividends (carve-out of Line 3b; LTCG stack)</t>
        </is>
      </c>
      <c r="J30" s="100">
        <f>SUMIFS(tblMaster_Inputs[Helper_Amount], tblMaster_Inputs[Year], 2025, tblMaster_Inputs[Helper_Treatment], "QUAL_DIV", tblMaster_Inputs[Activity_Type], "Baseline")</f>
        <v/>
      </c>
      <c r="K30" s="100">
        <f>J30</f>
        <v/>
      </c>
      <c r="L30" s="2" t="inlineStr">
        <is>
          <t>Calc_CapGainsTax stacking</t>
        </is>
      </c>
    </row>
    <row r="31">
      <c r="I31" t="inlineStr">
        <is>
          <t>Long-term capital gains (LT preferential rate; stacks with qualified div)</t>
        </is>
      </c>
      <c r="J31" s="100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/>
      </c>
      <c r="K31" s="100">
        <f>J31+SUMIFS(tblY2025_Strategies[Amount],tblY2025_Strategies[TargetLine],"7")-SUMIFS(tblY2025_Strategies[Amount],tblY2025_Strategies[CounterLine],"7")</f>
        <v/>
      </c>
      <c r="L31" s="2" t="inlineStr">
        <is>
          <t>Calc_CapGainsTax</t>
        </is>
      </c>
    </row>
    <row r="32">
      <c r="I32" t="inlineStr">
        <is>
          <t>Short-term capital gains (taxed as ordinary income)</t>
        </is>
      </c>
      <c r="J32" s="100">
        <f>SUMIFS(tblMaster_Inputs[Baseline_Amount], tblMaster_Inputs[Year], 2025, tblMaster_Inputs[Treatment_Profile], "STCG_Stock", tblMaster_Inputs[Activity_Type], "Baseline")</f>
        <v/>
      </c>
      <c r="K32" s="100">
        <f>J32</f>
        <v/>
      </c>
      <c r="L32" s="2" t="inlineStr">
        <is>
          <t>Calc_OrdinaryTax (ST folded into ordinary income)</t>
        </is>
      </c>
    </row>
    <row r="33">
      <c r="I33" t="inlineStr">
        <is>
          <t>§1250 unrecaptured gain (sub-carve of CG_LT; capped at 25% rate)</t>
        </is>
      </c>
      <c r="J33" s="100">
        <f>SUMIFS(tblMaster_Inputs[Helper_Amount], tblMaster_Inputs[Year], 2025, tblMaster_Inputs[Helper_Treatment], "SEC1250", tblMaster_Inputs[Activity_Type], "Baseline")</f>
        <v/>
      </c>
      <c r="K33" s="100">
        <f>J33</f>
        <v/>
      </c>
      <c r="L33" s="2" t="inlineStr">
        <is>
          <t>Calc_1250Tax</t>
        </is>
      </c>
    </row>
    <row r="36">
      <c r="I36" s="3" t="inlineStr">
        <is>
          <t>Description</t>
        </is>
      </c>
      <c r="J36" s="3" t="inlineStr">
        <is>
          <t>Formula / Value</t>
        </is>
      </c>
      <c r="K36" s="3" t="inlineStr">
        <is>
          <t>Effective</t>
        </is>
      </c>
      <c r="L36" s="3" t="inlineStr">
        <is>
          <t>Used by LAMBDA</t>
        </is>
      </c>
    </row>
    <row r="37">
      <c r="I37" t="inlineStr">
        <is>
          <t>Ordinary income (TaxableIncome - CG_LT - QUAL_DIV - SEC1250)</t>
        </is>
      </c>
      <c r="J37" s="100">
        <f>K18-J31-J30-J33</f>
        <v/>
      </c>
      <c r="K37" s="100">
        <f>P18-K31-K30-K33</f>
        <v/>
      </c>
      <c r="L37" s="2" t="inlineStr">
        <is>
          <t>Calc_CapGainsTax stacking base · Calc_OrdinaryTax (after carve-outs)</t>
        </is>
      </c>
    </row>
    <row r="38">
      <c r="I38" t="inlineStr">
        <is>
          <t>Modified AGI = AGI + tax-exempt interest</t>
        </is>
      </c>
      <c r="J38" s="100">
        <f>K15+J29</f>
        <v/>
      </c>
      <c r="K38" s="100">
        <f>P15+K29</f>
        <v/>
      </c>
      <c r="L38" s="2" t="inlineStr">
        <is>
          <t>Calc_NIIT · PassiveLossAllowed_FN</t>
        </is>
      </c>
    </row>
    <row r="39">
      <c r="I39" t="inlineStr">
        <is>
          <t>Net Investment Income = taxable int + div + cap gain + passive</t>
        </is>
      </c>
      <c r="J39" s="100">
        <f>K8+K10+K11+J28</f>
        <v/>
      </c>
      <c r="K39" s="100">
        <f>P8+P10+P11+K28</f>
        <v/>
      </c>
      <c r="L39" s="2" t="inlineStr">
        <is>
          <t>Calc_NIIT</t>
        </is>
      </c>
    </row>
    <row r="40">
      <c r="I40" t="inlineStr">
        <is>
          <t>QBI-eligible business income (active business)</t>
        </is>
      </c>
      <c r="J40" s="100">
        <f>J26+J27</f>
        <v/>
      </c>
      <c r="K40" s="100">
        <f>K26+K27</f>
        <v/>
      </c>
      <c r="L40" s="2" t="inlineStr">
        <is>
          <t>Calc_QBI_Simple · QBI_FN</t>
        </is>
      </c>
    </row>
    <row r="41">
      <c r="I41" t="inlineStr">
        <is>
          <t>Taxable Income BEFORE QBI deduction (= AGI - StdItemDed)</t>
        </is>
      </c>
      <c r="J41" s="100">
        <f>K15+K16</f>
        <v/>
      </c>
      <c r="K41" s="100">
        <f>P15+P16</f>
        <v/>
      </c>
      <c r="L41" s="2" t="inlineStr">
        <is>
          <t>Calc_QBI_Simple (cap reference)</t>
        </is>
      </c>
    </row>
    <row r="42">
      <c r="I42" t="inlineStr">
        <is>
          <t>Net business loss (only when negative; for EBL limit)</t>
        </is>
      </c>
      <c r="J42" s="100">
        <f>MIN(0,J26+J27+J28)</f>
        <v/>
      </c>
      <c r="K42" s="100">
        <f>MIN(0,K26+K27+K28)</f>
        <v/>
      </c>
      <c r="L42" s="2" t="inlineStr">
        <is>
          <t>ExcessBusinessLossLimit_FN</t>
        </is>
      </c>
    </row>
    <row r="43">
      <c r="I43" t="inlineStr">
        <is>
          <t>Net SE income (alias of BI_SE_SUBJECT for LAMBDA clarity)</t>
        </is>
      </c>
      <c r="J43" s="100">
        <f>J26</f>
        <v/>
      </c>
      <c r="K43" s="100">
        <f>K26</f>
        <v/>
      </c>
      <c r="L43" s="2" t="inlineStr">
        <is>
          <t>Calc_SE_Tax · AddlMedicareTax_FN · SETax_FN</t>
        </is>
      </c>
    </row>
    <row r="44">
      <c r="I44" t="inlineStr">
        <is>
          <t>Unadjusted Basis Immediately After Acquisition (QBI W-2/UBIA test)</t>
        </is>
      </c>
      <c r="J44" s="55" t="n">
        <v>0</v>
      </c>
      <c r="K44" s="55">
        <f>J44</f>
        <v/>
      </c>
      <c r="L44" s="2" t="inlineStr">
        <is>
          <t>QBI_FN</t>
        </is>
      </c>
    </row>
    <row r="45">
      <c r="I45" t="inlineStr">
        <is>
          <t>Is Specified Service Trade or Business? (TRUE/FALSE)</t>
        </is>
      </c>
      <c r="J45" s="69">
        <f>IF(Control_Panel!C21="Yes",TRUE,FALSE)</f>
        <v/>
      </c>
      <c r="K45" s="4">
        <f>J45</f>
        <v/>
      </c>
      <c r="L45" s="2" t="inlineStr">
        <is>
          <t>QBI_FN</t>
        </is>
      </c>
    </row>
    <row r="46">
      <c r="I46" t="inlineStr">
        <is>
          <t>NOL carryforward available (from prior-year Carryovers; populate manually for now)</t>
        </is>
      </c>
      <c r="J46" s="69">
        <f>Carryovers!F52</f>
        <v/>
      </c>
      <c r="K46" s="55">
        <f>J46</f>
        <v/>
      </c>
      <c r="L46" s="2" t="inlineStr">
        <is>
          <t>NOLDeductionAllowed_FN</t>
        </is>
      </c>
    </row>
    <row r="49">
      <c r="I49" s="9" t="inlineStr">
        <is>
          <t>1z</t>
        </is>
      </c>
      <c r="L49" s="8">
        <f>HYPERLINK("#Master_Inputs!A1", "✏ open Master_Inputs to edit")</f>
        <v/>
      </c>
    </row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  <c r="M65" s="50" t="n"/>
      <c r="N65" s="50" t="n"/>
      <c r="O65" s="50" t="n"/>
      <c r="P65" s="49" t="n"/>
    </row>
    <row r="66">
      <c r="I66" t="inlineStr">
        <is>
          <t>Dual columns: Baseline (H) vs With Planning (I)</t>
        </is>
      </c>
    </row>
    <row r="68">
      <c r="I68" s="80" t="inlineStr">
        <is>
          <t>1. SELF-EMPLOYMENT TAX</t>
        </is>
      </c>
      <c r="J68" s="35" t="n"/>
      <c r="K68" s="35" t="n"/>
      <c r="L68" s="35" t="n"/>
    </row>
    <row r="69">
      <c r="I69" t="inlineStr">
        <is>
          <t>SE Tax Label</t>
        </is>
      </c>
      <c r="J69" s="100" t="n"/>
      <c r="K69" s="100" t="n"/>
      <c r="L69" s="100" t="n"/>
    </row>
    <row r="70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>
      <c r="I71" t="inlineStr">
        <is>
          <t>SE Base (× 0.9235)</t>
        </is>
      </c>
      <c r="J71" s="19">
        <f>J70*SUMIFS(tblThresholds[Value], tblThresholds[Year], 2025, tblThresholds[FilingStatus], Filing_Status, tblThresholds[Item], "SE_Earnings_Factor")</f>
        <v/>
      </c>
      <c r="K71" s="19">
        <f>K70*SUMIFS(tblThresholds[Value], tblThresholds[Year], 2025, tblThresholds[FilingStatus], Filing_Status, tblThresholds[Item], "SE_Earnings_Factor")</f>
        <v/>
      </c>
      <c r="L71" s="19" t="n"/>
    </row>
    <row r="72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>
      <c r="I73" t="inlineStr">
        <is>
          <t>Remaining SS Wage Base</t>
        </is>
      </c>
      <c r="J73" s="100">
        <f>MAX(0,SUMIFS(tblThresholds[Value], tblThresholds[Year], 2025, tblThresholds[FilingStatus], Filing_Status, tblThresholds[Item], "SS_Wage_Base")-J72)</f>
        <v/>
      </c>
      <c r="K73" s="100">
        <f>MAX(0,SUMIFS(tblThresholds[Value], tblThresholds[Year], 2025, tblThresholds[FilingStatus], Filing_Status, tblThresholds[Item], "SS_Wage_Base")-K72)</f>
        <v/>
      </c>
      <c r="L73" s="100" t="n"/>
    </row>
    <row r="74">
      <c r="J74" s="38">
        <f>MIN(J71,J73)</f>
        <v/>
      </c>
      <c r="K74" s="38">
        <f>MIN(K71,K73)</f>
        <v/>
      </c>
      <c r="L74" s="38" t="n"/>
    </row>
    <row r="75">
      <c r="I75" t="inlineStr">
        <is>
          <t>Social Security Tax (12.4%)</t>
        </is>
      </c>
      <c r="J75" s="100">
        <f>J74*SUMIFS(tblThresholds[Value], tblThresholds[Year], 2025, tblThresholds[FilingStatus], Filing_Status, tblThresholds[Item], "SS_Rate_Combined")</f>
        <v/>
      </c>
      <c r="K75" s="100">
        <f>K74*SUMIFS(tblThresholds[Value], tblThresholds[Year], 2025,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2025, tblThresholds[FilingStatus], Filing_Status, tblThresholds[Item], "Medicare_Rate_Combined")</f>
        <v/>
      </c>
      <c r="K76" s="51">
        <f>K71*SUMIFS(tblThresholds[Value], tblThresholds[Year], 2025, tblThresholds[FilingStatus], Filing_Status, tblThresholds[Item], "Medicare_Rate_Combined")</f>
        <v/>
      </c>
      <c r="L76" s="51" t="n"/>
    </row>
    <row r="77">
      <c r="I77" t="inlineStr">
        <is>
          <t>Addl Medicare (0.9% &gt; threshold)</t>
        </is>
      </c>
      <c r="J77" s="100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77" s="100">
        <f>MAX(0,(K72+K71-SUMIFS(tblThresholds[Value],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77" s="100" t="n"/>
    </row>
    <row r="78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>
      <c r="J81" s="100" t="n"/>
      <c r="K81" s="100" t="n"/>
      <c r="L81" s="100" t="n"/>
    </row>
    <row r="82">
      <c r="I82" s="80" t="inlineStr">
        <is>
          <t>2. PAYROLL TAX</t>
        </is>
      </c>
      <c r="J82" s="100" t="n"/>
      <c r="K82" s="100" t="n"/>
      <c r="L82" s="100" t="n"/>
    </row>
    <row r="83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>
      <c r="I84" t="inlineStr">
        <is>
          <t>Social Security (6.2%)</t>
        </is>
      </c>
      <c r="J84" s="100">
        <f>MIN(J83,SUMIFS(tblThresholds[Value], tblThresholds[Year], 2025, tblThresholds[FilingStatus], Filing_Status, tblThresholds[Item], "SS_Wage_Base"))*0.062</f>
        <v/>
      </c>
      <c r="K84" s="100">
        <f>MIN(K83,SUMIFS(tblThresholds[Value], tblThresholds[Year], 2025, tblThresholds[FilingStatus], Filing_Status, tblThresholds[Item], "SS_Wage_Base"))*0.062</f>
        <v/>
      </c>
      <c r="L84" s="100" t="n"/>
    </row>
    <row r="85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>
      <c r="I86" t="inlineStr">
        <is>
          <t>Addl Medicare (0.9% &gt; threshold)</t>
        </is>
      </c>
      <c r="J86" s="100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86" s="100">
        <f>MAX(0,(K83-SUMIFS(tblThresholds[Value],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86" s="100" t="n"/>
    </row>
    <row r="87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>
      <c r="I90" s="13" t="n"/>
      <c r="J90" s="19" t="n"/>
      <c r="K90" s="19" t="n"/>
      <c r="L90" s="19" t="n"/>
    </row>
    <row r="91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>
      <c r="J92" s="100" t="n"/>
      <c r="K92" s="100" t="n"/>
      <c r="L92" s="100" t="n"/>
    </row>
    <row r="93">
      <c r="I93" s="80" t="inlineStr">
        <is>
          <t>3. ORDINARY INCOME TAX</t>
        </is>
      </c>
      <c r="J93" s="100" t="n"/>
      <c r="K93" s="100" t="n"/>
      <c r="L93" s="100" t="n"/>
    </row>
    <row r="94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>
      <c r="I96" t="inlineStr">
        <is>
          <t>Tax (SUMPRODUCT bracket lookup)</t>
        </is>
      </c>
      <c r="J96" s="100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2025)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>
      <c r="J98" s="100" t="n"/>
      <c r="K98" s="100" t="n"/>
      <c r="L98" s="100" t="n"/>
    </row>
    <row r="99">
      <c r="I99" s="80" t="inlineStr">
        <is>
          <t>4. CAPITAL GAINS / QUALIFIED DIVIDENDS TAX</t>
        </is>
      </c>
      <c r="J99" s="100" t="n"/>
      <c r="K99" s="100" t="n"/>
      <c r="L99" s="100" t="n"/>
    </row>
    <row r="100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>
      <c r="I103" t="inlineStr">
        <is>
          <t>Full CG Rate Tax (SUMPRODUCT stack)</t>
        </is>
      </c>
      <c r="J103" s="100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2025)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>
      <c r="I104" t="inlineStr">
        <is>
          <t>CG Rate Tax on Ordinary only</t>
        </is>
      </c>
      <c r="J104" s="100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SUMPRODUCT((Tax_Ref!$B$210:$B$281=2025)*(Tax_Ref!$C$210:$C$281=Filing_Status)*((K102&gt;Tax_Ref!$E$210:$E$281)*(Tax_Ref!$E$210:$E$281-Tax_Ref!$D$210:$D$281)+(K102&gt;Tax_Ref!$D$210:$D$281)*(K102&lt;=Tax_Ref!$E$210:$E$281)*(K102-Tax_Ref!$D$210:$D$281))*Tax_Ref!$F$210:$F$281)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>
      <c r="J106" s="100">
        <f>J33*0.25</f>
        <v/>
      </c>
      <c r="K106" s="100">
        <f>K33*0.25</f>
        <v/>
      </c>
      <c r="L106" s="100" t="n"/>
    </row>
    <row r="107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>
      <c r="J108" s="100" t="n"/>
      <c r="K108" s="100" t="n"/>
      <c r="L108" s="100" t="n"/>
    </row>
    <row r="109">
      <c r="I109" s="80" t="inlineStr">
        <is>
          <t>5. NET INVESTMENT INCOME TAX (NIIT)</t>
        </is>
      </c>
      <c r="J109" s="100" t="n"/>
      <c r="K109" s="100" t="n"/>
      <c r="L109" s="100" t="n"/>
    </row>
    <row r="110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>
      <c r="I111" t="inlineStr">
        <is>
          <t>NIIT Threshold</t>
        </is>
      </c>
      <c r="J111" s="100">
        <f>SUMIFS(tblThresholds[Value], tblThresholds[Year], 2025, tblThresholds[FilingStatus], Filing_Status, tblThresholds[Item], "NIIT_Threshold")</f>
        <v/>
      </c>
      <c r="K111" s="100">
        <f>SUMIFS(tblThresholds[Value], tblThresholds[Year], 2025, tblThresholds[FilingStatus], Filing_Status, tblThresholds[Item], "NIIT_Threshold")</f>
        <v/>
      </c>
      <c r="L111" s="100" t="n"/>
    </row>
    <row r="112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>
      <c r="I114" s="13" t="inlineStr">
        <is>
          <t>NIIT (3.8%)</t>
        </is>
      </c>
      <c r="J114" s="19">
        <f>MIN(J112,J113)*SUMIFS(tblThresholds[Value], tblThresholds[Year], 2025, tblThresholds[FilingStatus], Filing_Status, tblThresholds[Item], "NIIT_Rate")</f>
        <v/>
      </c>
      <c r="K114" s="19">
        <f>MIN(K112,K113)*SUMIFS(tblThresholds[Value], tblThresholds[Year], 2025, tblThresholds[FilingStatus], Filing_Status, tblThresholds[Item], "NIIT_Rate")</f>
        <v/>
      </c>
      <c r="L114" s="19">
        <f>J114-K114</f>
        <v/>
      </c>
    </row>
    <row r="115">
      <c r="J115" s="100" t="n"/>
      <c r="K115" s="100" t="n"/>
      <c r="L115" s="100" t="n"/>
    </row>
    <row r="116">
      <c r="I116" s="80" t="inlineStr">
        <is>
          <t>6. QBI DEDUCTION (§199A)</t>
        </is>
      </c>
      <c r="J116" s="100" t="n"/>
      <c r="K116" s="100" t="n"/>
      <c r="L116" s="100" t="n"/>
    </row>
    <row r="117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>
      <c r="I121" t="inlineStr">
        <is>
          <t>Phase-in applies?</t>
        </is>
      </c>
      <c r="J121" s="100">
        <f>IF(J41&gt;SUMIFS(tblThresholds[Value], tblThresholds[Year], 2025, tblThresholds[FilingStatus], Filing_Status, tblThresholds[Item], "QBI_Threshold_Start"),"YES","NO")</f>
        <v/>
      </c>
      <c r="K121" s="100">
        <f>IF(K41&gt;SUMIFS(tblThresholds[Value], tblThresholds[Year], 2025, tblThresholds[FilingStatus], Filing_Status, tblThresholds[Item], "QBI_Threshold_Start"),"YES","NO")</f>
        <v/>
      </c>
      <c r="L121" s="100" t="n"/>
    </row>
    <row r="122">
      <c r="I122" s="13" t="inlineStr">
        <is>
          <t>QBI DEDUCTION</t>
        </is>
      </c>
      <c r="J122" s="19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/>
      </c>
      <c r="K122" s="19">
        <f>IF(AND(K45=TRUE,K41&gt;SUMIFS(tblThresholds[Value], tblThresholds[Year], 2025, tblThresholds[FilingStatus], Filing_Status, tblThresholds[Item], "QBI_Threshold_End")),0,IF(K41&lt;=SUMIFS(tblThresholds[Value], tblThresholds[Year], 2025, tblThresholds[FilingStatus], Filing_Status, tblThresholds[Item], "QBI_Threshold_Start"),MIN(K118,K119),MIN(K118,K119,K120)))</f>
        <v/>
      </c>
      <c r="L122" s="19">
        <f>K122-J122</f>
        <v/>
      </c>
    </row>
    <row r="123">
      <c r="J123" s="100" t="n"/>
      <c r="K123" s="100" t="n"/>
      <c r="L123" s="100" t="n"/>
    </row>
    <row r="124">
      <c r="I124" s="80" t="inlineStr">
        <is>
          <t>7. COMBINED TAX SUMMARY</t>
        </is>
      </c>
      <c r="J124" s="100" t="n"/>
      <c r="K124" s="100" t="n"/>
      <c r="L124" s="100" t="n"/>
    </row>
    <row r="125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>
      <c r="J132" s="100" t="n"/>
      <c r="K132" s="100" t="n"/>
      <c r="L132" s="100" t="n"/>
    </row>
    <row r="133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>
      <c r="I134" t="inlineStr">
        <is>
          <t>Effective Rate (vs Total Income)</t>
        </is>
      </c>
      <c r="J134" s="23">
        <f>IFERROR(J133/J125,0)</f>
        <v/>
      </c>
      <c r="K134" s="23">
        <f>IFERROR(K133/K125,0)</f>
        <v/>
      </c>
      <c r="L134" s="23">
        <f>J134-K134</f>
        <v/>
      </c>
    </row>
    <row r="135">
      <c r="J135" s="100" t="n"/>
      <c r="K135" s="100" t="n"/>
      <c r="L135" s="100" t="n"/>
    </row>
    <row r="136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Y2025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2025)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5">
    <dataValidation sqref="C11:C204" showDropDown="0" showInputMessage="0" showErrorMessage="0" allowBlank="1" type="list">
      <formula1>TaxLines</formula1>
    </dataValidation>
    <dataValidation sqref="E11:E204" showDropDown="0" showInputMessage="0" showErrorMessage="0" allowBlank="1" type="list">
      <formula1>Status</formula1>
    </dataValidation>
    <dataValidation sqref="I49" showDropDown="0" showInputMessage="0" showErrorMessage="0" allowBlank="0" type="list">
      <formula1>"1z,2a,2b,3a,3b,7,8,9,10,11,12,13,15"</formula1>
    </dataValidation>
    <dataValidation sqref="L6:L18" showDropDown="0" showInputMessage="1" showErrorMessage="1" allowBlank="1" promptTitle="Prior Year?" prompt="Select Y to use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V185"/>
  <sheetViews>
    <sheetView topLeftCell="B29"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</cols>
  <sheetData>
    <row r="1" ht="18.5" customHeight="1" s="99">
      <c r="A1" s="17" t="inlineStr">
        <is>
          <t>Y2026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SUMIFS(tblMaster_Inputs[Baseline_Amount],tblMaster_Inputs[Year],2026,tblMaster_Inputs[Primary_Line],$I6, tblMaster_Inputs[Activity_Type], "Baseline")</f>
        <v/>
      </c>
      <c r="L6" s="54" t="n"/>
      <c r="M6" s="4" t="n"/>
      <c r="N6" s="100">
        <f>SUMIFS(tblY2026_Strategies[Amount],tblY2026_Strategies[TargetLine],$I6)-SUMIFS(tblY2026_Strategies[Amount],tblY2026_Strategies[CounterLine],$I6)</f>
        <v/>
      </c>
      <c r="O6" s="100">
        <f>IF(UPPER(L6)="Y",SUMIFS(tblMaster_Inputs[Baseline_Amount],tblMaster_Inputs[Year],2025,tblMaster_Inputs[Primary_Line],"1z"),IF(ISBLANK(M6),K6,M6))</f>
        <v/>
      </c>
      <c r="P6" s="100">
        <f>O6+N6</f>
        <v/>
      </c>
      <c r="Q6" s="8">
        <f>HYPERLINK("#Y2026!I49","↗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SUMIFS(tblMaster_Inputs[Helper_Amount],tblMaster_Inputs[Year],2026,tblMaster_Inputs[Helper_Treatment],"TAX_EXEMPT")</f>
        <v/>
      </c>
      <c r="L7" s="54" t="n"/>
      <c r="M7" s="4" t="n"/>
      <c r="N7">
        <f>SUMIFS(tblY2026_Strategies[Amount],tblY2026_Strategies[TargetLine],"2a",tblY2026_Strategies[Status],"Committed")</f>
        <v/>
      </c>
      <c r="O7" s="100">
        <f>IF(UPPER(L7)="Y",SUMIFS(tblMaster_Inputs[Helper_Amount],tblMaster_Inputs[Year],2025,tblMaster_Inputs[Helper_Treatment],"TAX_EXEMPT"),IF(ISBLANK(M7),K7,M7))</f>
        <v/>
      </c>
      <c r="P7" s="100">
        <f>O7</f>
        <v/>
      </c>
      <c r="Q7" s="8">
        <f>HYPERLINK("#Y2026!I49","↗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SUMIFS(tblMaster_Inputs[Baseline_Amount],tblMaster_Inputs[Year],2026,tblMaster_Inputs[Primary_Line],$I8, tblMaster_Inputs[Activity_Type], "Baseline")</f>
        <v/>
      </c>
      <c r="L8" s="54" t="n"/>
      <c r="M8" s="4" t="n"/>
      <c r="N8" s="100">
        <f>SUMIFS(tblY2026_Strategies[Amount],tblY2026_Strategies[TargetLine],$I8)-SUMIFS(tblY2026_Strategies[Amount],tblY2026_Strategies[CounterLine],$I8)</f>
        <v/>
      </c>
      <c r="O8" s="100">
        <f>IF(UPPER(L8)="Y",SUMIFS(tblMaster_Inputs[Baseline_Amount],tblMaster_Inputs[Year],2025,tblMaster_Inputs[Primary_Line],"2b"),IF(ISBLANK(M8),K8,M8))</f>
        <v/>
      </c>
      <c r="P8" s="100">
        <f>O8+N8</f>
        <v/>
      </c>
      <c r="Q8" s="8">
        <f>HYPERLINK("#Y2026!I49","↗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SUMIFS(tblMaster_Inputs[Helper_Amount],tblMaster_Inputs[Year],2026,tblMaster_Inputs[Helper_Treatment],"QUAL_DIV")</f>
        <v/>
      </c>
      <c r="L9" s="54" t="n"/>
      <c r="M9" s="4" t="n"/>
      <c r="N9">
        <f>SUMIFS(tblY2026_Strategies[Amount],tblY2026_Strategies[TargetLine],"3a",tblY2026_Strategies[Status],"Committed")</f>
        <v/>
      </c>
      <c r="O9" s="100">
        <f>IF(UPPER(L9)="Y",SUMIFS(tblMaster_Inputs[Helper_Amount],tblMaster_Inputs[Year],2025,tblMaster_Inputs[Helper_Treatment],"QUAL_DIV"),IF(ISBLANK(M9),K9,M9))</f>
        <v/>
      </c>
      <c r="P9" s="100">
        <f>O9</f>
        <v/>
      </c>
      <c r="Q9" s="8">
        <f>HYPERLINK("#Y2026!I49","↗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SUMIFS(tblMaster_Inputs[Baseline_Amount],tblMaster_Inputs[Year],2026,tblMaster_Inputs[Primary_Line],$I10, tblMaster_Inputs[Activity_Type], "Baseline")</f>
        <v/>
      </c>
      <c r="L10" s="54" t="n"/>
      <c r="M10" s="4" t="n"/>
      <c r="N10" s="100">
        <f>SUMIFS(tblY2026_Strategies[Amount],tblY2026_Strategies[TargetLine],$I10)-SUMIFS(tblY2026_Strategies[Amount],tblY2026_Strategies[CounterLine],$I10)</f>
        <v/>
      </c>
      <c r="O10" s="100">
        <f>IF(UPPER(L10)="Y",SUMIFS(tblMaster_Inputs[Baseline_Amount],tblMaster_Inputs[Year],2025,tblMaster_Inputs[Primary_Line],"3b"),IF(ISBLANK(M10),K10,M10))</f>
        <v/>
      </c>
      <c r="P10" s="100">
        <f>O10+N10</f>
        <v/>
      </c>
      <c r="Q10" s="8">
        <f>HYPERLINK("#Y2026!I49","↗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SUMIFS(tblMaster_Inputs[Baseline_Amount],tblMaster_Inputs[Year],2026,tblMaster_Inputs[Primary_Line],$I11, tblMaster_Inputs[Activity_Type], "Baseline")</f>
        <v/>
      </c>
      <c r="L11" s="54" t="n"/>
      <c r="M11" s="4" t="n"/>
      <c r="N11" s="100">
        <f>SUMIFS(tblY2026_Strategies[Amount],tblY2026_Strategies[TargetLine],$I11)-SUMIFS(tblY2026_Strategies[Amount],tblY2026_Strategies[CounterLine],$I11)</f>
        <v/>
      </c>
      <c r="O11" s="100">
        <f>IF(UPPER(L11)="Y",SUMIFS(tblMaster_Inputs[Baseline_Amount],tblMaster_Inputs[Year],2025,tblMaster_Inputs[Primary_Line],"7"),IF(ISBLANK(M11),K11,M11))</f>
        <v/>
      </c>
      <c r="P11" s="100">
        <f>O11+N11</f>
        <v/>
      </c>
      <c r="Q11" s="8">
        <f>HYPERLINK("#Y2026!I49","↗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SUMIFS(tblMaster_Inputs[Baseline_Amount],tblMaster_Inputs[Year],2026,tblMaster_Inputs[Primary_Line],$I12, tblMaster_Inputs[Activity_Type], "Baseline")</f>
        <v/>
      </c>
      <c r="L12" s="54" t="n"/>
      <c r="M12" s="4" t="n"/>
      <c r="N12" s="100">
        <f>SUMIFS(tblY2026_Strategies[Amount],tblY2026_Strategies[TargetLine],$I12)-SUMIFS(tblY2026_Strategies[Amount],tblY2026_Strategies[CounterLine],$I12)</f>
        <v/>
      </c>
      <c r="O12" s="100">
        <f>IF(UPPER(L12)="Y",SUMIFS(tblMaster_Inputs[Baseline_Amount],tblMaster_Inputs[Year],2025,tblMaster_Inputs[Primary_Line],"8"),IF(ISBLANK(M12),K12,M12))</f>
        <v/>
      </c>
      <c r="P12" s="100">
        <f>O12+N12</f>
        <v/>
      </c>
      <c r="Q12" s="8">
        <f>HYPERLINK("#Y2026!I49","↗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HYPERLINK("#Y2026!I49","↗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SUMIFS(tblMaster_Inputs[Baseline_Amount],tblMaster_Inputs[Year],2026,tblMaster_Inputs[Primary_Line],$I14, tblMaster_Inputs[Activity_Type], "Baseline")</f>
        <v/>
      </c>
      <c r="L14" s="54" t="n"/>
      <c r="M14" s="4" t="n"/>
      <c r="N14" s="100">
        <f>SUMIFS(tblY2026_Strategies[Amount],tblY2026_Strategies[TargetLine],$I14)-SUMIFS(tblY2026_Strategies[Amount],tblY2026_Strategies[CounterLine],$I14)</f>
        <v/>
      </c>
      <c r="O14" s="100">
        <f>IF(UPPER(L14)="Y",SUMIFS(tblMaster_Inputs[Baseline_Amount],tblMaster_Inputs[Year],2025,tblMaster_Inputs[Primary_Line],"10"),IF(ISBLANK(M14),K14,M14))</f>
        <v/>
      </c>
      <c r="P14" s="100">
        <f>O14+N14</f>
        <v/>
      </c>
      <c r="Q14" s="8">
        <f>HYPERLINK("#Y2026!I49","↗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HYPERLINK("#Y2026!I49","↗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SUMIFS(tblMaster_Inputs[Baseline_Amount],tblMaster_Inputs[Year],2026,tblMaster_Inputs[Primary_Line],$I16, tblMaster_Inputs[Activity_Type], "Baseline")</f>
        <v/>
      </c>
      <c r="L16" s="54" t="n"/>
      <c r="M16" s="4" t="n"/>
      <c r="N16" s="100">
        <f>SUMIFS(tblY2026_Strategies[Amount],tblY2026_Strategies[TargetLine],$I16)-SUMIFS(tblY2026_Strategies[Amount],tblY2026_Strategies[CounterLine],$I16)</f>
        <v/>
      </c>
      <c r="O16" s="100">
        <f>IF(UPPER(L16)="Y",SUMIFS(tblMaster_Inputs[Baseline_Amount],tblMaster_Inputs[Year],2025,tblMaster_Inputs[Primary_Line],"12"),IF(ISBLANK(M16),K16,M16))</f>
        <v/>
      </c>
      <c r="P16" s="100">
        <f>O16+N16</f>
        <v/>
      </c>
      <c r="Q16" s="8">
        <f>HYPERLINK("#Y2026!I49","↗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SUMIFS(tblMaster_Inputs[Baseline_Amount],tblMaster_Inputs[Year],2026,tblMaster_Inputs[Primary_Line],$I17, tblMaster_Inputs[Activity_Type], "Baseline")</f>
        <v/>
      </c>
      <c r="L17" s="54" t="n"/>
      <c r="M17" s="4" t="n"/>
      <c r="N17" s="100">
        <f>SUMIFS(tblY2026_Strategies[Amount],tblY2026_Strategies[TargetLine],$I17)-SUMIFS(tblY2026_Strategies[Amount],tblY2026_Strategies[CounterLine],$I17)</f>
        <v/>
      </c>
      <c r="O17" s="100">
        <f>IF(UPPER(L17)="Y",SUMIFS(tblMaster_Inputs[Baseline_Amount],tblMaster_Inputs[Year],2025,tblMaster_Inputs[Primary_Line],"13"),IF(ISBLANK(M17),K17,M17))</f>
        <v/>
      </c>
      <c r="P17" s="100">
        <f>O17+N17</f>
        <v/>
      </c>
      <c r="Q17" s="8">
        <f>HYPERLINK("#Y2026!I49","↗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HYPERLINK("#Y2026!I49","↗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SUMIFS(tblMaster_Inputs[Baseline_Amount],tblMaster_Inputs[Year],2026,tblMaster_Inputs[Treatment_Profile],"W2_SCorpOwner", tblMaster_Inputs[Activity_Type], "Baseline")</f>
        <v/>
      </c>
      <c r="K23" s="100">
        <f>J23+SUMIFS(tblY2026_Strategies[Amount],tblY2026_Strategies[TargetLine],"1z")-SUMIFS(tblY2026_Strategies[Amount],tblY2026_Strategies[CounterLine],"1z")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SUMIFS(tblMaster_Inputs[Baseline_Amount],tblMaster_Inputs[Year],2026,tblMaster_Inputs[Treatment_Profile],"W2_Employee",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SUMIFS(tblMaster_Inputs[Baseline_Amount],tblMaster_Inputs[Year],2026,tblMaster_Inputs[Bucket],"Business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SUMIFS(tblMaster_Inputs[Baseline_Amount],tblMaster_Inputs[Year],2026,tblMaster_Inputs[Bucket],"Business Income",tblMaster_Inputs[SE_Subject],"No",tblMaster_Inputs[NIIT_Class],"Active", tblMaster_Inputs[Activity_Type], "Baseline")</f>
        <v/>
      </c>
      <c r="K27" s="100">
        <f>J27+SUMIFS(tblY2026_Strategies[Amount],tblY2026_Strategies[TargetLine],"8")-SUMIFS(tblY2026_Strategies[Amount],tblY2026_Strategies[CounterLine],"8")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COUNTIF(tblY2026_Strategies[Status],"Committed")</f>
        <v/>
      </c>
      <c r="C28" s="97" t="inlineStr">
        <is>
          <t>Net Strategy Impact</t>
        </is>
      </c>
      <c r="D28" s="94">
        <f>SUMIF(tblY2026_Strategies[Status],"Committed",tblY2026_Strategies[Amount])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SUMIFS(tblMaster_Inputs[Baseline_Amount],tblMaster_Inputs[Year],2026,tblMaster_Inputs[Bucket],"Business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SUMIFS(tblMaster_Inputs[Helper_Amount],tblMaster_Inputs[Year],2026,tblMaster_Inputs[Helper_Treatment],"TAX_EXEMPT")</f>
        <v/>
      </c>
      <c r="K29" s="100">
        <f>J29+SUMIFS(tblY2026_Strategies[Amount],tblY2026_Strategies[TargetLine],"2a")-SUMIFS(tblY2026_Strategies[Amount],tblY2026_Strategies[CounterLine],"2a")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SUMIFS(tblMaster_Inputs[Helper_Amount],tblMaster_Inputs[Year],2026,tblMaster_Inputs[Helper_Treatment],"QUAL_DIV",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/>
      </c>
      <c r="K31" s="100">
        <f>J31+SUMIFS(tblY2026_Strategies[Amount],tblY2026_Strategies[TargetLine],"7")-SUMIFS(tblY2026_Strategies[Amount],tblY2026_Strategies[CounterLine],"7")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SUMIFS(tblMaster_Inputs[Baseline_Amount],tblMaster_Inputs[Year],2026,tblMaster_Inputs[Treatment_Profile],"STCG_Stock",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SUMIFS(tblMaster_Inputs[Helper_Amount],tblMaster_Inputs[Year],2026,tblMaster_Inputs[Helper_Treatment],"SEC1250",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2026, tblThresholds[FilingStatus], Filing_Status, tblThresholds[Item], "SE_Earnings_Factor")</f>
        <v/>
      </c>
      <c r="K71" s="19">
        <f>K70*SUMIFS(tblThresholds[Value], tblThresholds[Year], 2026,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2026, tblThresholds[FilingStatus], Filing_Status, tblThresholds[Item], "SS_Wage_Base")-J72)</f>
        <v/>
      </c>
      <c r="K73" s="100">
        <f>MAX(0,SUMIFS(tblThresholds[Value], tblThresholds[Year], 2026,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2026, tblThresholds[FilingStatus], Filing_Status, tblThresholds[Item], "SS_Rate_Combined")</f>
        <v/>
      </c>
      <c r="K75" s="100">
        <f>K74*SUMIFS(tblThresholds[Value], tblThresholds[Year], 2026,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2026, tblThresholds[FilingStatus], Filing_Status, tblThresholds[Item], "Medicare_Rate_Combined")</f>
        <v/>
      </c>
      <c r="K76" s="51">
        <f>K71*SUMIFS(tblThresholds[Value], tblThresholds[Year], 2026,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77" s="100">
        <f>MAX(0,(K72+K71-SUMIFS(tblThresholds[Value],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2026, tblThresholds[FilingStatus], Filing_Status, tblThresholds[Item], "SS_Wage_Base"))*0.062</f>
        <v/>
      </c>
      <c r="K84" s="100">
        <f>MIN(K83,SUMIFS(tblThresholds[Value], tblThresholds[Year], 2026,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86" s="100">
        <f>MAX(0,(K83-SUMIFS(tblThresholds[Value],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2026)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2026)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SUMPRODUCT((Tax_Ref!$B$210:$B$281=2026)*(Tax_Ref!$C$210:$C$281=Filing_Status)*((K102&gt;Tax_Ref!$E$210:$E$281)*(Tax_Ref!$E$210:$E$281-Tax_Ref!$D$210:$D$281)+(K102&gt;Tax_Ref!$D$210:$D$281)*(K102&lt;=Tax_Ref!$E$210:$E$281)*(K102-Tax_Ref!$D$210:$D$281))*Tax_Ref!$F$210:$F$281)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2026, tblThresholds[FilingStatus], Filing_Status, tblThresholds[Item], "NIIT_Threshold")</f>
        <v/>
      </c>
      <c r="K111" s="100">
        <f>SUMIFS(tblThresholds[Value], tblThresholds[Year], 2026,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2026, tblThresholds[FilingStatus], Filing_Status, tblThresholds[Item], "NIIT_Rate")</f>
        <v/>
      </c>
      <c r="K114" s="19">
        <f>MIN(K112,K113)*SUMIFS(tblThresholds[Value], tblThresholds[Year], 2026,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2026, tblThresholds[FilingStatus], Filing_Status, tblThresholds[Item], "QBI_Threshold_Start"),"YES","NO")</f>
        <v/>
      </c>
      <c r="K121" s="100">
        <f>IF(K41&gt;SUMIFS(tblThresholds[Value], tblThresholds[Year], 2026,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/>
      </c>
      <c r="K122" s="19">
        <f>IF(AND(K45=TRUE,K41&gt;SUMIFS(tblThresholds[Value], tblThresholds[Year], 2026, tblThresholds[FilingStatus], Filing_Status, tblThresholds[Item], "QBI_Threshold_End")),0,IF(K41&lt;=SUMIFS(tblThresholds[Value], tblThresholds[Year], 2026,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Y2026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2026)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V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</cols>
  <sheetData>
    <row r="1" ht="18.5" customHeight="1" s="99">
      <c r="A1" s="17" t="inlineStr">
        <is>
          <t>Y2027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SUMIFS(tblMaster_Inputs[Baseline_Amount],tblMaster_Inputs[Year],2027,tblMaster_Inputs[Primary_Line],$I6, tblMaster_Inputs[Activity_Type], "Baseline")</f>
        <v/>
      </c>
      <c r="L6" s="54" t="n"/>
      <c r="M6" s="4" t="n"/>
      <c r="N6" s="100">
        <f>SUMIFS(tblY2027_Strategies[Amount],tblY2027_Strategies[TargetLine],$I6)-SUMIFS(tblY2027_Strategies[Amount],tblY2027_Strategies[CounterLine],$I6)</f>
        <v/>
      </c>
      <c r="O6" s="100">
        <f>IF(UPPER(L6)="Y",SUMIFS(tblMaster_Inputs[Baseline_Amount],tblMaster_Inputs[Year],2026,tblMaster_Inputs[Primary_Line],"1z"),IF(ISBLANK(M6),K6,M6))</f>
        <v/>
      </c>
      <c r="P6" s="100">
        <f>O6+N6</f>
        <v/>
      </c>
      <c r="Q6" s="8">
        <f>HYPERLINK("#Y2027!I49","↗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SUMIFS(tblMaster_Inputs[Helper_Amount],tblMaster_Inputs[Year],2027,tblMaster_Inputs[Helper_Treatment],"TAX_EXEMPT")</f>
        <v/>
      </c>
      <c r="L7" s="54" t="n"/>
      <c r="M7" s="4" t="n"/>
      <c r="N7">
        <f>SUMIFS(tblY2027_Strategies[Amount],tblY2027_Strategies[TargetLine],"2a",tblY2027_Strategies[Status],"Committed")</f>
        <v/>
      </c>
      <c r="O7" s="100">
        <f>IF(UPPER(L7)="Y",SUMIFS(tblMaster_Inputs[Helper_Amount],tblMaster_Inputs[Year],2026,tblMaster_Inputs[Helper_Treatment],"TAX_EXEMPT"),IF(ISBLANK(M7),K7,M7))</f>
        <v/>
      </c>
      <c r="P7" s="100">
        <f>O7</f>
        <v/>
      </c>
      <c r="Q7" s="8">
        <f>HYPERLINK("#Y2027!I49","↗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SUMIFS(tblMaster_Inputs[Baseline_Amount],tblMaster_Inputs[Year],2027,tblMaster_Inputs[Primary_Line],$I8, tblMaster_Inputs[Activity_Type], "Baseline")</f>
        <v/>
      </c>
      <c r="L8" s="54" t="n"/>
      <c r="M8" s="4" t="n"/>
      <c r="N8" s="100">
        <f>SUMIFS(tblY2027_Strategies[Amount],tblY2027_Strategies[TargetLine],$I8)-SUMIFS(tblY2027_Strategies[Amount],tblY2027_Strategies[CounterLine],$I8)</f>
        <v/>
      </c>
      <c r="O8" s="100">
        <f>IF(UPPER(L8)="Y",SUMIFS(tblMaster_Inputs[Baseline_Amount],tblMaster_Inputs[Year],2026,tblMaster_Inputs[Primary_Line],"2b"),IF(ISBLANK(M8),K8,M8))</f>
        <v/>
      </c>
      <c r="P8" s="100">
        <f>O8+N8</f>
        <v/>
      </c>
      <c r="Q8" s="8">
        <f>HYPERLINK("#Y2027!I49","↗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SUMIFS(tblMaster_Inputs[Helper_Amount],tblMaster_Inputs[Year],2027,tblMaster_Inputs[Helper_Treatment],"QUAL_DIV")</f>
        <v/>
      </c>
      <c r="L9" s="54" t="n"/>
      <c r="M9" s="4" t="n"/>
      <c r="N9">
        <f>SUMIFS(tblY2027_Strategies[Amount],tblY2027_Strategies[TargetLine],"3a",tblY2027_Strategies[Status],"Committed")</f>
        <v/>
      </c>
      <c r="O9" s="100">
        <f>IF(UPPER(L9)="Y",SUMIFS(tblMaster_Inputs[Helper_Amount],tblMaster_Inputs[Year],2026,tblMaster_Inputs[Helper_Treatment],"QUAL_DIV"),IF(ISBLANK(M9),K9,M9))</f>
        <v/>
      </c>
      <c r="P9" s="100">
        <f>O9</f>
        <v/>
      </c>
      <c r="Q9" s="8">
        <f>HYPERLINK("#Y2027!I49","↗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SUMIFS(tblMaster_Inputs[Baseline_Amount],tblMaster_Inputs[Year],2027,tblMaster_Inputs[Primary_Line],$I10, tblMaster_Inputs[Activity_Type], "Baseline")</f>
        <v/>
      </c>
      <c r="L10" s="54" t="n"/>
      <c r="M10" s="4" t="n"/>
      <c r="N10" s="100">
        <f>SUMIFS(tblY2027_Strategies[Amount],tblY2027_Strategies[TargetLine],$I10)-SUMIFS(tblY2027_Strategies[Amount],tblY2027_Strategies[CounterLine],$I10)</f>
        <v/>
      </c>
      <c r="O10" s="100">
        <f>IF(UPPER(L10)="Y",SUMIFS(tblMaster_Inputs[Baseline_Amount],tblMaster_Inputs[Year],2026,tblMaster_Inputs[Primary_Line],"3b"),IF(ISBLANK(M10),K10,M10))</f>
        <v/>
      </c>
      <c r="P10" s="100">
        <f>O10+N10</f>
        <v/>
      </c>
      <c r="Q10" s="8">
        <f>HYPERLINK("#Y2027!I49","↗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SUMIFS(tblMaster_Inputs[Baseline_Amount],tblMaster_Inputs[Year],2027,tblMaster_Inputs[Primary_Line],$I11, tblMaster_Inputs[Activity_Type], "Baseline")</f>
        <v/>
      </c>
      <c r="L11" s="54" t="n"/>
      <c r="M11" s="4" t="n"/>
      <c r="N11" s="100">
        <f>SUMIFS(tblY2027_Strategies[Amount],tblY2027_Strategies[TargetLine],$I11)-SUMIFS(tblY2027_Strategies[Amount],tblY2027_Strategies[CounterLine],$I11)</f>
        <v/>
      </c>
      <c r="O11" s="100">
        <f>IF(UPPER(L11)="Y",SUMIFS(tblMaster_Inputs[Baseline_Amount],tblMaster_Inputs[Year],2026,tblMaster_Inputs[Primary_Line],"7"),IF(ISBLANK(M11),K11,M11))</f>
        <v/>
      </c>
      <c r="P11" s="100">
        <f>O11+N11</f>
        <v/>
      </c>
      <c r="Q11" s="8">
        <f>HYPERLINK("#Y2027!I49","↗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SUMIFS(tblMaster_Inputs[Baseline_Amount],tblMaster_Inputs[Year],2027,tblMaster_Inputs[Primary_Line],$I12, tblMaster_Inputs[Activity_Type], "Baseline")</f>
        <v/>
      </c>
      <c r="L12" s="54" t="n"/>
      <c r="M12" s="4" t="n"/>
      <c r="N12" s="100">
        <f>SUMIFS(tblY2027_Strategies[Amount],tblY2027_Strategies[TargetLine],$I12)-SUMIFS(tblY2027_Strategies[Amount],tblY2027_Strategies[CounterLine],$I12)</f>
        <v/>
      </c>
      <c r="O12" s="100">
        <f>IF(UPPER(L12)="Y",SUMIFS(tblMaster_Inputs[Baseline_Amount],tblMaster_Inputs[Year],2026,tblMaster_Inputs[Primary_Line],"8"),IF(ISBLANK(M12),K12,M12))</f>
        <v/>
      </c>
      <c r="P12" s="100">
        <f>O12+N12</f>
        <v/>
      </c>
      <c r="Q12" s="8">
        <f>HYPERLINK("#Y2027!I49","↗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HYPERLINK("#Y2027!I49","↗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SUMIFS(tblMaster_Inputs[Baseline_Amount],tblMaster_Inputs[Year],2027,tblMaster_Inputs[Primary_Line],$I14, tblMaster_Inputs[Activity_Type], "Baseline")</f>
        <v/>
      </c>
      <c r="L14" s="54" t="n"/>
      <c r="M14" s="4" t="n"/>
      <c r="N14" s="100">
        <f>SUMIFS(tblY2027_Strategies[Amount],tblY2027_Strategies[TargetLine],$I14)-SUMIFS(tblY2027_Strategies[Amount],tblY2027_Strategies[CounterLine],$I14)</f>
        <v/>
      </c>
      <c r="O14" s="100">
        <f>IF(UPPER(L14)="Y",SUMIFS(tblMaster_Inputs[Baseline_Amount],tblMaster_Inputs[Year],2026,tblMaster_Inputs[Primary_Line],"10"),IF(ISBLANK(M14),K14,M14))</f>
        <v/>
      </c>
      <c r="P14" s="100">
        <f>O14+N14</f>
        <v/>
      </c>
      <c r="Q14" s="8">
        <f>HYPERLINK("#Y2027!I49","↗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HYPERLINK("#Y2027!I49","↗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SUMIFS(tblMaster_Inputs[Baseline_Amount],tblMaster_Inputs[Year],2027,tblMaster_Inputs[Primary_Line],$I16, tblMaster_Inputs[Activity_Type], "Baseline")</f>
        <v/>
      </c>
      <c r="L16" s="54" t="n"/>
      <c r="M16" s="4" t="n"/>
      <c r="N16" s="100">
        <f>SUMIFS(tblY2027_Strategies[Amount],tblY2027_Strategies[TargetLine],$I16)-SUMIFS(tblY2027_Strategies[Amount],tblY2027_Strategies[CounterLine],$I16)</f>
        <v/>
      </c>
      <c r="O16" s="100">
        <f>IF(UPPER(L16)="Y",SUMIFS(tblMaster_Inputs[Baseline_Amount],tblMaster_Inputs[Year],2026,tblMaster_Inputs[Primary_Line],"12"),IF(ISBLANK(M16),K16,M16))</f>
        <v/>
      </c>
      <c r="P16" s="100">
        <f>O16+N16</f>
        <v/>
      </c>
      <c r="Q16" s="8">
        <f>HYPERLINK("#Y2027!I49","↗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SUMIFS(tblMaster_Inputs[Baseline_Amount],tblMaster_Inputs[Year],2027,tblMaster_Inputs[Primary_Line],$I17, tblMaster_Inputs[Activity_Type], "Baseline")</f>
        <v/>
      </c>
      <c r="L17" s="54" t="n"/>
      <c r="M17" s="4" t="n"/>
      <c r="N17" s="100">
        <f>SUMIFS(tblY2027_Strategies[Amount],tblY2027_Strategies[TargetLine],$I17)-SUMIFS(tblY2027_Strategies[Amount],tblY2027_Strategies[CounterLine],$I17)</f>
        <v/>
      </c>
      <c r="O17" s="100">
        <f>IF(UPPER(L17)="Y",SUMIFS(tblMaster_Inputs[Baseline_Amount],tblMaster_Inputs[Year],2026,tblMaster_Inputs[Primary_Line],"13"),IF(ISBLANK(M17),K17,M17))</f>
        <v/>
      </c>
      <c r="P17" s="100">
        <f>O17+N17</f>
        <v/>
      </c>
      <c r="Q17" s="8">
        <f>HYPERLINK("#Y2027!I49","↗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HYPERLINK("#Y2027!I49","↗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SUMIFS(tblMaster_Inputs[Baseline_Amount],tblMaster_Inputs[Year],2027,tblMaster_Inputs[Treatment_Profile],"W2_SCorpOwner", tblMaster_Inputs[Activity_Type], "Baseline")</f>
        <v/>
      </c>
      <c r="K23" s="100">
        <f>J23+SUMIFS(tblY2027_Strategies[Amount],tblY2027_Strategies[TargetLine],"1z")-SUMIFS(tblY2027_Strategies[Amount],tblY2027_Strategies[CounterLine],"1z")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SUMIFS(tblMaster_Inputs[Baseline_Amount],tblMaster_Inputs[Year],2027,tblMaster_Inputs[Treatment_Profile],"W2_Employee",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SUMIFS(tblMaster_Inputs[Baseline_Amount],tblMaster_Inputs[Year],2027,tblMaster_Inputs[Bucket],"Business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SUMIFS(tblMaster_Inputs[Baseline_Amount],tblMaster_Inputs[Year],2027,tblMaster_Inputs[Bucket],"Business Income",tblMaster_Inputs[SE_Subject],"No",tblMaster_Inputs[NIIT_Class],"Active", tblMaster_Inputs[Activity_Type], "Baseline")</f>
        <v/>
      </c>
      <c r="K27" s="100">
        <f>J27+SUMIFS(tblY2027_Strategies[Amount],tblY2027_Strategies[TargetLine],"8")-SUMIFS(tblY2027_Strategies[Amount],tblY2027_Strategies[CounterLine],"8")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COUNTIF(tblY2027_Strategies[Status],"Committed")</f>
        <v/>
      </c>
      <c r="C28" s="97" t="inlineStr">
        <is>
          <t>Net Strategy Impact</t>
        </is>
      </c>
      <c r="D28" s="94">
        <f>SUMIF(tblY2027_Strategies[Status],"Committed",tblY2027_Strategies[Amount])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SUMIFS(tblMaster_Inputs[Baseline_Amount],tblMaster_Inputs[Year],2027,tblMaster_Inputs[Bucket],"Business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SUMIFS(tblMaster_Inputs[Helper_Amount],tblMaster_Inputs[Year],2027,tblMaster_Inputs[Helper_Treatment],"TAX_EXEMPT")</f>
        <v/>
      </c>
      <c r="K29" s="100">
        <f>J29+SUMIFS(tblY2027_Strategies[Amount],tblY2027_Strategies[TargetLine],"2a")-SUMIFS(tblY2027_Strategies[Amount],tblY2027_Strategies[CounterLine],"2a")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SUMIFS(tblMaster_Inputs[Helper_Amount],tblMaster_Inputs[Year],2027,tblMaster_Inputs[Helper_Treatment],"QUAL_DIV",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/>
      </c>
      <c r="K31" s="100">
        <f>J31+SUMIFS(tblY2027_Strategies[Amount],tblY2027_Strategies[TargetLine],"7")-SUMIFS(tblY2027_Strategies[Amount],tblY2027_Strategies[CounterLine],"7")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SUMIFS(tblMaster_Inputs[Baseline_Amount],tblMaster_Inputs[Year],2027,tblMaster_Inputs[Treatment_Profile],"STCG_Stock",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SUMIFS(tblMaster_Inputs[Helper_Amount],tblMaster_Inputs[Year],2027,tblMaster_Inputs[Helper_Treatment],"SEC1250",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2027, tblThresholds[FilingStatus], Filing_Status, tblThresholds[Item], "SE_Earnings_Factor")</f>
        <v/>
      </c>
      <c r="K71" s="19">
        <f>K70*SUMIFS(tblThresholds[Value], tblThresholds[Year], 2027,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2027, tblThresholds[FilingStatus], Filing_Status, tblThresholds[Item], "SS_Wage_Base")-J72)</f>
        <v/>
      </c>
      <c r="K73" s="100">
        <f>MAX(0,SUMIFS(tblThresholds[Value], tblThresholds[Year], 2027,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2027, tblThresholds[FilingStatus], Filing_Status, tblThresholds[Item], "SS_Rate_Combined")</f>
        <v/>
      </c>
      <c r="K75" s="100">
        <f>K74*SUMIFS(tblThresholds[Value], tblThresholds[Year], 2027,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2027, tblThresholds[FilingStatus], Filing_Status, tblThresholds[Item], "Medicare_Rate_Combined")</f>
        <v/>
      </c>
      <c r="K76" s="51">
        <f>K71*SUMIFS(tblThresholds[Value], tblThresholds[Year], 2027,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77" s="100">
        <f>MAX(0,(K72+K71-SUMIFS(tblThresholds[Value],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2027, tblThresholds[FilingStatus], Filing_Status, tblThresholds[Item], "SS_Wage_Base"))*0.062</f>
        <v/>
      </c>
      <c r="K84" s="100">
        <f>MIN(K83,SUMIFS(tblThresholds[Value], tblThresholds[Year], 2027,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86" s="100">
        <f>MAX(0,(K83-SUMIFS(tblThresholds[Value],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2027)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2027)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SUMPRODUCT((Tax_Ref!$B$210:$B$281=2027)*(Tax_Ref!$C$210:$C$281=Filing_Status)*((K102&gt;Tax_Ref!$E$210:$E$281)*(Tax_Ref!$E$210:$E$281-Tax_Ref!$D$210:$D$281)+(K102&gt;Tax_Ref!$D$210:$D$281)*(K102&lt;=Tax_Ref!$E$210:$E$281)*(K102-Tax_Ref!$D$210:$D$281))*Tax_Ref!$F$210:$F$281)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2027, tblThresholds[FilingStatus], Filing_Status, tblThresholds[Item], "NIIT_Threshold")</f>
        <v/>
      </c>
      <c r="K111" s="100">
        <f>SUMIFS(tblThresholds[Value], tblThresholds[Year], 2027,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2027, tblThresholds[FilingStatus], Filing_Status, tblThresholds[Item], "NIIT_Rate")</f>
        <v/>
      </c>
      <c r="K114" s="19">
        <f>MIN(K112,K113)*SUMIFS(tblThresholds[Value], tblThresholds[Year], 2027,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2027, tblThresholds[FilingStatus], Filing_Status, tblThresholds[Item], "QBI_Threshold_Start"),"YES","NO")</f>
        <v/>
      </c>
      <c r="K121" s="100">
        <f>IF(K41&gt;SUMIFS(tblThresholds[Value], tblThresholds[Year], 2027,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/>
      </c>
      <c r="K122" s="19">
        <f>IF(AND(K45=TRUE,K41&gt;SUMIFS(tblThresholds[Value], tblThresholds[Year], 2027, tblThresholds[FilingStatus], Filing_Status, tblThresholds[Item], "QBI_Threshold_End")),0,IF(K41&lt;=SUMIFS(tblThresholds[Value], tblThresholds[Year], 2027,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Y2027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2027)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4472C4"/>
    <outlinePr summaryBelow="1" summaryRight="1"/>
    <pageSetUpPr/>
  </sheetPr>
  <dimension ref="A1:V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</cols>
  <sheetData>
    <row r="1" ht="18.5" customHeight="1" s="99">
      <c r="A1" s="17" t="inlineStr">
        <is>
          <t>Y2028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SUMIFS(tblMaster_Inputs[Baseline_Amount],tblMaster_Inputs[Year],2028,tblMaster_Inputs[Primary_Line],$I6, tblMaster_Inputs[Activity_Type], "Baseline")</f>
        <v/>
      </c>
      <c r="L6" s="54" t="n"/>
      <c r="M6" s="4" t="n"/>
      <c r="N6" s="100">
        <f>SUMIFS(tblY2028_Strategies[Amount],tblY2028_Strategies[TargetLine],$I6)-SUMIFS(tblY2028_Strategies[Amount],tblY2028_Strategies[CounterLine],$I6)</f>
        <v/>
      </c>
      <c r="O6" s="100">
        <f>IF(UPPER(L6)="Y",SUMIFS(tblMaster_Inputs[Baseline_Amount],tblMaster_Inputs[Year],2027,tblMaster_Inputs[Primary_Line],"1z"),IF(ISBLANK(M6),K6,M6))</f>
        <v/>
      </c>
      <c r="P6" s="100">
        <f>O6+N6</f>
        <v/>
      </c>
      <c r="Q6" s="8">
        <f>HYPERLINK("#Y2028!I49","↗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SUMIFS(tblMaster_Inputs[Helper_Amount],tblMaster_Inputs[Year],2028,tblMaster_Inputs[Helper_Treatment],"TAX_EXEMPT")</f>
        <v/>
      </c>
      <c r="L7" s="54" t="n"/>
      <c r="M7" s="4" t="n"/>
      <c r="N7">
        <f>SUMIFS(tblY2028_Strategies[Amount],tblY2028_Strategies[TargetLine],"2a",tblY2028_Strategies[Status],"Committed")</f>
        <v/>
      </c>
      <c r="O7" s="100">
        <f>IF(UPPER(L7)="Y",SUMIFS(tblMaster_Inputs[Helper_Amount],tblMaster_Inputs[Year],2027,tblMaster_Inputs[Helper_Treatment],"TAX_EXEMPT"),IF(ISBLANK(M7),K7,M7))</f>
        <v/>
      </c>
      <c r="P7" s="100">
        <f>O7</f>
        <v/>
      </c>
      <c r="Q7" s="8">
        <f>HYPERLINK("#Y2028!I49","↗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SUMIFS(tblMaster_Inputs[Baseline_Amount],tblMaster_Inputs[Year],2028,tblMaster_Inputs[Primary_Line],$I8, tblMaster_Inputs[Activity_Type], "Baseline")</f>
        <v/>
      </c>
      <c r="L8" s="54" t="n"/>
      <c r="M8" s="4" t="n"/>
      <c r="N8" s="100">
        <f>SUMIFS(tblY2028_Strategies[Amount],tblY2028_Strategies[TargetLine],$I8)-SUMIFS(tblY2028_Strategies[Amount],tblY2028_Strategies[CounterLine],$I8)</f>
        <v/>
      </c>
      <c r="O8" s="100">
        <f>IF(UPPER(L8)="Y",SUMIFS(tblMaster_Inputs[Baseline_Amount],tblMaster_Inputs[Year],2027,tblMaster_Inputs[Primary_Line],"2b"),IF(ISBLANK(M8),K8,M8))</f>
        <v/>
      </c>
      <c r="P8" s="100">
        <f>O8+N8</f>
        <v/>
      </c>
      <c r="Q8" s="8">
        <f>HYPERLINK("#Y2028!I49","↗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SUMIFS(tblMaster_Inputs[Helper_Amount],tblMaster_Inputs[Year],2028,tblMaster_Inputs[Helper_Treatment],"QUAL_DIV")</f>
        <v/>
      </c>
      <c r="L9" s="54" t="n"/>
      <c r="M9" s="4" t="n"/>
      <c r="N9">
        <f>SUMIFS(tblY2028_Strategies[Amount],tblY2028_Strategies[TargetLine],"3a",tblY2028_Strategies[Status],"Committed")</f>
        <v/>
      </c>
      <c r="O9" s="100">
        <f>IF(UPPER(L9)="Y",SUMIFS(tblMaster_Inputs[Helper_Amount],tblMaster_Inputs[Year],2027,tblMaster_Inputs[Helper_Treatment],"QUAL_DIV"),IF(ISBLANK(M9),K9,M9))</f>
        <v/>
      </c>
      <c r="P9" s="100">
        <f>O9</f>
        <v/>
      </c>
      <c r="Q9" s="8">
        <f>HYPERLINK("#Y2028!I49","↗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SUMIFS(tblMaster_Inputs[Baseline_Amount],tblMaster_Inputs[Year],2028,tblMaster_Inputs[Primary_Line],$I10, tblMaster_Inputs[Activity_Type], "Baseline")</f>
        <v/>
      </c>
      <c r="L10" s="54" t="n"/>
      <c r="M10" s="4" t="n"/>
      <c r="N10" s="100">
        <f>SUMIFS(tblY2028_Strategies[Amount],tblY2028_Strategies[TargetLine],$I10)-SUMIFS(tblY2028_Strategies[Amount],tblY2028_Strategies[CounterLine],$I10)</f>
        <v/>
      </c>
      <c r="O10" s="100">
        <f>IF(UPPER(L10)="Y",SUMIFS(tblMaster_Inputs[Baseline_Amount],tblMaster_Inputs[Year],2027,tblMaster_Inputs[Primary_Line],"3b"),IF(ISBLANK(M10),K10,M10))</f>
        <v/>
      </c>
      <c r="P10" s="100">
        <f>O10+N10</f>
        <v/>
      </c>
      <c r="Q10" s="8">
        <f>HYPERLINK("#Y2028!I49","↗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SUMIFS(tblMaster_Inputs[Baseline_Amount],tblMaster_Inputs[Year],2028,tblMaster_Inputs[Primary_Line],$I11, tblMaster_Inputs[Activity_Type], "Baseline")</f>
        <v/>
      </c>
      <c r="L11" s="54" t="n"/>
      <c r="M11" s="4" t="n"/>
      <c r="N11" s="100">
        <f>SUMIFS(tblY2028_Strategies[Amount],tblY2028_Strategies[TargetLine],$I11)-SUMIFS(tblY2028_Strategies[Amount],tblY2028_Strategies[CounterLine],$I11)</f>
        <v/>
      </c>
      <c r="O11" s="100">
        <f>IF(UPPER(L11)="Y",SUMIFS(tblMaster_Inputs[Baseline_Amount],tblMaster_Inputs[Year],2027,tblMaster_Inputs[Primary_Line],"7"),IF(ISBLANK(M11),K11,M11))</f>
        <v/>
      </c>
      <c r="P11" s="100">
        <f>O11+N11</f>
        <v/>
      </c>
      <c r="Q11" s="8">
        <f>HYPERLINK("#Y2028!I49","↗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SUMIFS(tblMaster_Inputs[Baseline_Amount],tblMaster_Inputs[Year],2028,tblMaster_Inputs[Primary_Line],$I12, tblMaster_Inputs[Activity_Type], "Baseline")</f>
        <v/>
      </c>
      <c r="L12" s="54" t="n"/>
      <c r="M12" s="4" t="n"/>
      <c r="N12" s="100">
        <f>SUMIFS(tblY2028_Strategies[Amount],tblY2028_Strategies[TargetLine],$I12)-SUMIFS(tblY2028_Strategies[Amount],tblY2028_Strategies[CounterLine],$I12)</f>
        <v/>
      </c>
      <c r="O12" s="100">
        <f>IF(UPPER(L12)="Y",SUMIFS(tblMaster_Inputs[Baseline_Amount],tblMaster_Inputs[Year],2027,tblMaster_Inputs[Primary_Line],"8"),IF(ISBLANK(M12),K12,M12))</f>
        <v/>
      </c>
      <c r="P12" s="100">
        <f>O12+N12</f>
        <v/>
      </c>
      <c r="Q12" s="8">
        <f>HYPERLINK("#Y2028!I49","↗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HYPERLINK("#Y2028!I49","↗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SUMIFS(tblMaster_Inputs[Baseline_Amount],tblMaster_Inputs[Year],2028,tblMaster_Inputs[Primary_Line],$I14, tblMaster_Inputs[Activity_Type], "Baseline")</f>
        <v/>
      </c>
      <c r="L14" s="54" t="n"/>
      <c r="M14" s="4" t="n"/>
      <c r="N14" s="100">
        <f>SUMIFS(tblY2028_Strategies[Amount],tblY2028_Strategies[TargetLine],$I14)-SUMIFS(tblY2028_Strategies[Amount],tblY2028_Strategies[CounterLine],$I14)</f>
        <v/>
      </c>
      <c r="O14" s="100">
        <f>IF(UPPER(L14)="Y",SUMIFS(tblMaster_Inputs[Baseline_Amount],tblMaster_Inputs[Year],2027,tblMaster_Inputs[Primary_Line],"10"),IF(ISBLANK(M14),K14,M14))</f>
        <v/>
      </c>
      <c r="P14" s="100">
        <f>O14+N14</f>
        <v/>
      </c>
      <c r="Q14" s="8">
        <f>HYPERLINK("#Y2028!I49","↗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HYPERLINK("#Y2028!I49","↗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SUMIFS(tblMaster_Inputs[Baseline_Amount],tblMaster_Inputs[Year],2028,tblMaster_Inputs[Primary_Line],$I16, tblMaster_Inputs[Activity_Type], "Baseline")</f>
        <v/>
      </c>
      <c r="L16" s="54" t="n"/>
      <c r="M16" s="4" t="n"/>
      <c r="N16" s="100">
        <f>SUMIFS(tblY2028_Strategies[Amount],tblY2028_Strategies[TargetLine],$I16)-SUMIFS(tblY2028_Strategies[Amount],tblY2028_Strategies[CounterLine],$I16)</f>
        <v/>
      </c>
      <c r="O16" s="100">
        <f>IF(UPPER(L16)="Y",SUMIFS(tblMaster_Inputs[Baseline_Amount],tblMaster_Inputs[Year],2027,tblMaster_Inputs[Primary_Line],"12"),IF(ISBLANK(M16),K16,M16))</f>
        <v/>
      </c>
      <c r="P16" s="100">
        <f>O16+N16</f>
        <v/>
      </c>
      <c r="Q16" s="8">
        <f>HYPERLINK("#Y2028!I49","↗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SUMIFS(tblMaster_Inputs[Baseline_Amount],tblMaster_Inputs[Year],2028,tblMaster_Inputs[Primary_Line],$I17, tblMaster_Inputs[Activity_Type], "Baseline")</f>
        <v/>
      </c>
      <c r="L17" s="54" t="n"/>
      <c r="M17" s="4" t="n"/>
      <c r="N17" s="100">
        <f>SUMIFS(tblY2028_Strategies[Amount],tblY2028_Strategies[TargetLine],$I17)-SUMIFS(tblY2028_Strategies[Amount],tblY2028_Strategies[CounterLine],$I17)</f>
        <v/>
      </c>
      <c r="O17" s="100">
        <f>IF(UPPER(L17)="Y",SUMIFS(tblMaster_Inputs[Baseline_Amount],tblMaster_Inputs[Year],2027,tblMaster_Inputs[Primary_Line],"13"),IF(ISBLANK(M17),K17,M17))</f>
        <v/>
      </c>
      <c r="P17" s="100">
        <f>O17+N17</f>
        <v/>
      </c>
      <c r="Q17" s="8">
        <f>HYPERLINK("#Y2028!I49","↗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HYPERLINK("#Y2028!I49","↗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SUMIFS(tblMaster_Inputs[Baseline_Amount],tblMaster_Inputs[Year],2028,tblMaster_Inputs[Treatment_Profile],"W2_SCorpOwner", tblMaster_Inputs[Activity_Type], "Baseline")</f>
        <v/>
      </c>
      <c r="K23" s="100">
        <f>J23+SUMIFS(tblY2028_Strategies[Amount],tblY2028_Strategies[TargetLine],"1z")-SUMIFS(tblY2028_Strategies[Amount],tblY2028_Strategies[CounterLine],"1z")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SUMIFS(tblMaster_Inputs[Baseline_Amount],tblMaster_Inputs[Year],2028,tblMaster_Inputs[Treatment_Profile],"W2_Employee",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SUMIFS(tblMaster_Inputs[Baseline_Amount],tblMaster_Inputs[Year],2028,tblMaster_Inputs[Bucket],"Business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SUMIFS(tblMaster_Inputs[Baseline_Amount],tblMaster_Inputs[Year],2028,tblMaster_Inputs[Bucket],"Business Income",tblMaster_Inputs[SE_Subject],"No",tblMaster_Inputs[NIIT_Class],"Active", tblMaster_Inputs[Activity_Type], "Baseline")</f>
        <v/>
      </c>
      <c r="K27" s="100">
        <f>J27+SUMIFS(tblY2028_Strategies[Amount],tblY2028_Strategies[TargetLine],"8")-SUMIFS(tblY2028_Strategies[Amount],tblY2028_Strategies[CounterLine],"8")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COUNTIF(tblY2028_Strategies[Status],"Committed")</f>
        <v/>
      </c>
      <c r="C28" s="97" t="inlineStr">
        <is>
          <t>Net Strategy Impact</t>
        </is>
      </c>
      <c r="D28" s="94">
        <f>SUMIF(tblY2028_Strategies[Status],"Committed",tblY2028_Strategies[Amount])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SUMIFS(tblMaster_Inputs[Baseline_Amount],tblMaster_Inputs[Year],2028,tblMaster_Inputs[Bucket],"Business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SUMIFS(tblMaster_Inputs[Helper_Amount],tblMaster_Inputs[Year],2028,tblMaster_Inputs[Helper_Treatment],"TAX_EXEMPT")</f>
        <v/>
      </c>
      <c r="K29" s="100">
        <f>J29+SUMIFS(tblY2028_Strategies[Amount],tblY2028_Strategies[TargetLine],"2a")-SUMIFS(tblY2028_Strategies[Amount],tblY2028_Strategies[CounterLine],"2a")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SUMIFS(tblMaster_Inputs[Helper_Amount],tblMaster_Inputs[Year],2028,tblMaster_Inputs[Helper_Treatment],"QUAL_DIV",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/>
      </c>
      <c r="K31" s="100">
        <f>J31+SUMIFS(tblY2028_Strategies[Amount],tblY2028_Strategies[TargetLine],"7")-SUMIFS(tblY2028_Strategies[Amount],tblY2028_Strategies[CounterLine],"7")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SUMIFS(tblMaster_Inputs[Baseline_Amount],tblMaster_Inputs[Year],2028,tblMaster_Inputs[Treatment_Profile],"STCG_Stock",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SUMIFS(tblMaster_Inputs[Helper_Amount],tblMaster_Inputs[Year],2028,tblMaster_Inputs[Helper_Treatment],"SEC1250",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2028, tblThresholds[FilingStatus], Filing_Status, tblThresholds[Item], "SE_Earnings_Factor")</f>
        <v/>
      </c>
      <c r="K71" s="19">
        <f>K70*SUMIFS(tblThresholds[Value], tblThresholds[Year], 2028,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2028, tblThresholds[FilingStatus], Filing_Status, tblThresholds[Item], "SS_Wage_Base")-J72)</f>
        <v/>
      </c>
      <c r="K73" s="100">
        <f>MAX(0,SUMIFS(tblThresholds[Value], tblThresholds[Year], 2028,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2028, tblThresholds[FilingStatus], Filing_Status, tblThresholds[Item], "SS_Rate_Combined")</f>
        <v/>
      </c>
      <c r="K75" s="100">
        <f>K74*SUMIFS(tblThresholds[Value], tblThresholds[Year], 2028,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2028, tblThresholds[FilingStatus], Filing_Status, tblThresholds[Item], "Medicare_Rate_Combined")</f>
        <v/>
      </c>
      <c r="K76" s="51">
        <f>K71*SUMIFS(tblThresholds[Value], tblThresholds[Year], 2028,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77" s="100">
        <f>MAX(0,(K72+K71-SUMIFS(tblThresholds[Value],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2028, tblThresholds[FilingStatus], Filing_Status, tblThresholds[Item], "SS_Wage_Base"))*0.062</f>
        <v/>
      </c>
      <c r="K84" s="100">
        <f>MIN(K83,SUMIFS(tblThresholds[Value], tblThresholds[Year], 2028,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86" s="100">
        <f>MAX(0,(K83-SUMIFS(tblThresholds[Value],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2028)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2028)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SUMPRODUCT((Tax_Ref!$B$210:$B$281=2028)*(Tax_Ref!$C$210:$C$281=Filing_Status)*((K102&gt;Tax_Ref!$E$210:$E$281)*(Tax_Ref!$E$210:$E$281-Tax_Ref!$D$210:$D$281)+(K102&gt;Tax_Ref!$D$210:$D$281)*(K102&lt;=Tax_Ref!$E$210:$E$281)*(K102-Tax_Ref!$D$210:$D$281))*Tax_Ref!$F$210:$F$281)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2028, tblThresholds[FilingStatus], Filing_Status, tblThresholds[Item], "NIIT_Threshold")</f>
        <v/>
      </c>
      <c r="K111" s="100">
        <f>SUMIFS(tblThresholds[Value], tblThresholds[Year], 2028,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2028, tblThresholds[FilingStatus], Filing_Status, tblThresholds[Item], "NIIT_Rate")</f>
        <v/>
      </c>
      <c r="K114" s="19">
        <f>MIN(K112,K113)*SUMIFS(tblThresholds[Value], tblThresholds[Year], 2028,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2028, tblThresholds[FilingStatus], Filing_Status, tblThresholds[Item], "QBI_Threshold_Start"),"YES","NO")</f>
        <v/>
      </c>
      <c r="K121" s="100">
        <f>IF(K41&gt;SUMIFS(tblThresholds[Value], tblThresholds[Year], 2028,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/>
      </c>
      <c r="K122" s="19">
        <f>IF(AND(K45=TRUE,K41&gt;SUMIFS(tblThresholds[Value], tblThresholds[Year], 2028, tblThresholds[FilingStatus], Filing_Status, tblThresholds[Item], "QBI_Threshold_End")),0,IF(K41&lt;=SUMIFS(tblThresholds[Value], tblThresholds[Year], 2028,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Y2028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2028)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"8", tblMaster_Inputs[Activity_Type], "Baseline")</f>
        <v/>
      </c>
      <c r="D9">
        <f>SUMIFS(tblMaster_Inputs[Baseline_Amount], tblMaster_Inputs[Year], 2024, tblMaster_Inputs[Primary_Line], "8", tblMaster_Inputs[Activity_Type], "Baseline")</f>
        <v/>
      </c>
      <c r="E9">
        <f>SUMIFS(tblMaster_Inputs[Baseline_Amount], tblMaster_Inputs[Year], 2025, tblMaster_Inputs[Primary_Line], "8", tblMaster_Inputs[Activity_Type], "Baseline")</f>
        <v/>
      </c>
      <c r="F9">
        <f>SUMIFS(tblMaster_Inputs[Baseline_Amount], tblMaster_Inputs[Year], 2026, tblMaster_Inputs[Primary_Line], "8", tblMaster_Inputs[Activity_Type], "Baseline")</f>
        <v/>
      </c>
      <c r="G9">
        <f>SUMIFS(tblMaster_Inputs[Baseline_Amount], tblMaster_Inputs[Year], 2027, tblMaster_Inputs[Primary_Line], "8", tblMaster_Inputs[Activity_Type], "Baseline")</f>
        <v/>
      </c>
      <c r="H9">
        <f>SUMIFS(tblMaster_Inputs[Baseline_Amount], tblMaster_Inputs[Year], 2028, tblMaster_Inputs[Primary_Line], "8", tblMaster_Inputs[Activity_Type], "Baseline")</f>
        <v/>
      </c>
      <c r="I9">
        <f>SUMIFS(tblMaster_Inputs[Baseline_Amount], tblMaster_Inputs[Year], 2023, tblMaster_Inputs[Primary_Line], "8", tblMaster_Inputs[Activity_Type], "Strategy")</f>
        <v/>
      </c>
      <c r="J9">
        <f>SUMIFS(tblMaster_Inputs[Baseline_Amount], tblMaster_Inputs[Year], 2024, tblMaster_Inputs[Primary_Line], "8", tblMaster_Inputs[Activity_Type], "Strategy")</f>
        <v/>
      </c>
      <c r="K9">
        <f>SUMIFS(tblMaster_Inputs[Baseline_Amount], tblMaster_Inputs[Year], 2025, tblMaster_Inputs[Primary_Line], "8", tblMaster_Inputs[Activity_Type], "Strategy")</f>
        <v/>
      </c>
      <c r="L9">
        <f>SUMIFS(tblMaster_Inputs[Baseline_Amount], tblMaster_Inputs[Year], 2026, tblMaster_Inputs[Primary_Line], "8", tblMaster_Inputs[Activity_Type], "Strategy")</f>
        <v/>
      </c>
      <c r="M9">
        <f>SUMIFS(tblMaster_Inputs[Baseline_Amount], tblMaster_Inputs[Year], 2027, tblMaster_Inputs[Primary_Line], "8", tblMaster_Inputs[Activity_Type], "Strategy")</f>
        <v/>
      </c>
      <c r="N9">
        <f>SUMIFS(tblMaster_Inputs[Baseline_Amount], tblMaster_Inputs[Year], 2028, tblMaster_Inputs[Primary_Line], "8",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  <c r="I10" s="5">
        <f>I5+I6+I7+I8+I9</f>
        <v/>
      </c>
      <c r="J10" s="5">
        <f>J5+J6+J7+J8+J9</f>
        <v/>
      </c>
      <c r="K10" s="5">
        <f>K5+K6+K7+K8+K9</f>
        <v/>
      </c>
      <c r="L10" s="5">
        <f>L5+L6+L7+L8+L9</f>
        <v/>
      </c>
      <c r="M10" s="5">
        <f>M5+M6+M7+M8+M9</f>
        <v/>
      </c>
      <c r="N10" s="5">
        <f>N5+N6+N7+N8+N9</f>
        <v/>
      </c>
      <c r="O10" s="5">
        <f>C10+I10</f>
        <v/>
      </c>
      <c r="P10" s="5">
        <f>D10+J10</f>
        <v/>
      </c>
      <c r="Q10" s="5">
        <f>E10+K10</f>
        <v/>
      </c>
      <c r="R10" s="5">
        <f>F10+L10</f>
        <v/>
      </c>
      <c r="S10" s="5">
        <f>G10+M10</f>
        <v/>
      </c>
      <c r="T10" s="5">
        <f>H10+N10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"10", tblMaster_Inputs[Activity_Type], "Baseline")</f>
        <v/>
      </c>
      <c r="D11">
        <f>SUMIFS(tblMaster_Inputs[Baseline_Amount], tblMaster_Inputs[Year], 2024, tblMaster_Inputs[Primary_Line], "10", tblMaster_Inputs[Activity_Type], "Baseline")</f>
        <v/>
      </c>
      <c r="E11">
        <f>SUMIFS(tblMaster_Inputs[Baseline_Amount], tblMaster_Inputs[Year], 2025, tblMaster_Inputs[Primary_Line], "10", tblMaster_Inputs[Activity_Type], "Baseline")</f>
        <v/>
      </c>
      <c r="F11">
        <f>SUMIFS(tblMaster_Inputs[Baseline_Amount], tblMaster_Inputs[Year], 2026, tblMaster_Inputs[Primary_Line], "10", tblMaster_Inputs[Activity_Type], "Baseline")</f>
        <v/>
      </c>
      <c r="G11">
        <f>SUMIFS(tblMaster_Inputs[Baseline_Amount], tblMaster_Inputs[Year], 2027, tblMaster_Inputs[Primary_Line], "10", tblMaster_Inputs[Activity_Type], "Baseline")</f>
        <v/>
      </c>
      <c r="H11">
        <f>SUMIFS(tblMaster_Inputs[Baseline_Amount], tblMaster_Inputs[Year], 2028, tblMaster_Inputs[Primary_Line], "10", tblMaster_Inputs[Activity_Type], "Baseline")</f>
        <v/>
      </c>
      <c r="I11">
        <f>SUMIFS(tblMaster_Inputs[Baseline_Amount], tblMaster_Inputs[Year], 2023, tblMaster_Inputs[Primary_Line], "10", tblMaster_Inputs[Activity_Type], "Strategy")</f>
        <v/>
      </c>
      <c r="J11">
        <f>SUMIFS(tblMaster_Inputs[Baseline_Amount], tblMaster_Inputs[Year], 2024, tblMaster_Inputs[Primary_Line], "10", tblMaster_Inputs[Activity_Type], "Strategy")</f>
        <v/>
      </c>
      <c r="K11">
        <f>SUMIFS(tblMaster_Inputs[Baseline_Amount], tblMaster_Inputs[Year], 2025, tblMaster_Inputs[Primary_Line], "10", tblMaster_Inputs[Activity_Type], "Strategy")</f>
        <v/>
      </c>
      <c r="L11">
        <f>SUMIFS(tblMaster_Inputs[Baseline_Amount], tblMaster_Inputs[Year], 2026, tblMaster_Inputs[Primary_Line], "10", tblMaster_Inputs[Activity_Type], "Strategy")</f>
        <v/>
      </c>
      <c r="M11">
        <f>SUMIFS(tblMaster_Inputs[Baseline_Amount], tblMaster_Inputs[Year], 2027, tblMaster_Inputs[Primary_Line], "10", tblMaster_Inputs[Activity_Type], "Strategy")</f>
        <v/>
      </c>
      <c r="N11">
        <f>SUMIFS(tblMaster_Inputs[Baseline_Amount], tblMaster_Inputs[Year], 2028, tblMaster_Inputs[Primary_Line], "10",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  <c r="I12" s="5">
        <f>I10+I11</f>
        <v/>
      </c>
      <c r="J12" s="5">
        <f>J10+J11</f>
        <v/>
      </c>
      <c r="K12" s="5">
        <f>K10+K11</f>
        <v/>
      </c>
      <c r="L12" s="5">
        <f>L10+L11</f>
        <v/>
      </c>
      <c r="M12" s="5">
        <f>M10+M11</f>
        <v/>
      </c>
      <c r="N12" s="5">
        <f>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"12", tblMaster_Inputs[Activity_Type], "Baseline")</f>
        <v/>
      </c>
      <c r="D13">
        <f>SUMIFS(tblMaster_Inputs[Baseline_Amount], tblMaster_Inputs[Year], 2024, tblMaster_Inputs[Primary_Line], "12", tblMaster_Inputs[Activity_Type], "Baseline")</f>
        <v/>
      </c>
      <c r="E13">
        <f>SUMIFS(tblMaster_Inputs[Baseline_Amount], tblMaster_Inputs[Year], 2025, tblMaster_Inputs[Primary_Line], "12", tblMaster_Inputs[Activity_Type], "Baseline")</f>
        <v/>
      </c>
      <c r="F13">
        <f>SUMIFS(tblMaster_Inputs[Baseline_Amount], tblMaster_Inputs[Year], 2026, tblMaster_Inputs[Primary_Line], "12", tblMaster_Inputs[Activity_Type], "Baseline")</f>
        <v/>
      </c>
      <c r="G13">
        <f>SUMIFS(tblMaster_Inputs[Baseline_Amount], tblMaster_Inputs[Year], 2027, tblMaster_Inputs[Primary_Line], "12", tblMaster_Inputs[Activity_Type], "Baseline")</f>
        <v/>
      </c>
      <c r="H13">
        <f>SUMIFS(tblMaster_Inputs[Baseline_Amount], tblMaster_Inputs[Year], 2028, tblMaster_Inputs[Primary_Line], "12", tblMaster_Inputs[Activity_Type], "Baseline")</f>
        <v/>
      </c>
      <c r="I13">
        <f>SUMIFS(tblMaster_Inputs[Baseline_Amount], tblMaster_Inputs[Year], 2023, tblMaster_Inputs[Primary_Line], "12", tblMaster_Inputs[Activity_Type], "Strategy")</f>
        <v/>
      </c>
      <c r="J13">
        <f>SUMIFS(tblMaster_Inputs[Baseline_Amount], tblMaster_Inputs[Year], 2024, tblMaster_Inputs[Primary_Line], "12", tblMaster_Inputs[Activity_Type], "Strategy")</f>
        <v/>
      </c>
      <c r="K13">
        <f>SUMIFS(tblMaster_Inputs[Baseline_Amount], tblMaster_Inputs[Year], 2025, tblMaster_Inputs[Primary_Line], "12", tblMaster_Inputs[Activity_Type], "Strategy")</f>
        <v/>
      </c>
      <c r="L13">
        <f>SUMIFS(tblMaster_Inputs[Baseline_Amount], tblMaster_Inputs[Year], 2026, tblMaster_Inputs[Primary_Line], "12", tblMaster_Inputs[Activity_Type], "Strategy")</f>
        <v/>
      </c>
      <c r="M13">
        <f>SUMIFS(tblMaster_Inputs[Baseline_Amount], tblMaster_Inputs[Year], 2027, tblMaster_Inputs[Primary_Line], "12", tblMaster_Inputs[Activity_Type], "Strategy")</f>
        <v/>
      </c>
      <c r="N13">
        <f>SUMIFS(tblMaster_Inputs[Baseline_Amount], tblMaster_Inputs[Year], 2028, tblMaster_Inputs[Primary_Line], "12",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"13", tblMaster_Inputs[Activity_Type], "Baseline")</f>
        <v/>
      </c>
      <c r="D14">
        <f>SUMIFS(tblMaster_Inputs[Baseline_Amount], tblMaster_Inputs[Year], 2024, tblMaster_Inputs[Primary_Line], "13", tblMaster_Inputs[Activity_Type], "Baseline")</f>
        <v/>
      </c>
      <c r="E14">
        <f>SUMIFS(tblMaster_Inputs[Baseline_Amount], tblMaster_Inputs[Year], 2025, tblMaster_Inputs[Primary_Line], "13", tblMaster_Inputs[Activity_Type], "Baseline")</f>
        <v/>
      </c>
      <c r="F14">
        <f>SUMIFS(tblMaster_Inputs[Baseline_Amount], tblMaster_Inputs[Year], 2026, tblMaster_Inputs[Primary_Line], "13", tblMaster_Inputs[Activity_Type], "Baseline")</f>
        <v/>
      </c>
      <c r="G14">
        <f>SUMIFS(tblMaster_Inputs[Baseline_Amount], tblMaster_Inputs[Year], 2027, tblMaster_Inputs[Primary_Line], "13", tblMaster_Inputs[Activity_Type], "Baseline")</f>
        <v/>
      </c>
      <c r="H14">
        <f>SUMIFS(tblMaster_Inputs[Baseline_Amount], tblMaster_Inputs[Year], 2028, tblMaster_Inputs[Primary_Line], "13", tblMaster_Inputs[Activity_Type], "Baseline")</f>
        <v/>
      </c>
      <c r="I14">
        <f>SUMIFS(tblMaster_Inputs[Baseline_Amount], tblMaster_Inputs[Year], 2023, tblMaster_Inputs[Primary_Line], "13", tblMaster_Inputs[Activity_Type], "Strategy")</f>
        <v/>
      </c>
      <c r="J14">
        <f>SUMIFS(tblMaster_Inputs[Baseline_Amount], tblMaster_Inputs[Year], 2024, tblMaster_Inputs[Primary_Line], "13", tblMaster_Inputs[Activity_Type], "Strategy")</f>
        <v/>
      </c>
      <c r="K14">
        <f>SUMIFS(tblMaster_Inputs[Baseline_Amount], tblMaster_Inputs[Year], 2025, tblMaster_Inputs[Primary_Line], "13", tblMaster_Inputs[Activity_Type], "Strategy")</f>
        <v/>
      </c>
      <c r="L14">
        <f>SUMIFS(tblMaster_Inputs[Baseline_Amount], tblMaster_Inputs[Year], 2026, tblMaster_Inputs[Primary_Line], "13", tblMaster_Inputs[Activity_Type], "Strategy")</f>
        <v/>
      </c>
      <c r="M14">
        <f>SUMIFS(tblMaster_Inputs[Baseline_Amount], tblMaster_Inputs[Year], 2027, tblMaster_Inputs[Primary_Line], "13", tblMaster_Inputs[Activity_Type], "Strategy")</f>
        <v/>
      </c>
      <c r="N14">
        <f>SUMIFS(tblMaster_Inputs[Baseline_Amount], tblMaster_Inputs[Year], 2028, tblMaster_Inputs[Primary_Line], "13",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  <c r="I15" s="5">
        <f>I12+I13+I14</f>
        <v/>
      </c>
      <c r="J15" s="5">
        <f>J12+J13+J14</f>
        <v/>
      </c>
      <c r="K15" s="5">
        <f>K12+K13+K14</f>
        <v/>
      </c>
      <c r="L15" s="5">
        <f>L12+L13+L14</f>
        <v/>
      </c>
      <c r="M15" s="5">
        <f>M12+M13+M14</f>
        <v/>
      </c>
      <c r="N15" s="5">
        <f>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808080"/>
    <outlinePr summaryBelow="1" summaryRight="1"/>
    <pageSetUpPr/>
  </sheetPr>
  <dimension ref="A1:T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"SchC_Active", tblMaster_Inputs[Activity_Type], "Baseline")</f>
        <v/>
      </c>
      <c r="D9">
        <f>SUMIFS(tblMaster_Inputs[Baseline_Amount], tblMaster_Inputs[Year], 2024, tblMaster_Inputs[Treatment_Profile], "SchC_Active", tblMaster_Inputs[Activity_Type], "Baseline")</f>
        <v/>
      </c>
      <c r="E9">
        <f>SUMIFS(tblMaster_Inputs[Baseline_Amount], tblMaster_Inputs[Year], 2025, tblMaster_Inputs[Treatment_Profile], "SchC_Active", tblMaster_Inputs[Activity_Type], "Baseline")</f>
        <v/>
      </c>
      <c r="F9">
        <f>SUMIFS(tblMaster_Inputs[Baseline_Amount], tblMaster_Inputs[Year], 2026, tblMaster_Inputs[Treatment_Profile], "SchC_Active", tblMaster_Inputs[Activity_Type], "Baseline")</f>
        <v/>
      </c>
      <c r="G9">
        <f>SUMIFS(tblMaster_Inputs[Baseline_Amount], tblMaster_Inputs[Year], 2027, tblMaster_Inputs[Treatment_Profile], "SchC_Active", tblMaster_Inputs[Activity_Type], "Baseline")</f>
        <v/>
      </c>
      <c r="H9">
        <f>SUMIFS(tblMaster_Inputs[Baseline_Amount], tblMaster_Inputs[Year], 2028, tblMaster_Inputs[Treatment_Profile], "SchC_Active", tblMaster_Inputs[Activity_Type], "Baseline")</f>
        <v/>
      </c>
      <c r="I9">
        <f>SUMIFS(tblMaster_Inputs[Baseline_Amount], tblMaster_Inputs[Year], 2023, tblMaster_Inputs[Treatment_Profile], "SchC_Active", tblMaster_Inputs[Activity_Type], "Strategy")</f>
        <v/>
      </c>
      <c r="J9">
        <f>SUMIFS(tblMaster_Inputs[Baseline_Amount], tblMaster_Inputs[Year], 2024, tblMaster_Inputs[Treatment_Profile], "SchC_Active", tblMaster_Inputs[Activity_Type], "Strategy")</f>
        <v/>
      </c>
      <c r="K9">
        <f>SUMIFS(tblMaster_Inputs[Baseline_Amount], tblMaster_Inputs[Year], 2025, tblMaster_Inputs[Treatment_Profile], "SchC_Active", tblMaster_Inputs[Activity_Type], "Strategy")</f>
        <v/>
      </c>
      <c r="L9">
        <f>SUMIFS(tblMaster_Inputs[Baseline_Amount], tblMaster_Inputs[Year], 2026, tblMaster_Inputs[Treatment_Profile], "SchC_Active", tblMaster_Inputs[Activity_Type], "Strategy")</f>
        <v/>
      </c>
      <c r="M9">
        <f>SUMIFS(tblMaster_Inputs[Baseline_Amount], tblMaster_Inputs[Year], 2027, tblMaster_Inputs[Treatment_Profile], "SchC_Active", tblMaster_Inputs[Activity_Type], "Strategy")</f>
        <v/>
      </c>
      <c r="N9">
        <f>SUMIFS(tblMaster_Inputs[Baseline_Amount], tblMaster_Inputs[Year], 2028, tblMaster_Inputs[Treatment_Profile], "SchC_Active",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8.SchE</t>
        </is>
      </c>
      <c r="B10" t="inlineStr">
        <is>
          <t>Schedule E rental</t>
        </is>
      </c>
      <c r="C10" s="100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/>
      </c>
      <c r="D10" s="100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/>
      </c>
      <c r="E10" s="100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/>
      </c>
      <c r="F10" s="100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/>
      </c>
      <c r="G10" s="100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/>
      </c>
      <c r="H10" s="100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/>
      </c>
      <c r="I10" s="100">
        <f>SUMIFS(tblMaster_Inputs[Baseline_Amount], tblMaster_Inputs[Year], 2023, tblMaster_Inputs[Treatment_Profile], "SchE_Rental", tblMaster_Inputs[Activity_Type], "Strategy") + SUMIFS(tblMaster_Inputs[Baseline_Amount], tblMaster_Inputs[Year], 2023, tblMaster_Inputs[Treatment_Profile], "SchE_REPro", tblMaster_Inputs[Activity_Type], "Strategy")</f>
        <v/>
      </c>
      <c r="J10" s="100">
        <f>SUMIFS(tblMaster_Inputs[Baseline_Amount], tblMaster_Inputs[Year], 2024, tblMaster_Inputs[Treatment_Profile], "SchE_Rental", tblMaster_Inputs[Activity_Type], "Strategy") + SUMIFS(tblMaster_Inputs[Baseline_Amount], tblMaster_Inputs[Year], 2024, tblMaster_Inputs[Treatment_Profile], "SchE_REPro", tblMaster_Inputs[Activity_Type], "Strategy")</f>
        <v/>
      </c>
      <c r="K10" s="100">
        <f>SUMIFS(tblMaster_Inputs[Baseline_Amount], tblMaster_Inputs[Year], 2025, tblMaster_Inputs[Treatment_Profile], "SchE_Rental", tblMaster_Inputs[Activity_Type], "Strategy") + SUMIFS(tblMaster_Inputs[Baseline_Amount], tblMaster_Inputs[Year], 2025, tblMaster_Inputs[Treatment_Profile], "SchE_REPro", tblMaster_Inputs[Activity_Type], "Strategy")</f>
        <v/>
      </c>
      <c r="L10" s="100">
        <f>SUMIFS(tblMaster_Inputs[Baseline_Amount], tblMaster_Inputs[Year], 2026, tblMaster_Inputs[Treatment_Profile], "SchE_Rental", tblMaster_Inputs[Activity_Type], "Strategy") + SUMIFS(tblMaster_Inputs[Baseline_Amount], tblMaster_Inputs[Year], 2026, tblMaster_Inputs[Treatment_Profile], "SchE_REPro", tblMaster_Inputs[Activity_Type], "Strategy")</f>
        <v/>
      </c>
      <c r="M10" s="100">
        <f>SUMIFS(tblMaster_Inputs[Baseline_Amount], tblMaster_Inputs[Year], 2027, tblMaster_Inputs[Treatment_Profile], "SchE_Rental", tblMaster_Inputs[Activity_Type], "Strategy") + SUMIFS(tblMaster_Inputs[Baseline_Amount], tblMaster_Inputs[Year], 2027, tblMaster_Inputs[Treatment_Profile], "SchE_REPro", tblMaster_Inputs[Activity_Type], "Strategy")</f>
        <v/>
      </c>
      <c r="N10" s="100">
        <f>SUMIFS(tblMaster_Inputs[Baseline_Amount], tblMaster_Inputs[Year], 2028, tblMaster_Inputs[Treatment_Profile], "SchE_Rental", tblMaster_Inputs[Activity_Type], "Strategy") + SUMIFS(tblMaster_Inputs[Baseline_Amount], tblMaster_Inputs[Year], 2028, tblMaster_Inputs[Treatment_Profile], "SchE_REPro", tblMaster_Inputs[Activity_Type], "Strategy")</f>
        <v/>
      </c>
      <c r="O10" s="100">
        <f>C10+I10</f>
        <v/>
      </c>
      <c r="P10" s="100">
        <f>D10+J10</f>
        <v/>
      </c>
      <c r="Q10" s="100">
        <f>E10+K10</f>
        <v/>
      </c>
      <c r="R10" s="100">
        <f>F10+L10</f>
        <v/>
      </c>
      <c r="S10" s="100">
        <f>G10+M10</f>
        <v/>
      </c>
      <c r="T10" s="100">
        <f>H10+N10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/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/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/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/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/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/>
      </c>
      <c r="I11">
        <f>SUMIFS(tblMaster_Inputs[Baseline_Amount], tblMaster_Inputs[Year], 2023, tblMaster_Inputs[Treatment_Profile], "K1_PTP_Active", tblMaster_Inputs[Activity_Type], "Strategy") + SUMIFS(tblMaster_Inputs[Baseline_Amount], tblMaster_Inputs[Year], 2023, tblMaster_Inputs[Treatment_Profile], "K1_PTP_Passive", tblMaster_Inputs[Activity_Type], "Strategy")</f>
        <v/>
      </c>
      <c r="J11">
        <f>SUMIFS(tblMaster_Inputs[Baseline_Amount], tblMaster_Inputs[Year], 2024, tblMaster_Inputs[Treatment_Profile], "K1_PTP_Active", tblMaster_Inputs[Activity_Type], "Strategy") + SUMIFS(tblMaster_Inputs[Baseline_Amount], tblMaster_Inputs[Year], 2024, tblMaster_Inputs[Treatment_Profile], "K1_PTP_Passive", tblMaster_Inputs[Activity_Type], "Strategy")</f>
        <v/>
      </c>
      <c r="K11">
        <f>SUMIFS(tblMaster_Inputs[Baseline_Amount], tblMaster_Inputs[Year], 2025, tblMaster_Inputs[Treatment_Profile], "K1_PTP_Active", tblMaster_Inputs[Activity_Type], "Strategy") + SUMIFS(tblMaster_Inputs[Baseline_Amount], tblMaster_Inputs[Year], 2025, tblMaster_Inputs[Treatment_Profile], "K1_PTP_Passive", tblMaster_Inputs[Activity_Type], "Strategy")</f>
        <v/>
      </c>
      <c r="L11">
        <f>SUMIFS(tblMaster_Inputs[Baseline_Amount], tblMaster_Inputs[Year], 2026, tblMaster_Inputs[Treatment_Profile], "K1_PTP_Active", tblMaster_Inputs[Activity_Type], "Strategy") + SUMIFS(tblMaster_Inputs[Baseline_Amount], tblMaster_Inputs[Year], 2026, tblMaster_Inputs[Treatment_Profile], "K1_PTP_Passive", tblMaster_Inputs[Activity_Type], "Strategy")</f>
        <v/>
      </c>
      <c r="M11">
        <f>SUMIFS(tblMaster_Inputs[Baseline_Amount], tblMaster_Inputs[Year], 2027, tblMaster_Inputs[Treatment_Profile], "K1_PTP_Active", tblMaster_Inputs[Activity_Type], "Strategy") + SUMIFS(tblMaster_Inputs[Baseline_Amount], tblMaster_Inputs[Year], 2027, tblMaster_Inputs[Treatment_Profile], "K1_PTP_Passive", tblMaster_Inputs[Activity_Type], "Strategy")</f>
        <v/>
      </c>
      <c r="N11">
        <f>SUMIFS(tblMaster_Inputs[Baseline_Amount], tblMaster_Inputs[Year], 2028, tblMaster_Inputs[Treatment_Profile], "K1_PTP_Active", tblMaster_Inputs[Activity_Type], "Strategy") + SUMIFS(tblMaster_Inputs[Baseline_Amount], tblMaster_Inputs[Year], 2028, tblMaster_Inputs[Treatment_Profile], "K1_PTP_Passive",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/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/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/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/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/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/>
      </c>
      <c r="I12">
        <f>SUMIFS(tblMaster_Inputs[Baseline_Amount], tblMaster_Inputs[Year], 2023, tblMaster_Inputs[Treatment_Profile], "K1_SCorp_Active", tblMaster_Inputs[Activity_Type], "Strategy") + SUMIFS(tblMaster_Inputs[Baseline_Amount], tblMaster_Inputs[Year], 2023, tblMaster_Inputs[Treatment_Profile], "K1_SCorp_Passive", tblMaster_Inputs[Activity_Type], "Strategy")</f>
        <v/>
      </c>
      <c r="J12">
        <f>SUMIFS(tblMaster_Inputs[Baseline_Amount], tblMaster_Inputs[Year], 2024, tblMaster_Inputs[Treatment_Profile], "K1_SCorp_Active", tblMaster_Inputs[Activity_Type], "Strategy") + SUMIFS(tblMaster_Inputs[Baseline_Amount], tblMaster_Inputs[Year], 2024, tblMaster_Inputs[Treatment_Profile], "K1_SCorp_Passive", tblMaster_Inputs[Activity_Type], "Strategy")</f>
        <v/>
      </c>
      <c r="K12">
        <f>SUMIFS(tblMaster_Inputs[Baseline_Amount], tblMaster_Inputs[Year], 2025, tblMaster_Inputs[Treatment_Profile], "K1_SCorp_Active", tblMaster_Inputs[Activity_Type], "Strategy") + SUMIFS(tblMaster_Inputs[Baseline_Amount], tblMaster_Inputs[Year], 2025, tblMaster_Inputs[Treatment_Profile], "K1_SCorp_Passive", tblMaster_Inputs[Activity_Type], "Strategy")</f>
        <v/>
      </c>
      <c r="L12">
        <f>SUMIFS(tblMaster_Inputs[Baseline_Amount], tblMaster_Inputs[Year], 2026, tblMaster_Inputs[Treatment_Profile], "K1_SCorp_Active", tblMaster_Inputs[Activity_Type], "Strategy") + SUMIFS(tblMaster_Inputs[Baseline_Amount], tblMaster_Inputs[Year], 2026, tblMaster_Inputs[Treatment_Profile], "K1_SCorp_Passive", tblMaster_Inputs[Activity_Type], "Strategy")</f>
        <v/>
      </c>
      <c r="M12">
        <f>SUMIFS(tblMaster_Inputs[Baseline_Amount], tblMaster_Inputs[Year], 2027, tblMaster_Inputs[Treatment_Profile], "K1_SCorp_Active", tblMaster_Inputs[Activity_Type], "Strategy") + SUMIFS(tblMaster_Inputs[Baseline_Amount], tblMaster_Inputs[Year], 2027, tblMaster_Inputs[Treatment_Profile], "K1_SCorp_Passive", tblMaster_Inputs[Activity_Type], "Strategy")</f>
        <v/>
      </c>
      <c r="N12">
        <f>SUMIFS(tblMaster_Inputs[Baseline_Amount], tblMaster_Inputs[Year], 2028, tblMaster_Inputs[Treatment_Profile], "K1_SCorp_Active", tblMaster_Inputs[Activity_Type], "Strategy") + SUMIFS(tblMaster_Inputs[Baseline_Amount], tblMaster_Inputs[Year], 2028, tblMaster_Inputs[Treatment_Profile], "K1_SCorp_Passive",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"SchF_Active", tblMaster_Inputs[Activity_Type], "Baseline")</f>
        <v/>
      </c>
      <c r="D13">
        <f>SUMIFS(tblMaster_Inputs[Baseline_Amount], tblMaster_Inputs[Year], 2024, tblMaster_Inputs[Treatment_Profile], "SchF_Active", tblMaster_Inputs[Activity_Type], "Baseline")</f>
        <v/>
      </c>
      <c r="E13">
        <f>SUMIFS(tblMaster_Inputs[Baseline_Amount], tblMaster_Inputs[Year], 2025, tblMaster_Inputs[Treatment_Profile], "SchF_Active", tblMaster_Inputs[Activity_Type], "Baseline")</f>
        <v/>
      </c>
      <c r="F13">
        <f>SUMIFS(tblMaster_Inputs[Baseline_Amount], tblMaster_Inputs[Year], 2026, tblMaster_Inputs[Treatment_Profile], "SchF_Active", tblMaster_Inputs[Activity_Type], "Baseline")</f>
        <v/>
      </c>
      <c r="G13">
        <f>SUMIFS(tblMaster_Inputs[Baseline_Amount], tblMaster_Inputs[Year], 2027, tblMaster_Inputs[Treatment_Profile], "SchF_Active", tblMaster_Inputs[Activity_Type], "Baseline")</f>
        <v/>
      </c>
      <c r="H13">
        <f>SUMIFS(tblMaster_Inputs[Baseline_Amount], tblMaster_Inputs[Year], 2028, tblMaster_Inputs[Treatment_Profile], "SchF_Active", tblMaster_Inputs[Activity_Type], "Baseline")</f>
        <v/>
      </c>
      <c r="I13">
        <f>SUMIFS(tblMaster_Inputs[Baseline_Amount], tblMaster_Inputs[Year], 2023, tblMaster_Inputs[Treatment_Profile], "SchF_Active", tblMaster_Inputs[Activity_Type], "Strategy")</f>
        <v/>
      </c>
      <c r="J13">
        <f>SUMIFS(tblMaster_Inputs[Baseline_Amount], tblMaster_Inputs[Year], 2024, tblMaster_Inputs[Treatment_Profile], "SchF_Active", tblMaster_Inputs[Activity_Type], "Strategy")</f>
        <v/>
      </c>
      <c r="K13">
        <f>SUMIFS(tblMaster_Inputs[Baseline_Amount], tblMaster_Inputs[Year], 2025, tblMaster_Inputs[Treatment_Profile], "SchF_Active", tblMaster_Inputs[Activity_Type], "Strategy")</f>
        <v/>
      </c>
      <c r="L13">
        <f>SUMIFS(tblMaster_Inputs[Baseline_Amount], tblMaster_Inputs[Year], 2026, tblMaster_Inputs[Treatment_Profile], "SchF_Active", tblMaster_Inputs[Activity_Type], "Strategy")</f>
        <v/>
      </c>
      <c r="M13">
        <f>SUMIFS(tblMaster_Inputs[Baseline_Amount], tblMaster_Inputs[Year], 2027, tblMaster_Inputs[Treatment_Profile], "SchF_Active", tblMaster_Inputs[Activity_Type], "Strategy")</f>
        <v/>
      </c>
      <c r="N13">
        <f>SUMIFS(tblMaster_Inputs[Baseline_Amount], tblMaster_Inputs[Year], 2028, tblMaster_Inputs[Treatment_Profile], "SchF_Active",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"Trust_K1", tblMaster_Inputs[Activity_Type], "Baseline")</f>
        <v/>
      </c>
      <c r="D14">
        <f>SUMIFS(tblMaster_Inputs[Baseline_Amount], tblMaster_Inputs[Year], 2024, tblMaster_Inputs[Treatment_Profile], "Trust_K1", tblMaster_Inputs[Activity_Type], "Baseline")</f>
        <v/>
      </c>
      <c r="E14">
        <f>SUMIFS(tblMaster_Inputs[Baseline_Amount], tblMaster_Inputs[Year], 2025, tblMaster_Inputs[Treatment_Profile], "Trust_K1", tblMaster_Inputs[Activity_Type], "Baseline")</f>
        <v/>
      </c>
      <c r="F14">
        <f>SUMIFS(tblMaster_Inputs[Baseline_Amount], tblMaster_Inputs[Year], 2026, tblMaster_Inputs[Treatment_Profile], "Trust_K1", tblMaster_Inputs[Activity_Type], "Baseline")</f>
        <v/>
      </c>
      <c r="G14">
        <f>SUMIFS(tblMaster_Inputs[Baseline_Amount], tblMaster_Inputs[Year], 2027, tblMaster_Inputs[Treatment_Profile], "Trust_K1", tblMaster_Inputs[Activity_Type], "Baseline")</f>
        <v/>
      </c>
      <c r="H14">
        <f>SUMIFS(tblMaster_Inputs[Baseline_Amount], tblMaster_Inputs[Year], 2028, tblMaster_Inputs[Treatment_Profile], "Trust_K1", tblMaster_Inputs[Activity_Type], "Baseline")</f>
        <v/>
      </c>
      <c r="I14">
        <f>SUMIFS(tblMaster_Inputs[Baseline_Amount], tblMaster_Inputs[Year], 2023, tblMaster_Inputs[Treatment_Profile], "Trust_K1", tblMaster_Inputs[Activity_Type], "Strategy")</f>
        <v/>
      </c>
      <c r="J14">
        <f>SUMIFS(tblMaster_Inputs[Baseline_Amount], tblMaster_Inputs[Year], 2024, tblMaster_Inputs[Treatment_Profile], "Trust_K1", tblMaster_Inputs[Activity_Type], "Strategy")</f>
        <v/>
      </c>
      <c r="K14">
        <f>SUMIFS(tblMaster_Inputs[Baseline_Amount], tblMaster_Inputs[Year], 2025, tblMaster_Inputs[Treatment_Profile], "Trust_K1", tblMaster_Inputs[Activity_Type], "Strategy")</f>
        <v/>
      </c>
      <c r="L14">
        <f>SUMIFS(tblMaster_Inputs[Baseline_Amount], tblMaster_Inputs[Year], 2026, tblMaster_Inputs[Treatment_Profile], "Trust_K1", tblMaster_Inputs[Activity_Type], "Strategy")</f>
        <v/>
      </c>
      <c r="M14">
        <f>SUMIFS(tblMaster_Inputs[Baseline_Amount], tblMaster_Inputs[Year], 2027, tblMaster_Inputs[Treatment_Profile], "Trust_K1", tblMaster_Inputs[Activity_Type], "Strategy")</f>
        <v/>
      </c>
      <c r="N14">
        <f>SUMIFS(tblMaster_Inputs[Baseline_Amount], tblMaster_Inputs[Year], 2028, tblMaster_Inputs[Treatment_Profile], "Trust_K1",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  <c r="I15" s="5">
        <f>I9+I10+I11+I12+I13+I14</f>
        <v/>
      </c>
      <c r="J15" s="5">
        <f>J9+J10+J11+J12+J13+J14</f>
        <v/>
      </c>
      <c r="K15" s="5">
        <f>K9+K10+K11+K12+K13+K14</f>
        <v/>
      </c>
      <c r="L15" s="5">
        <f>L9+L10+L11+L12+L13+L14</f>
        <v/>
      </c>
      <c r="M15" s="5">
        <f>M9+M10+M11+M12+M13+M14</f>
        <v/>
      </c>
      <c r="N15" s="5">
        <f>N9+N10+N11+N12+N13+N14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  <c r="I16" s="5">
        <f>I5+I6+I7+I8+I15</f>
        <v/>
      </c>
      <c r="J16" s="5">
        <f>J5+J6+J7+J8+J15</f>
        <v/>
      </c>
      <c r="K16" s="5">
        <f>K5+K6+K7+K8+K15</f>
        <v/>
      </c>
      <c r="L16" s="5">
        <f>L5+L6+L7+L8+L15</f>
        <v/>
      </c>
      <c r="M16" s="5">
        <f>M5+M6+M7+M8+M15</f>
        <v/>
      </c>
      <c r="N16" s="5">
        <f>N5+N6+N7+N8+N15</f>
        <v/>
      </c>
      <c r="O16" s="5">
        <f>C16+I16</f>
        <v/>
      </c>
      <c r="P16" s="5">
        <f>D16+J16</f>
        <v/>
      </c>
      <c r="Q16" s="5">
        <f>E16+K16</f>
        <v/>
      </c>
      <c r="R16" s="5">
        <f>F16+L16</f>
        <v/>
      </c>
      <c r="S16" s="5">
        <f>G16+M16</f>
        <v/>
      </c>
      <c r="T16" s="5">
        <f>H16+N16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"10", tblMaster_Inputs[Activity_Type], "Baseline")</f>
        <v/>
      </c>
      <c r="D17">
        <f>SUMIFS(tblMaster_Inputs[Baseline_Amount], tblMaster_Inputs[Year], 2024, tblMaster_Inputs[Primary_Line], "10", tblMaster_Inputs[Activity_Type], "Baseline")</f>
        <v/>
      </c>
      <c r="E17">
        <f>SUMIFS(tblMaster_Inputs[Baseline_Amount], tblMaster_Inputs[Year], 2025, tblMaster_Inputs[Primary_Line], "10", tblMaster_Inputs[Activity_Type], "Baseline")</f>
        <v/>
      </c>
      <c r="F17">
        <f>SUMIFS(tblMaster_Inputs[Baseline_Amount], tblMaster_Inputs[Year], 2026, tblMaster_Inputs[Primary_Line], "10", tblMaster_Inputs[Activity_Type], "Baseline")</f>
        <v/>
      </c>
      <c r="G17">
        <f>SUMIFS(tblMaster_Inputs[Baseline_Amount], tblMaster_Inputs[Year], 2027, tblMaster_Inputs[Primary_Line], "10", tblMaster_Inputs[Activity_Type], "Baseline")</f>
        <v/>
      </c>
      <c r="H17">
        <f>SUMIFS(tblMaster_Inputs[Baseline_Amount], tblMaster_Inputs[Year], 2028, tblMaster_Inputs[Primary_Line], "10", tblMaster_Inputs[Activity_Type], "Baseline")</f>
        <v/>
      </c>
      <c r="I17">
        <f>SUMIFS(tblMaster_Inputs[Baseline_Amount], tblMaster_Inputs[Year], 2023, tblMaster_Inputs[Primary_Line], "10", tblMaster_Inputs[Activity_Type], "Strategy")</f>
        <v/>
      </c>
      <c r="J17">
        <f>SUMIFS(tblMaster_Inputs[Baseline_Amount], tblMaster_Inputs[Year], 2024, tblMaster_Inputs[Primary_Line], "10", tblMaster_Inputs[Activity_Type], "Strategy")</f>
        <v/>
      </c>
      <c r="K17">
        <f>SUMIFS(tblMaster_Inputs[Baseline_Amount], tblMaster_Inputs[Year], 2025, tblMaster_Inputs[Primary_Line], "10", tblMaster_Inputs[Activity_Type], "Strategy")</f>
        <v/>
      </c>
      <c r="L17">
        <f>SUMIFS(tblMaster_Inputs[Baseline_Amount], tblMaster_Inputs[Year], 2026, tblMaster_Inputs[Primary_Line], "10", tblMaster_Inputs[Activity_Type], "Strategy")</f>
        <v/>
      </c>
      <c r="M17">
        <f>SUMIFS(tblMaster_Inputs[Baseline_Amount], tblMaster_Inputs[Year], 2027, tblMaster_Inputs[Primary_Line], "10", tblMaster_Inputs[Activity_Type], "Strategy")</f>
        <v/>
      </c>
      <c r="N17">
        <f>SUMIFS(tblMaster_Inputs[Baseline_Amount], tblMaster_Inputs[Year], 2028, tblMaster_Inputs[Primary_Line], "10", tblMaster_Inputs[Activity_Type], "Strategy")</f>
        <v/>
      </c>
      <c r="O17">
        <f>C17+I17</f>
        <v/>
      </c>
      <c r="P17">
        <f>D17+J17</f>
        <v/>
      </c>
      <c r="Q17">
        <f>E17+K17</f>
        <v/>
      </c>
      <c r="R17">
        <f>F17+L17</f>
        <v/>
      </c>
      <c r="S17">
        <f>G17+M17</f>
        <v/>
      </c>
      <c r="T17">
        <f>H17+N17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  <c r="I18" s="5">
        <f>I16+I17</f>
        <v/>
      </c>
      <c r="J18" s="5">
        <f>J16+J17</f>
        <v/>
      </c>
      <c r="K18" s="5">
        <f>K16+K17</f>
        <v/>
      </c>
      <c r="L18" s="5">
        <f>L16+L17</f>
        <v/>
      </c>
      <c r="M18" s="5">
        <f>M16+M17</f>
        <v/>
      </c>
      <c r="N18" s="5">
        <f>N16+N17</f>
        <v/>
      </c>
      <c r="O18" s="5">
        <f>C18+I18</f>
        <v/>
      </c>
      <c r="P18" s="5">
        <f>D18+J18</f>
        <v/>
      </c>
      <c r="Q18" s="5">
        <f>E18+K18</f>
        <v/>
      </c>
      <c r="R18" s="5">
        <f>F18+L18</f>
        <v/>
      </c>
      <c r="S18" s="5">
        <f>G18+M18</f>
        <v/>
      </c>
      <c r="T18" s="5">
        <f>H18+N18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"12", tblMaster_Inputs[Activity_Type], "Baseline")</f>
        <v/>
      </c>
      <c r="D19">
        <f>SUMIFS(tblMaster_Inputs[Baseline_Amount], tblMaster_Inputs[Year], 2024, tblMaster_Inputs[Primary_Line], "12", tblMaster_Inputs[Activity_Type], "Baseline")</f>
        <v/>
      </c>
      <c r="E19">
        <f>SUMIFS(tblMaster_Inputs[Baseline_Amount], tblMaster_Inputs[Year], 2025, tblMaster_Inputs[Primary_Line], "12", tblMaster_Inputs[Activity_Type], "Baseline")</f>
        <v/>
      </c>
      <c r="F19">
        <f>SUMIFS(tblMaster_Inputs[Baseline_Amount], tblMaster_Inputs[Year], 2026, tblMaster_Inputs[Primary_Line], "12", tblMaster_Inputs[Activity_Type], "Baseline")</f>
        <v/>
      </c>
      <c r="G19">
        <f>SUMIFS(tblMaster_Inputs[Baseline_Amount], tblMaster_Inputs[Year], 2027, tblMaster_Inputs[Primary_Line], "12", tblMaster_Inputs[Activity_Type], "Baseline")</f>
        <v/>
      </c>
      <c r="H19">
        <f>SUMIFS(tblMaster_Inputs[Baseline_Amount], tblMaster_Inputs[Year], 2028, tblMaster_Inputs[Primary_Line], "12", tblMaster_Inputs[Activity_Type], "Baseline")</f>
        <v/>
      </c>
      <c r="I19">
        <f>SUMIFS(tblMaster_Inputs[Baseline_Amount], tblMaster_Inputs[Year], 2023, tblMaster_Inputs[Primary_Line], "12", tblMaster_Inputs[Activity_Type], "Strategy")</f>
        <v/>
      </c>
      <c r="J19">
        <f>SUMIFS(tblMaster_Inputs[Baseline_Amount], tblMaster_Inputs[Year], 2024, tblMaster_Inputs[Primary_Line], "12", tblMaster_Inputs[Activity_Type], "Strategy")</f>
        <v/>
      </c>
      <c r="K19">
        <f>SUMIFS(tblMaster_Inputs[Baseline_Amount], tblMaster_Inputs[Year], 2025, tblMaster_Inputs[Primary_Line], "12", tblMaster_Inputs[Activity_Type], "Strategy")</f>
        <v/>
      </c>
      <c r="L19">
        <f>SUMIFS(tblMaster_Inputs[Baseline_Amount], tblMaster_Inputs[Year], 2026, tblMaster_Inputs[Primary_Line], "12", tblMaster_Inputs[Activity_Type], "Strategy")</f>
        <v/>
      </c>
      <c r="M19">
        <f>SUMIFS(tblMaster_Inputs[Baseline_Amount], tblMaster_Inputs[Year], 2027, tblMaster_Inputs[Primary_Line], "12", tblMaster_Inputs[Activity_Type], "Strategy")</f>
        <v/>
      </c>
      <c r="N19">
        <f>SUMIFS(tblMaster_Inputs[Baseline_Amount], tblMaster_Inputs[Year], 2028, tblMaster_Inputs[Primary_Line], "12", tblMaster_Inputs[Activity_Type], "Strategy")</f>
        <v/>
      </c>
      <c r="O19">
        <f>C19+I19</f>
        <v/>
      </c>
      <c r="P19">
        <f>D19+J19</f>
        <v/>
      </c>
      <c r="Q19">
        <f>E19+K19</f>
        <v/>
      </c>
      <c r="R19">
        <f>F19+L19</f>
        <v/>
      </c>
      <c r="S19">
        <f>G19+M19</f>
        <v/>
      </c>
      <c r="T19">
        <f>H19+N19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"13", tblMaster_Inputs[Activity_Type], "Baseline")</f>
        <v/>
      </c>
      <c r="D20">
        <f>SUMIFS(tblMaster_Inputs[Baseline_Amount], tblMaster_Inputs[Year], 2024, tblMaster_Inputs[Primary_Line], "13", tblMaster_Inputs[Activity_Type], "Baseline")</f>
        <v/>
      </c>
      <c r="E20">
        <f>SUMIFS(tblMaster_Inputs[Baseline_Amount], tblMaster_Inputs[Year], 2025, tblMaster_Inputs[Primary_Line], "13", tblMaster_Inputs[Activity_Type], "Baseline")</f>
        <v/>
      </c>
      <c r="F20">
        <f>SUMIFS(tblMaster_Inputs[Baseline_Amount], tblMaster_Inputs[Year], 2026, tblMaster_Inputs[Primary_Line], "13", tblMaster_Inputs[Activity_Type], "Baseline")</f>
        <v/>
      </c>
      <c r="G20">
        <f>SUMIFS(tblMaster_Inputs[Baseline_Amount], tblMaster_Inputs[Year], 2027, tblMaster_Inputs[Primary_Line], "13", tblMaster_Inputs[Activity_Type], "Baseline")</f>
        <v/>
      </c>
      <c r="H20">
        <f>SUMIFS(tblMaster_Inputs[Baseline_Amount], tblMaster_Inputs[Year], 2028, tblMaster_Inputs[Primary_Line], "13", tblMaster_Inputs[Activity_Type], "Baseline")</f>
        <v/>
      </c>
      <c r="I20">
        <f>SUMIFS(tblMaster_Inputs[Baseline_Amount], tblMaster_Inputs[Year], 2023, tblMaster_Inputs[Primary_Line], "13", tblMaster_Inputs[Activity_Type], "Strategy")</f>
        <v/>
      </c>
      <c r="J20">
        <f>SUMIFS(tblMaster_Inputs[Baseline_Amount], tblMaster_Inputs[Year], 2024, tblMaster_Inputs[Primary_Line], "13", tblMaster_Inputs[Activity_Type], "Strategy")</f>
        <v/>
      </c>
      <c r="K20">
        <f>SUMIFS(tblMaster_Inputs[Baseline_Amount], tblMaster_Inputs[Year], 2025, tblMaster_Inputs[Primary_Line], "13", tblMaster_Inputs[Activity_Type], "Strategy")</f>
        <v/>
      </c>
      <c r="L20">
        <f>SUMIFS(tblMaster_Inputs[Baseline_Amount], tblMaster_Inputs[Year], 2026, tblMaster_Inputs[Primary_Line], "13", tblMaster_Inputs[Activity_Type], "Strategy")</f>
        <v/>
      </c>
      <c r="M20">
        <f>SUMIFS(tblMaster_Inputs[Baseline_Amount], tblMaster_Inputs[Year], 2027, tblMaster_Inputs[Primary_Line], "13", tblMaster_Inputs[Activity_Type], "Strategy")</f>
        <v/>
      </c>
      <c r="N20">
        <f>SUMIFS(tblMaster_Inputs[Baseline_Amount], tblMaster_Inputs[Year], 2028, tblMaster_Inputs[Primary_Line], "13", tblMaster_Inputs[Activity_Type], "Strategy")</f>
        <v/>
      </c>
      <c r="O20">
        <f>C20+I20</f>
        <v/>
      </c>
      <c r="P20">
        <f>D20+J20</f>
        <v/>
      </c>
      <c r="Q20">
        <f>E20+K20</f>
        <v/>
      </c>
      <c r="R20">
        <f>F20+L20</f>
        <v/>
      </c>
      <c r="S20">
        <f>G20+M20</f>
        <v/>
      </c>
      <c r="T20">
        <f>H20+N20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  <c r="I21" s="5">
        <f>I18+I19+I20</f>
        <v/>
      </c>
      <c r="J21" s="5">
        <f>J18+J19+J20</f>
        <v/>
      </c>
      <c r="K21" s="5">
        <f>K18+K19+K20</f>
        <v/>
      </c>
      <c r="L21" s="5">
        <f>L18+L19+L20</f>
        <v/>
      </c>
      <c r="M21" s="5">
        <f>M18+M19+M20</f>
        <v/>
      </c>
      <c r="N21" s="5">
        <f>N18+N19+N20</f>
        <v/>
      </c>
      <c r="O21" s="5">
        <f>C21+I21</f>
        <v/>
      </c>
      <c r="P21" s="5">
        <f>D21+J21</f>
        <v/>
      </c>
      <c r="Q21" s="5">
        <f>E21+K21</f>
        <v/>
      </c>
      <c r="R21" s="5">
        <f>F21+L21</f>
        <v/>
      </c>
      <c r="S21" s="5">
        <f>G21+M21</f>
        <v/>
      </c>
      <c r="T21" s="5">
        <f>H21+N21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T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"TAX_EXEMPT", tblMaster_Inputs[Activity_Type], "Baseline")</f>
        <v/>
      </c>
      <c r="D6">
        <f>SUMIFS(tblMaster_Inputs[Helper_Amount], tblMaster_Inputs[Year], 2024, tblMaster_Inputs[Helper_Treatment], "TAX_EXEMPT", tblMaster_Inputs[Activity_Type], "Baseline")</f>
        <v/>
      </c>
      <c r="E6">
        <f>SUMIFS(tblMaster_Inputs[Helper_Amount], tblMaster_Inputs[Year], 2025, tblMaster_Inputs[Helper_Treatment], "TAX_EXEMPT", tblMaster_Inputs[Activity_Type], "Baseline")</f>
        <v/>
      </c>
      <c r="F6">
        <f>SUMIFS(tblMaster_Inputs[Helper_Amount], tblMaster_Inputs[Year], 2026, tblMaster_Inputs[Helper_Treatment], "TAX_EXEMPT", tblMaster_Inputs[Activity_Type], "Baseline")</f>
        <v/>
      </c>
      <c r="G6">
        <f>SUMIFS(tblMaster_Inputs[Helper_Amount], tblMaster_Inputs[Year], 2027, tblMaster_Inputs[Helper_Treatment], "TAX_EXEMPT", tblMaster_Inputs[Activity_Type], "Baseline")</f>
        <v/>
      </c>
      <c r="H6">
        <f>SUMIFS(tblMaster_Inputs[Helper_Amount], tblMaster_Inputs[Year], 2028, tblMaster_Inputs[Helper_Treatment], "TAX_EXEMPT", tblMaster_Inputs[Activity_Type], "Baseline")</f>
        <v/>
      </c>
      <c r="I6">
        <f>SUMIFS(tblMaster_Inputs[Helper_Amount], tblMaster_Inputs[Year], 2023, tblMaster_Inputs[Helper_Treatment], "TAX_EXEMPT", tblMaster_Inputs[Activity_Type], "Strategy")</f>
        <v/>
      </c>
      <c r="J6">
        <f>SUMIFS(tblMaster_Inputs[Helper_Amount], tblMaster_Inputs[Year], 2024, tblMaster_Inputs[Helper_Treatment], "TAX_EXEMPT", tblMaster_Inputs[Activity_Type], "Strategy")</f>
        <v/>
      </c>
      <c r="K6">
        <f>SUMIFS(tblMaster_Inputs[Helper_Amount], tblMaster_Inputs[Year], 2025, tblMaster_Inputs[Helper_Treatment], "TAX_EXEMPT", tblMaster_Inputs[Activity_Type], "Strategy")</f>
        <v/>
      </c>
      <c r="L6">
        <f>SUMIFS(tblMaster_Inputs[Helper_Amount], tblMaster_Inputs[Year], 2026, tblMaster_Inputs[Helper_Treatment], "TAX_EXEMPT", tblMaster_Inputs[Activity_Type], "Strategy")</f>
        <v/>
      </c>
      <c r="M6">
        <f>SUMIFS(tblMaster_Inputs[Helper_Amount], tblMaster_Inputs[Year], 2027, tblMaster_Inputs[Helper_Treatment], "TAX_EXEMPT", tblMaster_Inputs[Activity_Type], "Strategy")</f>
        <v/>
      </c>
      <c r="N6">
        <f>SUMIFS(tblMaster_Inputs[Helper_Amount], tblMaster_Inputs[Year], 2028, tblMaster_Inputs[Helper_Treatment], "TAX_EXEMPT",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"2b", tblMaster_Inputs[Activity_Type], "Baseline")</f>
        <v/>
      </c>
      <c r="D7">
        <f>SUMIFS(tblMaster_Inputs[Baseline_Amount], tblMaster_Inputs[Year], 2024, tblMaster_Inputs[Primary_Line], "2b", tblMaster_Inputs[Activity_Type], "Baseline")</f>
        <v/>
      </c>
      <c r="E7">
        <f>SUMIFS(tblMaster_Inputs[Baseline_Amount], tblMaster_Inputs[Year], 2025, tblMaster_Inputs[Primary_Line], "2b", tblMaster_Inputs[Activity_Type], "Baseline")</f>
        <v/>
      </c>
      <c r="F7">
        <f>SUMIFS(tblMaster_Inputs[Baseline_Amount], tblMaster_Inputs[Year], 2026, tblMaster_Inputs[Primary_Line], "2b", tblMaster_Inputs[Activity_Type], "Baseline")</f>
        <v/>
      </c>
      <c r="G7">
        <f>SUMIFS(tblMaster_Inputs[Baseline_Amount], tblMaster_Inputs[Year], 2027, tblMaster_Inputs[Primary_Line], "2b", tblMaster_Inputs[Activity_Type], "Baseline")</f>
        <v/>
      </c>
      <c r="H7">
        <f>SUMIFS(tblMaster_Inputs[Baseline_Amount], tblMaster_Inputs[Year], 2028, tblMaster_Inputs[Primary_Line], "2b", tblMaster_Inputs[Activity_Type], "Baseline")</f>
        <v/>
      </c>
      <c r="I7">
        <f>SUMIFS(tblMaster_Inputs[Baseline_Amount], tblMaster_Inputs[Year], 2023, tblMaster_Inputs[Primary_Line], "2b", tblMaster_Inputs[Activity_Type], "Strategy")</f>
        <v/>
      </c>
      <c r="J7">
        <f>SUMIFS(tblMaster_Inputs[Baseline_Amount], tblMaster_Inputs[Year], 2024, tblMaster_Inputs[Primary_Line], "2b", tblMaster_Inputs[Activity_Type], "Strategy")</f>
        <v/>
      </c>
      <c r="K7">
        <f>SUMIFS(tblMaster_Inputs[Baseline_Amount], tblMaster_Inputs[Year], 2025, tblMaster_Inputs[Primary_Line], "2b", tblMaster_Inputs[Activity_Type], "Strategy")</f>
        <v/>
      </c>
      <c r="L7">
        <f>SUMIFS(tblMaster_Inputs[Baseline_Amount], tblMaster_Inputs[Year], 2026, tblMaster_Inputs[Primary_Line], "2b", tblMaster_Inputs[Activity_Type], "Strategy")</f>
        <v/>
      </c>
      <c r="M7">
        <f>SUMIFS(tblMaster_Inputs[Baseline_Amount], tblMaster_Inputs[Year], 2027, tblMaster_Inputs[Primary_Line], "2b", tblMaster_Inputs[Activity_Type], "Strategy")</f>
        <v/>
      </c>
      <c r="N7">
        <f>SUMIFS(tblMaster_Inputs[Baseline_Amount], tblMaster_Inputs[Year], 2028, tblMaster_Inputs[Primary_Line], "2b",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"QUAL_DIV", tblMaster_Inputs[Activity_Type], "Baseline")</f>
        <v/>
      </c>
      <c r="D8">
        <f>SUMIFS(tblMaster_Inputs[Helper_Amount], tblMaster_Inputs[Year], 2024, tblMaster_Inputs[Helper_Treatment], "QUAL_DIV", tblMaster_Inputs[Activity_Type], "Baseline")</f>
        <v/>
      </c>
      <c r="E8">
        <f>SUMIFS(tblMaster_Inputs[Helper_Amount], tblMaster_Inputs[Year], 2025, tblMaster_Inputs[Helper_Treatment], "QUAL_DIV", tblMaster_Inputs[Activity_Type], "Baseline")</f>
        <v/>
      </c>
      <c r="F8">
        <f>SUMIFS(tblMaster_Inputs[Helper_Amount], tblMaster_Inputs[Year], 2026, tblMaster_Inputs[Helper_Treatment], "QUAL_DIV", tblMaster_Inputs[Activity_Type], "Baseline")</f>
        <v/>
      </c>
      <c r="G8">
        <f>SUMIFS(tblMaster_Inputs[Helper_Amount], tblMaster_Inputs[Year], 2027, tblMaster_Inputs[Helper_Treatment], "QUAL_DIV", tblMaster_Inputs[Activity_Type], "Baseline")</f>
        <v/>
      </c>
      <c r="H8">
        <f>SUMIFS(tblMaster_Inputs[Helper_Amount], tblMaster_Inputs[Year], 2028, tblMaster_Inputs[Helper_Treatment], "QUAL_DIV", tblMaster_Inputs[Activity_Type], "Baseline")</f>
        <v/>
      </c>
      <c r="I8">
        <f>SUMIFS(tblMaster_Inputs[Helper_Amount], tblMaster_Inputs[Year], 2023, tblMaster_Inputs[Helper_Treatment], "QUAL_DIV", tblMaster_Inputs[Activity_Type], "Strategy")</f>
        <v/>
      </c>
      <c r="J8">
        <f>SUMIFS(tblMaster_Inputs[Helper_Amount], tblMaster_Inputs[Year], 2024, tblMaster_Inputs[Helper_Treatment], "QUAL_DIV", tblMaster_Inputs[Activity_Type], "Strategy")</f>
        <v/>
      </c>
      <c r="K8">
        <f>SUMIFS(tblMaster_Inputs[Helper_Amount], tblMaster_Inputs[Year], 2025, tblMaster_Inputs[Helper_Treatment], "QUAL_DIV", tblMaster_Inputs[Activity_Type], "Strategy")</f>
        <v/>
      </c>
      <c r="L8">
        <f>SUMIFS(tblMaster_Inputs[Helper_Amount], tblMaster_Inputs[Year], 2026, tblMaster_Inputs[Helper_Treatment], "QUAL_DIV", tblMaster_Inputs[Activity_Type], "Strategy")</f>
        <v/>
      </c>
      <c r="M8">
        <f>SUMIFS(tblMaster_Inputs[Helper_Amount], tblMaster_Inputs[Year], 2027, tblMaster_Inputs[Helper_Treatment], "QUAL_DIV", tblMaster_Inputs[Activity_Type], "Strategy")</f>
        <v/>
      </c>
      <c r="N8">
        <f>SUMIFS(tblMaster_Inputs[Helper_Amount], tblMaster_Inputs[Year], 2028, tblMaster_Inputs[Helper_Treatment], "QUAL_DIV",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"3b", tblMaster_Inputs[Activity_Type], "Baseline")</f>
        <v/>
      </c>
      <c r="D9">
        <f>SUMIFS(tblMaster_Inputs[Baseline_Amount], tblMaster_Inputs[Year], 2024, tblMaster_Inputs[Primary_Line], "3b", tblMaster_Inputs[Activity_Type], "Baseline")</f>
        <v/>
      </c>
      <c r="E9">
        <f>SUMIFS(tblMaster_Inputs[Baseline_Amount], tblMaster_Inputs[Year], 2025, tblMaster_Inputs[Primary_Line], "3b", tblMaster_Inputs[Activity_Type], "Baseline")</f>
        <v/>
      </c>
      <c r="F9">
        <f>SUMIFS(tblMaster_Inputs[Baseline_Amount], tblMaster_Inputs[Year], 2026, tblMaster_Inputs[Primary_Line], "3b", tblMaster_Inputs[Activity_Type], "Baseline")</f>
        <v/>
      </c>
      <c r="G9">
        <f>SUMIFS(tblMaster_Inputs[Baseline_Amount], tblMaster_Inputs[Year], 2027, tblMaster_Inputs[Primary_Line], "3b", tblMaster_Inputs[Activity_Type], "Baseline")</f>
        <v/>
      </c>
      <c r="H9">
        <f>SUMIFS(tblMaster_Inputs[Baseline_Amount], tblMaster_Inputs[Year], 2028, tblMaster_Inputs[Primary_Line], "3b", tblMaster_Inputs[Activity_Type], "Baseline")</f>
        <v/>
      </c>
      <c r="I9">
        <f>SUMIFS(tblMaster_Inputs[Baseline_Amount], tblMaster_Inputs[Year], 2023, tblMaster_Inputs[Primary_Line], "3b", tblMaster_Inputs[Activity_Type], "Strategy")</f>
        <v/>
      </c>
      <c r="J9">
        <f>SUMIFS(tblMaster_Inputs[Baseline_Amount], tblMaster_Inputs[Year], 2024, tblMaster_Inputs[Primary_Line], "3b", tblMaster_Inputs[Activity_Type], "Strategy")</f>
        <v/>
      </c>
      <c r="K9">
        <f>SUMIFS(tblMaster_Inputs[Baseline_Amount], tblMaster_Inputs[Year], 2025, tblMaster_Inputs[Primary_Line], "3b", tblMaster_Inputs[Activity_Type], "Strategy")</f>
        <v/>
      </c>
      <c r="L9">
        <f>SUMIFS(tblMaster_Inputs[Baseline_Amount], tblMaster_Inputs[Year], 2026, tblMaster_Inputs[Primary_Line], "3b", tblMaster_Inputs[Activity_Type], "Strategy")</f>
        <v/>
      </c>
      <c r="M9">
        <f>SUMIFS(tblMaster_Inputs[Baseline_Amount], tblMaster_Inputs[Year], 2027, tblMaster_Inputs[Primary_Line], "3b", tblMaster_Inputs[Activity_Type], "Strategy")</f>
        <v/>
      </c>
      <c r="N9">
        <f>SUMIFS(tblMaster_Inputs[Baseline_Amount], tblMaster_Inputs[Year], 2028, tblMaster_Inputs[Primary_Line], "3b",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"7", tblMaster_Inputs[Activity_Type], "Baseline")</f>
        <v/>
      </c>
      <c r="D10">
        <f>SUMIFS(tblMaster_Inputs[Baseline_Amount], tblMaster_Inputs[Year], 2024, tblMaster_Inputs[Primary_Line], "7", tblMaster_Inputs[Activity_Type], "Baseline")</f>
        <v/>
      </c>
      <c r="E10">
        <f>SUMIFS(tblMaster_Inputs[Baseline_Amount], tblMaster_Inputs[Year], 2025, tblMaster_Inputs[Primary_Line], "7", tblMaster_Inputs[Activity_Type], "Baseline")</f>
        <v/>
      </c>
      <c r="F10">
        <f>SUMIFS(tblMaster_Inputs[Baseline_Amount], tblMaster_Inputs[Year], 2026, tblMaster_Inputs[Primary_Line], "7", tblMaster_Inputs[Activity_Type], "Baseline")</f>
        <v/>
      </c>
      <c r="G10">
        <f>SUMIFS(tblMaster_Inputs[Baseline_Amount], tblMaster_Inputs[Year], 2027, tblMaster_Inputs[Primary_Line], "7", tblMaster_Inputs[Activity_Type], "Baseline")</f>
        <v/>
      </c>
      <c r="H10">
        <f>SUMIFS(tblMaster_Inputs[Baseline_Amount], tblMaster_Inputs[Year], 2028, tblMaster_Inputs[Primary_Line], "7", tblMaster_Inputs[Activity_Type], "Baseline")</f>
        <v/>
      </c>
      <c r="I10">
        <f>SUMIFS(tblMaster_Inputs[Baseline_Amount], tblMaster_Inputs[Year], 2023, tblMaster_Inputs[Primary_Line], "7", tblMaster_Inputs[Activity_Type], "Strategy")</f>
        <v/>
      </c>
      <c r="J10">
        <f>SUMIFS(tblMaster_Inputs[Baseline_Amount], tblMaster_Inputs[Year], 2024, tblMaster_Inputs[Primary_Line], "7", tblMaster_Inputs[Activity_Type], "Strategy")</f>
        <v/>
      </c>
      <c r="K10">
        <f>SUMIFS(tblMaster_Inputs[Baseline_Amount], tblMaster_Inputs[Year], 2025, tblMaster_Inputs[Primary_Line], "7", tblMaster_Inputs[Activity_Type], "Strategy")</f>
        <v/>
      </c>
      <c r="L10">
        <f>SUMIFS(tblMaster_Inputs[Baseline_Amount], tblMaster_Inputs[Year], 2026, tblMaster_Inputs[Primary_Line], "7", tblMaster_Inputs[Activity_Type], "Strategy")</f>
        <v/>
      </c>
      <c r="M10">
        <f>SUMIFS(tblMaster_Inputs[Baseline_Amount], tblMaster_Inputs[Year], 2027, tblMaster_Inputs[Primary_Line], "7", tblMaster_Inputs[Activity_Type], "Strategy")</f>
        <v/>
      </c>
      <c r="N10">
        <f>SUMIFS(tblMaster_Inputs[Baseline_Amount], tblMaster_Inputs[Year], 2028, tblMaster_Inputs[Primary_Line], "7",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"8", tblMaster_Inputs[Activity_Type], "Baseline")</f>
        <v/>
      </c>
      <c r="D11">
        <f>SUMIFS(tblMaster_Inputs[Baseline_Amount], tblMaster_Inputs[Year], 2024, tblMaster_Inputs[Primary_Line], "8", tblMaster_Inputs[Activity_Type], "Baseline")</f>
        <v/>
      </c>
      <c r="E11">
        <f>SUMIFS(tblMaster_Inputs[Baseline_Amount], tblMaster_Inputs[Year], 2025, tblMaster_Inputs[Primary_Line], "8", tblMaster_Inputs[Activity_Type], "Baseline")</f>
        <v/>
      </c>
      <c r="F11">
        <f>SUMIFS(tblMaster_Inputs[Baseline_Amount], tblMaster_Inputs[Year], 2026, tblMaster_Inputs[Primary_Line], "8", tblMaster_Inputs[Activity_Type], "Baseline")</f>
        <v/>
      </c>
      <c r="G11">
        <f>SUMIFS(tblMaster_Inputs[Baseline_Amount], tblMaster_Inputs[Year], 2027, tblMaster_Inputs[Primary_Line], "8", tblMaster_Inputs[Activity_Type], "Baseline")</f>
        <v/>
      </c>
      <c r="H11">
        <f>SUMIFS(tblMaster_Inputs[Baseline_Amount], tblMaster_Inputs[Year], 2028, tblMaster_Inputs[Primary_Line], "8", tblMaster_Inputs[Activity_Type], "Baseline")</f>
        <v/>
      </c>
      <c r="I11">
        <f>SUMIFS(tblMaster_Inputs[Baseline_Amount], tblMaster_Inputs[Year], 2023, tblMaster_Inputs[Primary_Line], "8", tblMaster_Inputs[Activity_Type], "Strategy")</f>
        <v/>
      </c>
      <c r="J11">
        <f>SUMIFS(tblMaster_Inputs[Baseline_Amount], tblMaster_Inputs[Year], 2024, tblMaster_Inputs[Primary_Line], "8", tblMaster_Inputs[Activity_Type], "Strategy")</f>
        <v/>
      </c>
      <c r="K11">
        <f>SUMIFS(tblMaster_Inputs[Baseline_Amount], tblMaster_Inputs[Year], 2025, tblMaster_Inputs[Primary_Line], "8", tblMaster_Inputs[Activity_Type], "Strategy")</f>
        <v/>
      </c>
      <c r="L11">
        <f>SUMIFS(tblMaster_Inputs[Baseline_Amount], tblMaster_Inputs[Year], 2026, tblMaster_Inputs[Primary_Line], "8", tblMaster_Inputs[Activity_Type], "Strategy")</f>
        <v/>
      </c>
      <c r="M11">
        <f>SUMIFS(tblMaster_Inputs[Baseline_Amount], tblMaster_Inputs[Year], 2027, tblMaster_Inputs[Primary_Line], "8", tblMaster_Inputs[Activity_Type], "Strategy")</f>
        <v/>
      </c>
      <c r="N11">
        <f>SUMIFS(tblMaster_Inputs[Baseline_Amount], tblMaster_Inputs[Year], 2028, tblMaster_Inputs[Primary_Line], "8",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  <c r="I12" s="5">
        <f>I5+I7+I9+I10+I11</f>
        <v/>
      </c>
      <c r="J12" s="5">
        <f>J5+J7+J9+J10+J11</f>
        <v/>
      </c>
      <c r="K12" s="5">
        <f>K5+K7+K9+K10+K11</f>
        <v/>
      </c>
      <c r="L12" s="5">
        <f>L5+L7+L9+L10+L11</f>
        <v/>
      </c>
      <c r="M12" s="5">
        <f>M5+M7+M9+M10+M11</f>
        <v/>
      </c>
      <c r="N12" s="5">
        <f>N5+N7+N9+N10+N11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"10", tblMaster_Inputs[Activity_Type], "Baseline")</f>
        <v/>
      </c>
      <c r="D13">
        <f>SUMIFS(tblMaster_Inputs[Baseline_Amount], tblMaster_Inputs[Year], 2024, tblMaster_Inputs[Primary_Line], "10", tblMaster_Inputs[Activity_Type], "Baseline")</f>
        <v/>
      </c>
      <c r="E13">
        <f>SUMIFS(tblMaster_Inputs[Baseline_Amount], tblMaster_Inputs[Year], 2025, tblMaster_Inputs[Primary_Line], "10", tblMaster_Inputs[Activity_Type], "Baseline")</f>
        <v/>
      </c>
      <c r="F13">
        <f>SUMIFS(tblMaster_Inputs[Baseline_Amount], tblMaster_Inputs[Year], 2026, tblMaster_Inputs[Primary_Line], "10", tblMaster_Inputs[Activity_Type], "Baseline")</f>
        <v/>
      </c>
      <c r="G13">
        <f>SUMIFS(tblMaster_Inputs[Baseline_Amount], tblMaster_Inputs[Year], 2027, tblMaster_Inputs[Primary_Line], "10", tblMaster_Inputs[Activity_Type], "Baseline")</f>
        <v/>
      </c>
      <c r="H13">
        <f>SUMIFS(tblMaster_Inputs[Baseline_Amount], tblMaster_Inputs[Year], 2028, tblMaster_Inputs[Primary_Line], "10", tblMaster_Inputs[Activity_Type], "Baseline")</f>
        <v/>
      </c>
      <c r="I13">
        <f>SUMIFS(tblMaster_Inputs[Baseline_Amount], tblMaster_Inputs[Year], 2023, tblMaster_Inputs[Primary_Line], "10", tblMaster_Inputs[Activity_Type], "Strategy")</f>
        <v/>
      </c>
      <c r="J13">
        <f>SUMIFS(tblMaster_Inputs[Baseline_Amount], tblMaster_Inputs[Year], 2024, tblMaster_Inputs[Primary_Line], "10", tblMaster_Inputs[Activity_Type], "Strategy")</f>
        <v/>
      </c>
      <c r="K13">
        <f>SUMIFS(tblMaster_Inputs[Baseline_Amount], tblMaster_Inputs[Year], 2025, tblMaster_Inputs[Primary_Line], "10", tblMaster_Inputs[Activity_Type], "Strategy")</f>
        <v/>
      </c>
      <c r="L13">
        <f>SUMIFS(tblMaster_Inputs[Baseline_Amount], tblMaster_Inputs[Year], 2026, tblMaster_Inputs[Primary_Line], "10", tblMaster_Inputs[Activity_Type], "Strategy")</f>
        <v/>
      </c>
      <c r="M13">
        <f>SUMIFS(tblMaster_Inputs[Baseline_Amount], tblMaster_Inputs[Year], 2027, tblMaster_Inputs[Primary_Line], "10", tblMaster_Inputs[Activity_Type], "Strategy")</f>
        <v/>
      </c>
      <c r="N13">
        <f>SUMIFS(tblMaster_Inputs[Baseline_Amount], tblMaster_Inputs[Year], 2028, tblMaster_Inputs[Primary_Line], "10",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C14+I14</f>
        <v/>
      </c>
      <c r="P14" s="5">
        <f>D14+J14</f>
        <v/>
      </c>
      <c r="Q14" s="5">
        <f>E14+K14</f>
        <v/>
      </c>
      <c r="R14" s="5">
        <f>F14+L14</f>
        <v/>
      </c>
      <c r="S14" s="5">
        <f>G14+M14</f>
        <v/>
      </c>
      <c r="T14" s="5">
        <f>H14+N14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"12", tblMaster_Inputs[Activity_Type], "Baseline")</f>
        <v/>
      </c>
      <c r="D15">
        <f>SUMIFS(tblMaster_Inputs[Baseline_Amount], tblMaster_Inputs[Year], 2024, tblMaster_Inputs[Primary_Line], "12", tblMaster_Inputs[Activity_Type], "Baseline")</f>
        <v/>
      </c>
      <c r="E15">
        <f>SUMIFS(tblMaster_Inputs[Baseline_Amount], tblMaster_Inputs[Year], 2025, tblMaster_Inputs[Primary_Line], "12", tblMaster_Inputs[Activity_Type], "Baseline")</f>
        <v/>
      </c>
      <c r="F15">
        <f>SUMIFS(tblMaster_Inputs[Baseline_Amount], tblMaster_Inputs[Year], 2026, tblMaster_Inputs[Primary_Line], "12", tblMaster_Inputs[Activity_Type], "Baseline")</f>
        <v/>
      </c>
      <c r="G15">
        <f>SUMIFS(tblMaster_Inputs[Baseline_Amount], tblMaster_Inputs[Year], 2027, tblMaster_Inputs[Primary_Line], "12", tblMaster_Inputs[Activity_Type], "Baseline")</f>
        <v/>
      </c>
      <c r="H15">
        <f>SUMIFS(tblMaster_Inputs[Baseline_Amount], tblMaster_Inputs[Year], 2028, tblMaster_Inputs[Primary_Line], "12", tblMaster_Inputs[Activity_Type], "Baseline")</f>
        <v/>
      </c>
      <c r="I15">
        <f>SUMIFS(tblMaster_Inputs[Baseline_Amount], tblMaster_Inputs[Year], 2023, tblMaster_Inputs[Primary_Line], "12", tblMaster_Inputs[Activity_Type], "Strategy")</f>
        <v/>
      </c>
      <c r="J15">
        <f>SUMIFS(tblMaster_Inputs[Baseline_Amount], tblMaster_Inputs[Year], 2024, tblMaster_Inputs[Primary_Line], "12", tblMaster_Inputs[Activity_Type], "Strategy")</f>
        <v/>
      </c>
      <c r="K15">
        <f>SUMIFS(tblMaster_Inputs[Baseline_Amount], tblMaster_Inputs[Year], 2025, tblMaster_Inputs[Primary_Line], "12", tblMaster_Inputs[Activity_Type], "Strategy")</f>
        <v/>
      </c>
      <c r="L15">
        <f>SUMIFS(tblMaster_Inputs[Baseline_Amount], tblMaster_Inputs[Year], 2026, tblMaster_Inputs[Primary_Line], "12", tblMaster_Inputs[Activity_Type], "Strategy")</f>
        <v/>
      </c>
      <c r="M15">
        <f>SUMIFS(tblMaster_Inputs[Baseline_Amount], tblMaster_Inputs[Year], 2027, tblMaster_Inputs[Primary_Line], "12", tblMaster_Inputs[Activity_Type], "Strategy")</f>
        <v/>
      </c>
      <c r="N15">
        <f>SUMIFS(tblMaster_Inputs[Baseline_Amount], tblMaster_Inputs[Year], 2028, tblMaster_Inputs[Primary_Line], "12",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"13", tblMaster_Inputs[Activity_Type], "Baseline")</f>
        <v/>
      </c>
      <c r="D16">
        <f>SUMIFS(tblMaster_Inputs[Baseline_Amount], tblMaster_Inputs[Year], 2024, tblMaster_Inputs[Primary_Line], "13", tblMaster_Inputs[Activity_Type], "Baseline")</f>
        <v/>
      </c>
      <c r="E16">
        <f>SUMIFS(tblMaster_Inputs[Baseline_Amount], tblMaster_Inputs[Year], 2025, tblMaster_Inputs[Primary_Line], "13", tblMaster_Inputs[Activity_Type], "Baseline")</f>
        <v/>
      </c>
      <c r="F16">
        <f>SUMIFS(tblMaster_Inputs[Baseline_Amount], tblMaster_Inputs[Year], 2026, tblMaster_Inputs[Primary_Line], "13", tblMaster_Inputs[Activity_Type], "Baseline")</f>
        <v/>
      </c>
      <c r="G16">
        <f>SUMIFS(tblMaster_Inputs[Baseline_Amount], tblMaster_Inputs[Year], 2027, tblMaster_Inputs[Primary_Line], "13", tblMaster_Inputs[Activity_Type], "Baseline")</f>
        <v/>
      </c>
      <c r="H16">
        <f>SUMIFS(tblMaster_Inputs[Baseline_Amount], tblMaster_Inputs[Year], 2028, tblMaster_Inputs[Primary_Line], "13", tblMaster_Inputs[Activity_Type], "Baseline")</f>
        <v/>
      </c>
      <c r="I16">
        <f>SUMIFS(tblMaster_Inputs[Baseline_Amount], tblMaster_Inputs[Year], 2023, tblMaster_Inputs[Primary_Line], "13", tblMaster_Inputs[Activity_Type], "Strategy")</f>
        <v/>
      </c>
      <c r="J16">
        <f>SUMIFS(tblMaster_Inputs[Baseline_Amount], tblMaster_Inputs[Year], 2024, tblMaster_Inputs[Primary_Line], "13", tblMaster_Inputs[Activity_Type], "Strategy")</f>
        <v/>
      </c>
      <c r="K16">
        <f>SUMIFS(tblMaster_Inputs[Baseline_Amount], tblMaster_Inputs[Year], 2025, tblMaster_Inputs[Primary_Line], "13", tblMaster_Inputs[Activity_Type], "Strategy")</f>
        <v/>
      </c>
      <c r="L16">
        <f>SUMIFS(tblMaster_Inputs[Baseline_Amount], tblMaster_Inputs[Year], 2026, tblMaster_Inputs[Primary_Line], "13", tblMaster_Inputs[Activity_Type], "Strategy")</f>
        <v/>
      </c>
      <c r="M16">
        <f>SUMIFS(tblMaster_Inputs[Baseline_Amount], tblMaster_Inputs[Year], 2027, tblMaster_Inputs[Primary_Line], "13", tblMaster_Inputs[Activity_Type], "Strategy")</f>
        <v/>
      </c>
      <c r="N16">
        <f>SUMIFS(tblMaster_Inputs[Baseline_Amount], tblMaster_Inputs[Year], 2028, tblMaster_Inputs[Primary_Line], "13", tblMaster_Inputs[Activity_Type], "Strategy")</f>
        <v/>
      </c>
      <c r="O16">
        <f>C16+I16</f>
        <v/>
      </c>
      <c r="P16">
        <f>D16+J16</f>
        <v/>
      </c>
      <c r="Q16">
        <f>E16+K16</f>
        <v/>
      </c>
      <c r="R16">
        <f>F16+L16</f>
        <v/>
      </c>
      <c r="S16">
        <f>G16+M16</f>
        <v/>
      </c>
      <c r="T16">
        <f>H16+N16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  <c r="I17" s="5">
        <f>I14+I15+I16</f>
        <v/>
      </c>
      <c r="J17" s="5">
        <f>J14+J15+J16</f>
        <v/>
      </c>
      <c r="K17" s="5">
        <f>K14+K15+K16</f>
        <v/>
      </c>
      <c r="L17" s="5">
        <f>L14+L15+L16</f>
        <v/>
      </c>
      <c r="M17" s="5">
        <f>M14+M15+M16</f>
        <v/>
      </c>
      <c r="N17" s="5">
        <f>N14+N15+N16</f>
        <v/>
      </c>
      <c r="O17" s="5">
        <f>C17+I17</f>
        <v/>
      </c>
      <c r="P17" s="5">
        <f>D17+J17</f>
        <v/>
      </c>
      <c r="Q17" s="5">
        <f>E17+K17</f>
        <v/>
      </c>
      <c r="R17" s="5">
        <f>F17+L17</f>
        <v/>
      </c>
      <c r="S17" s="5">
        <f>G17+M17</f>
        <v/>
      </c>
      <c r="T17" s="5">
        <f>H17+N17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"W2_SCorpOwner", tblMaster_Inputs[Activity_Type], "Baseline")</f>
        <v/>
      </c>
      <c r="D5">
        <f>SUMIFS(tblMaster_Inputs[Baseline_Amount], tblMaster_Inputs[Year], 2024, tblMaster_Inputs[Treatment_Profile], "W2_SCorpOwner", tblMaster_Inputs[Activity_Type], "Baseline")</f>
        <v/>
      </c>
      <c r="E5">
        <f>SUMIFS(tblMaster_Inputs[Baseline_Amount], tblMaster_Inputs[Year], 2025, tblMaster_Inputs[Treatment_Profile], "W2_SCorpOwner", tblMaster_Inputs[Activity_Type], "Baseline")</f>
        <v/>
      </c>
      <c r="F5">
        <f>SUMIFS(tblMaster_Inputs[Baseline_Amount], tblMaster_Inputs[Year], 2026, tblMaster_Inputs[Treatment_Profile], "W2_SCorpOwner", tblMaster_Inputs[Activity_Type], "Baseline")</f>
        <v/>
      </c>
      <c r="G5">
        <f>SUMIFS(tblMaster_Inputs[Baseline_Amount], tblMaster_Inputs[Year], 2027, tblMaster_Inputs[Treatment_Profile], "W2_SCorpOwner", tblMaster_Inputs[Activity_Type], "Baseline")</f>
        <v/>
      </c>
      <c r="H5">
        <f>SUMIFS(tblMaster_Inputs[Baseline_Amount], tblMaster_Inputs[Year], 2028, tblMaster_Inputs[Treatment_Profile], "W2_SCorpOwner", tblMaster_Inputs[Activity_Type], "Baseline")</f>
        <v/>
      </c>
      <c r="I5">
        <f>SUMIFS(tblMaster_Inputs[Baseline_Amount], tblMaster_Inputs[Year], 2023, tblMaster_Inputs[Treatment_Profile], "W2_SCorpOwner", tblMaster_Inputs[Activity_Type], "Strategy")</f>
        <v/>
      </c>
      <c r="J5">
        <f>SUMIFS(tblMaster_Inputs[Baseline_Amount], tblMaster_Inputs[Year], 2024, tblMaster_Inputs[Treatment_Profile], "W2_SCorpOwner", tblMaster_Inputs[Activity_Type], "Strategy")</f>
        <v/>
      </c>
      <c r="K5">
        <f>SUMIFS(tblMaster_Inputs[Baseline_Amount], tblMaster_Inputs[Year], 2025, tblMaster_Inputs[Treatment_Profile], "W2_SCorpOwner", tblMaster_Inputs[Activity_Type], "Strategy")</f>
        <v/>
      </c>
      <c r="L5">
        <f>SUMIFS(tblMaster_Inputs[Baseline_Amount], tblMaster_Inputs[Year], 2026, tblMaster_Inputs[Treatment_Profile], "W2_SCorpOwner", tblMaster_Inputs[Activity_Type], "Strategy")</f>
        <v/>
      </c>
      <c r="M5">
        <f>SUMIFS(tblMaster_Inputs[Baseline_Amount], tblMaster_Inputs[Year], 2027, tblMaster_Inputs[Treatment_Profile], "W2_SCorpOwner", tblMaster_Inputs[Activity_Type], "Strategy")</f>
        <v/>
      </c>
      <c r="N5">
        <f>SUMIFS(tblMaster_Inputs[Baseline_Amount], tblMaster_Inputs[Year], 2028, tblMaster_Inputs[Treatment_Profile], "W2_SCorpOwner",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"W2_Employee", tblMaster_Inputs[Activity_Type], "Baseline")</f>
        <v/>
      </c>
      <c r="D6">
        <f>SUMIFS(tblMaster_Inputs[Baseline_Amount], tblMaster_Inputs[Year], 2024, tblMaster_Inputs[Treatment_Profile], "W2_Employee", tblMaster_Inputs[Activity_Type], "Baseline")</f>
        <v/>
      </c>
      <c r="E6">
        <f>SUMIFS(tblMaster_Inputs[Baseline_Amount], tblMaster_Inputs[Year], 2025, tblMaster_Inputs[Treatment_Profile], "W2_Employee", tblMaster_Inputs[Activity_Type], "Baseline")</f>
        <v/>
      </c>
      <c r="F6">
        <f>SUMIFS(tblMaster_Inputs[Baseline_Amount], tblMaster_Inputs[Year], 2026, tblMaster_Inputs[Treatment_Profile], "W2_Employee", tblMaster_Inputs[Activity_Type], "Baseline")</f>
        <v/>
      </c>
      <c r="G6">
        <f>SUMIFS(tblMaster_Inputs[Baseline_Amount], tblMaster_Inputs[Year], 2027, tblMaster_Inputs[Treatment_Profile], "W2_Employee", tblMaster_Inputs[Activity_Type], "Baseline")</f>
        <v/>
      </c>
      <c r="H6">
        <f>SUMIFS(tblMaster_Inputs[Baseline_Amount], tblMaster_Inputs[Year], 2028, tblMaster_Inputs[Treatment_Profile], "W2_Employee", tblMaster_Inputs[Activity_Type], "Baseline")</f>
        <v/>
      </c>
      <c r="I6">
        <f>SUMIFS(tblMaster_Inputs[Baseline_Amount], tblMaster_Inputs[Year], 2023, tblMaster_Inputs[Treatment_Profile], "W2_Employee", tblMaster_Inputs[Activity_Type], "Strategy")</f>
        <v/>
      </c>
      <c r="J6">
        <f>SUMIFS(tblMaster_Inputs[Baseline_Amount], tblMaster_Inputs[Year], 2024, tblMaster_Inputs[Treatment_Profile], "W2_Employee", tblMaster_Inputs[Activity_Type], "Strategy")</f>
        <v/>
      </c>
      <c r="K6">
        <f>SUMIFS(tblMaster_Inputs[Baseline_Amount], tblMaster_Inputs[Year], 2025, tblMaster_Inputs[Treatment_Profile], "W2_Employee", tblMaster_Inputs[Activity_Type], "Strategy")</f>
        <v/>
      </c>
      <c r="L6">
        <f>SUMIFS(tblMaster_Inputs[Baseline_Amount], tblMaster_Inputs[Year], 2026, tblMaster_Inputs[Treatment_Profile], "W2_Employee", tblMaster_Inputs[Activity_Type], "Strategy")</f>
        <v/>
      </c>
      <c r="M6">
        <f>SUMIFS(tblMaster_Inputs[Baseline_Amount], tblMaster_Inputs[Year], 2027, tblMaster_Inputs[Treatment_Profile], "W2_Employee", tblMaster_Inputs[Activity_Type], "Strategy")</f>
        <v/>
      </c>
      <c r="N6">
        <f>SUMIFS(tblMaster_Inputs[Baseline_Amount], tblMaster_Inputs[Year], 2028, tblMaster_Inputs[Treatment_Profile], "W2_Employee",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  <c r="I7" s="5">
        <f>I5+I6</f>
        <v/>
      </c>
      <c r="J7" s="5">
        <f>J5+J6</f>
        <v/>
      </c>
      <c r="K7" s="5">
        <f>K5+K6</f>
        <v/>
      </c>
      <c r="L7" s="5">
        <f>L5+L6</f>
        <v/>
      </c>
      <c r="M7" s="5">
        <f>M5+M6</f>
        <v/>
      </c>
      <c r="N7" s="5">
        <f>N5+N6</f>
        <v/>
      </c>
      <c r="O7" s="5">
        <f>C7+I7</f>
        <v/>
      </c>
      <c r="P7" s="5">
        <f>D7+J7</f>
        <v/>
      </c>
      <c r="Q7" s="5">
        <f>E7+K7</f>
        <v/>
      </c>
      <c r="R7" s="5">
        <f>F7+L7</f>
        <v/>
      </c>
      <c r="S7" s="5">
        <f>G7+M7</f>
        <v/>
      </c>
      <c r="T7" s="5">
        <f>H7+N7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"Yes", tblMaster_Inputs[Activity_Type], "Baseline")</f>
        <v/>
      </c>
      <c r="D8">
        <f>SUMIFS(tblMaster_Inputs[Baseline_Amount], tblMaster_Inputs[Year], 2024, tblMaster_Inputs[Bucket], "Business Income", tblMaster_Inputs[SE_Subject], "Yes", tblMaster_Inputs[Activity_Type], "Baseline")</f>
        <v/>
      </c>
      <c r="E8">
        <f>SUMIFS(tblMaster_Inputs[Baseline_Amount], tblMaster_Inputs[Year], 2025, tblMaster_Inputs[Bucket], "Business Income", tblMaster_Inputs[SE_Subject], "Yes", tblMaster_Inputs[Activity_Type], "Baseline")</f>
        <v/>
      </c>
      <c r="F8">
        <f>SUMIFS(tblMaster_Inputs[Baseline_Amount], tblMaster_Inputs[Year], 2026, tblMaster_Inputs[Bucket], "Business Income", tblMaster_Inputs[SE_Subject], "Yes", tblMaster_Inputs[Activity_Type], "Baseline")</f>
        <v/>
      </c>
      <c r="G8">
        <f>SUMIFS(tblMaster_Inputs[Baseline_Amount], tblMaster_Inputs[Year], 2027, tblMaster_Inputs[Bucket], "Business Income", tblMaster_Inputs[SE_Subject], "Yes", tblMaster_Inputs[Activity_Type], "Baseline")</f>
        <v/>
      </c>
      <c r="H8">
        <f>SUMIFS(tblMaster_Inputs[Baseline_Amount], tblMaster_Inputs[Year], 2028, tblMaster_Inputs[Bucket], "Business Income", tblMaster_Inputs[SE_Subject], "Yes", tblMaster_Inputs[Activity_Type], "Baseline")</f>
        <v/>
      </c>
      <c r="I8">
        <f>SUMIFS(tblMaster_Inputs[Baseline_Amount], tblMaster_Inputs[Year], 2023, tblMaster_Inputs[Bucket], "Business Income", tblMaster_Inputs[SE_Subject], "Yes", tblMaster_Inputs[Activity_Type], "Strategy")</f>
        <v/>
      </c>
      <c r="J8">
        <f>SUMIFS(tblMaster_Inputs[Baseline_Amount], tblMaster_Inputs[Year], 2024, tblMaster_Inputs[Bucket], "Business Income", tblMaster_Inputs[SE_Subject], "Yes", tblMaster_Inputs[Activity_Type], "Strategy")</f>
        <v/>
      </c>
      <c r="K8">
        <f>SUMIFS(tblMaster_Inputs[Baseline_Amount], tblMaster_Inputs[Year], 2025, tblMaster_Inputs[Bucket], "Business Income", tblMaster_Inputs[SE_Subject], "Yes", tblMaster_Inputs[Activity_Type], "Strategy")</f>
        <v/>
      </c>
      <c r="L8">
        <f>SUMIFS(tblMaster_Inputs[Baseline_Amount], tblMaster_Inputs[Year], 2026, tblMaster_Inputs[Bucket], "Business Income", tblMaster_Inputs[SE_Subject], "Yes", tblMaster_Inputs[Activity_Type], "Strategy")</f>
        <v/>
      </c>
      <c r="M8">
        <f>SUMIFS(tblMaster_Inputs[Baseline_Amount], tblMaster_Inputs[Year], 2027, tblMaster_Inputs[Bucket], "Business Income", tblMaster_Inputs[SE_Subject], "Yes", tblMaster_Inputs[Activity_Type], "Strategy")</f>
        <v/>
      </c>
      <c r="N8">
        <f>SUMIFS(tblMaster_Inputs[Baseline_Amount], tblMaster_Inputs[Year], 2028, tblMaster_Inputs[Bucket], "Business Income", tblMaster_Inputs[SE_Subject], "Yes",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/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/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/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/>
      </c>
      <c r="I9">
        <f>SUMIFS(tblMaster_Inputs[Baseline_Amount], tblMaster_Inputs[Year], 2023, tblMaster_Inputs[Bucket], "Business Income", tblMaster_Inputs[SE_Subject], "No", tblMaster_Inputs[NIIT_Class], "Active", tblMaster_Inputs[Activity_Type], "Strategy")</f>
        <v/>
      </c>
      <c r="J9">
        <f>SUMIFS(tblMaster_Inputs[Baseline_Amount], tblMaster_Inputs[Year], 2024, tblMaster_Inputs[Bucket], "Business Income", tblMaster_Inputs[SE_Subject], "No", tblMaster_Inputs[NIIT_Class], "Active", tblMaster_Inputs[Activity_Type], "Strategy")</f>
        <v/>
      </c>
      <c r="K9">
        <f>SUMIFS(tblMaster_Inputs[Baseline_Amount], tblMaster_Inputs[Year], 2025, tblMaster_Inputs[Bucket], "Business Income", tblMaster_Inputs[SE_Subject], "No", tblMaster_Inputs[NIIT_Class], "Active", tblMaster_Inputs[Activity_Type], "Strategy")</f>
        <v/>
      </c>
      <c r="L9">
        <f>SUMIFS(tblMaster_Inputs[Baseline_Amount], tblMaster_Inputs[Year], 2026, tblMaster_Inputs[Bucket], "Business Income", tblMaster_Inputs[SE_Subject], "No", tblMaster_Inputs[NIIT_Class], "Active", tblMaster_Inputs[Activity_Type], "Strategy")</f>
        <v/>
      </c>
      <c r="M9">
        <f>SUMIFS(tblMaster_Inputs[Baseline_Amount], tblMaster_Inputs[Year], 2027, tblMaster_Inputs[Bucket], "Business Income", tblMaster_Inputs[SE_Subject], "No", tblMaster_Inputs[NIIT_Class], "Active", tblMaster_Inputs[Activity_Type], "Strategy")</f>
        <v/>
      </c>
      <c r="N9">
        <f>SUMIFS(tblMaster_Inputs[Baseline_Amount], tblMaster_Inputs[Year], 2028, tblMaster_Inputs[Bucket], "Business Income", tblMaster_Inputs[SE_Subject], "No", tblMaster_Inputs[NIIT_Class], "Active",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"Passive", tblMaster_Inputs[Activity_Type], "Baseline")</f>
        <v/>
      </c>
      <c r="D10">
        <f>SUMIFS(tblMaster_Inputs[Baseline_Amount], tblMaster_Inputs[Year], 2024, tblMaster_Inputs[Bucket], "Business Income", tblMaster_Inputs[NIIT_Class], "Passive", tblMaster_Inputs[Activity_Type], "Baseline")</f>
        <v/>
      </c>
      <c r="E10">
        <f>SUMIFS(tblMaster_Inputs[Baseline_Amount], tblMaster_Inputs[Year], 2025, tblMaster_Inputs[Bucket], "Business Income", tblMaster_Inputs[NIIT_Class], "Passive", tblMaster_Inputs[Activity_Type], "Baseline")</f>
        <v/>
      </c>
      <c r="F10">
        <f>SUMIFS(tblMaster_Inputs[Baseline_Amount], tblMaster_Inputs[Year], 2026, tblMaster_Inputs[Bucket], "Business Income", tblMaster_Inputs[NIIT_Class], "Passive", tblMaster_Inputs[Activity_Type], "Baseline")</f>
        <v/>
      </c>
      <c r="G10">
        <f>SUMIFS(tblMaster_Inputs[Baseline_Amount], tblMaster_Inputs[Year], 2027, tblMaster_Inputs[Bucket], "Business Income", tblMaster_Inputs[NIIT_Class], "Passive", tblMaster_Inputs[Activity_Type], "Baseline")</f>
        <v/>
      </c>
      <c r="H10">
        <f>SUMIFS(tblMaster_Inputs[Baseline_Amount], tblMaster_Inputs[Year], 2028, tblMaster_Inputs[Bucket], "Business Income", tblMaster_Inputs[NIIT_Class], "Passive", tblMaster_Inputs[Activity_Type], "Baseline")</f>
        <v/>
      </c>
      <c r="I10">
        <f>SUMIFS(tblMaster_Inputs[Baseline_Amount], tblMaster_Inputs[Year], 2023, tblMaster_Inputs[Bucket], "Business Income", tblMaster_Inputs[NIIT_Class], "Passive", tblMaster_Inputs[Activity_Type], "Strategy")</f>
        <v/>
      </c>
      <c r="J10">
        <f>SUMIFS(tblMaster_Inputs[Baseline_Amount], tblMaster_Inputs[Year], 2024, tblMaster_Inputs[Bucket], "Business Income", tblMaster_Inputs[NIIT_Class], "Passive", tblMaster_Inputs[Activity_Type], "Strategy")</f>
        <v/>
      </c>
      <c r="K10">
        <f>SUMIFS(tblMaster_Inputs[Baseline_Amount], tblMaster_Inputs[Year], 2025, tblMaster_Inputs[Bucket], "Business Income", tblMaster_Inputs[NIIT_Class], "Passive", tblMaster_Inputs[Activity_Type], "Strategy")</f>
        <v/>
      </c>
      <c r="L10">
        <f>SUMIFS(tblMaster_Inputs[Baseline_Amount], tblMaster_Inputs[Year], 2026, tblMaster_Inputs[Bucket], "Business Income", tblMaster_Inputs[NIIT_Class], "Passive", tblMaster_Inputs[Activity_Type], "Strategy")</f>
        <v/>
      </c>
      <c r="M10">
        <f>SUMIFS(tblMaster_Inputs[Baseline_Amount], tblMaster_Inputs[Year], 2027, tblMaster_Inputs[Bucket], "Business Income", tblMaster_Inputs[NIIT_Class], "Passive", tblMaster_Inputs[Activity_Type], "Strategy")</f>
        <v/>
      </c>
      <c r="N10">
        <f>SUMIFS(tblMaster_Inputs[Baseline_Amount], tblMaster_Inputs[Year], 2028, tblMaster_Inputs[Bucket], "Business Income", tblMaster_Inputs[NIIT_Class], "Passive",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"TAX_EXEMPT", tblMaster_Inputs[Activity_Type], "Baseline")</f>
        <v/>
      </c>
      <c r="D11">
        <f>SUMIFS(tblMaster_Inputs[Helper_Amount], tblMaster_Inputs[Year], 2024, tblMaster_Inputs[Helper_Treatment], "TAX_EXEMPT", tblMaster_Inputs[Activity_Type], "Baseline")</f>
        <v/>
      </c>
      <c r="E11">
        <f>SUMIFS(tblMaster_Inputs[Helper_Amount], tblMaster_Inputs[Year], 2025, tblMaster_Inputs[Helper_Treatment], "TAX_EXEMPT", tblMaster_Inputs[Activity_Type], "Baseline")</f>
        <v/>
      </c>
      <c r="F11">
        <f>SUMIFS(tblMaster_Inputs[Helper_Amount], tblMaster_Inputs[Year], 2026, tblMaster_Inputs[Helper_Treatment], "TAX_EXEMPT", tblMaster_Inputs[Activity_Type], "Baseline")</f>
        <v/>
      </c>
      <c r="G11">
        <f>SUMIFS(tblMaster_Inputs[Helper_Amount], tblMaster_Inputs[Year], 2027, tblMaster_Inputs[Helper_Treatment], "TAX_EXEMPT", tblMaster_Inputs[Activity_Type], "Baseline")</f>
        <v/>
      </c>
      <c r="H11">
        <f>SUMIFS(tblMaster_Inputs[Helper_Amount], tblMaster_Inputs[Year], 2028, tblMaster_Inputs[Helper_Treatment], "TAX_EXEMPT", tblMaster_Inputs[Activity_Type], "Baseline")</f>
        <v/>
      </c>
      <c r="I11">
        <f>SUMIFS(tblMaster_Inputs[Helper_Amount], tblMaster_Inputs[Year], 2023, tblMaster_Inputs[Helper_Treatment], "TAX_EXEMPT", tblMaster_Inputs[Activity_Type], "Strategy")</f>
        <v/>
      </c>
      <c r="J11">
        <f>SUMIFS(tblMaster_Inputs[Helper_Amount], tblMaster_Inputs[Year], 2024, tblMaster_Inputs[Helper_Treatment], "TAX_EXEMPT", tblMaster_Inputs[Activity_Type], "Strategy")</f>
        <v/>
      </c>
      <c r="K11">
        <f>SUMIFS(tblMaster_Inputs[Helper_Amount], tblMaster_Inputs[Year], 2025, tblMaster_Inputs[Helper_Treatment], "TAX_EXEMPT", tblMaster_Inputs[Activity_Type], "Strategy")</f>
        <v/>
      </c>
      <c r="L11">
        <f>SUMIFS(tblMaster_Inputs[Helper_Amount], tblMaster_Inputs[Year], 2026, tblMaster_Inputs[Helper_Treatment], "TAX_EXEMPT", tblMaster_Inputs[Activity_Type], "Strategy")</f>
        <v/>
      </c>
      <c r="M11">
        <f>SUMIFS(tblMaster_Inputs[Helper_Amount], tblMaster_Inputs[Year], 2027, tblMaster_Inputs[Helper_Treatment], "TAX_EXEMPT", tblMaster_Inputs[Activity_Type], "Strategy")</f>
        <v/>
      </c>
      <c r="N11">
        <f>SUMIFS(tblMaster_Inputs[Helper_Amount], tblMaster_Inputs[Year], 2028, tblMaster_Inputs[Helper_Treatment], "TAX_EXEMPT",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"QUAL_DIV", tblMaster_Inputs[Activity_Type], "Baseline")</f>
        <v/>
      </c>
      <c r="D12">
        <f>SUMIFS(tblMaster_Inputs[Helper_Amount], tblMaster_Inputs[Year], 2024, tblMaster_Inputs[Helper_Treatment], "QUAL_DIV", tblMaster_Inputs[Activity_Type], "Baseline")</f>
        <v/>
      </c>
      <c r="E12">
        <f>SUMIFS(tblMaster_Inputs[Helper_Amount], tblMaster_Inputs[Year], 2025, tblMaster_Inputs[Helper_Treatment], "QUAL_DIV", tblMaster_Inputs[Activity_Type], "Baseline")</f>
        <v/>
      </c>
      <c r="F12">
        <f>SUMIFS(tblMaster_Inputs[Helper_Amount], tblMaster_Inputs[Year], 2026, tblMaster_Inputs[Helper_Treatment], "QUAL_DIV", tblMaster_Inputs[Activity_Type], "Baseline")</f>
        <v/>
      </c>
      <c r="G12">
        <f>SUMIFS(tblMaster_Inputs[Helper_Amount], tblMaster_Inputs[Year], 2027, tblMaster_Inputs[Helper_Treatment], "QUAL_DIV", tblMaster_Inputs[Activity_Type], "Baseline")</f>
        <v/>
      </c>
      <c r="H12">
        <f>SUMIFS(tblMaster_Inputs[Helper_Amount], tblMaster_Inputs[Year], 2028, tblMaster_Inputs[Helper_Treatment], "QUAL_DIV", tblMaster_Inputs[Activity_Type], "Baseline")</f>
        <v/>
      </c>
      <c r="I12">
        <f>SUMIFS(tblMaster_Inputs[Helper_Amount], tblMaster_Inputs[Year], 2023, tblMaster_Inputs[Helper_Treatment], "QUAL_DIV", tblMaster_Inputs[Activity_Type], "Strategy")</f>
        <v/>
      </c>
      <c r="J12">
        <f>SUMIFS(tblMaster_Inputs[Helper_Amount], tblMaster_Inputs[Year], 2024, tblMaster_Inputs[Helper_Treatment], "QUAL_DIV", tblMaster_Inputs[Activity_Type], "Strategy")</f>
        <v/>
      </c>
      <c r="K12">
        <f>SUMIFS(tblMaster_Inputs[Helper_Amount], tblMaster_Inputs[Year], 2025, tblMaster_Inputs[Helper_Treatment], "QUAL_DIV", tblMaster_Inputs[Activity_Type], "Strategy")</f>
        <v/>
      </c>
      <c r="L12">
        <f>SUMIFS(tblMaster_Inputs[Helper_Amount], tblMaster_Inputs[Year], 2026, tblMaster_Inputs[Helper_Treatment], "QUAL_DIV", tblMaster_Inputs[Activity_Type], "Strategy")</f>
        <v/>
      </c>
      <c r="M12">
        <f>SUMIFS(tblMaster_Inputs[Helper_Amount], tblMaster_Inputs[Year], 2027, tblMaster_Inputs[Helper_Treatment], "QUAL_DIV", tblMaster_Inputs[Activity_Type], "Strategy")</f>
        <v/>
      </c>
      <c r="N12">
        <f>SUMIFS(tblMaster_Inputs[Helper_Amount], tblMaster_Inputs[Year], 2028, tblMaster_Inputs[Helper_Treatment], "QUAL_DIV",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/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/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/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/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/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/>
      </c>
      <c r="I13">
        <f>SUMIFS(tblMaster_Inputs[Baseline_Amount], tblMaster_Inputs[Year], 2023, tblMaster_Inputs[Treatment_Profile], "LTCG_Stock", tblMaster_Inputs[Activity_Type], "Strategy") + SUMIFS(tblMaster_Inputs[Baseline_Amount], tblMaster_Inputs[Year], 2023, tblMaster_Inputs[Treatment_Profile], "LTCG_RE", tblMaster_Inputs[Activity_Type], "Strategy") + SUMIFS(tblMaster_Inputs[Baseline_Amount], tblMaster_Inputs[Year], 2023, tblMaster_Inputs[Treatment_Profile], "LTCG_K1_Passthrough", tblMaster_Inputs[Activity_Type], "Strategy") + SUMIFS(tblMaster_Inputs[Baseline_Amount], tblMaster_Inputs[Year], 2023, tblMaster_Inputs[Treatment_Profile], "Sec1250_Recap", tblMaster_Inputs[Activity_Type], "Strategy")</f>
        <v/>
      </c>
      <c r="J13">
        <f>SUMIFS(tblMaster_Inputs[Baseline_Amount], tblMaster_Inputs[Year], 2024, tblMaster_Inputs[Treatment_Profile], "LTCG_Stock", tblMaster_Inputs[Activity_Type], "Strategy") + SUMIFS(tblMaster_Inputs[Baseline_Amount], tblMaster_Inputs[Year], 2024, tblMaster_Inputs[Treatment_Profile], "LTCG_RE", tblMaster_Inputs[Activity_Type], "Strategy") + SUMIFS(tblMaster_Inputs[Baseline_Amount], tblMaster_Inputs[Year], 2024, tblMaster_Inputs[Treatment_Profile], "LTCG_K1_Passthrough", tblMaster_Inputs[Activity_Type], "Strategy") + SUMIFS(tblMaster_Inputs[Baseline_Amount], tblMaster_Inputs[Year], 2024, tblMaster_Inputs[Treatment_Profile], "Sec1250_Recap", tblMaster_Inputs[Activity_Type], "Strategy")</f>
        <v/>
      </c>
      <c r="K13">
        <f>SUMIFS(tblMaster_Inputs[Baseline_Amount], tblMaster_Inputs[Year], 2025, tblMaster_Inputs[Treatment_Profile], "LTCG_Stock", tblMaster_Inputs[Activity_Type], "Strategy") + SUMIFS(tblMaster_Inputs[Baseline_Amount], tblMaster_Inputs[Year], 2025, tblMaster_Inputs[Treatment_Profile], "LTCG_RE", tblMaster_Inputs[Activity_Type], "Strategy") + SUMIFS(tblMaster_Inputs[Baseline_Amount], tblMaster_Inputs[Year], 2025, tblMaster_Inputs[Treatment_Profile], "LTCG_K1_Passthrough", tblMaster_Inputs[Activity_Type], "Strategy") + SUMIFS(tblMaster_Inputs[Baseline_Amount], tblMaster_Inputs[Year], 2025, tblMaster_Inputs[Treatment_Profile], "Sec1250_Recap", tblMaster_Inputs[Activity_Type], "Strategy")</f>
        <v/>
      </c>
      <c r="L13">
        <f>SUMIFS(tblMaster_Inputs[Baseline_Amount], tblMaster_Inputs[Year], 2026, tblMaster_Inputs[Treatment_Profile], "LTCG_Stock", tblMaster_Inputs[Activity_Type], "Strategy") + SUMIFS(tblMaster_Inputs[Baseline_Amount], tblMaster_Inputs[Year], 2026, tblMaster_Inputs[Treatment_Profile], "LTCG_RE", tblMaster_Inputs[Activity_Type], "Strategy") + SUMIFS(tblMaster_Inputs[Baseline_Amount], tblMaster_Inputs[Year], 2026, tblMaster_Inputs[Treatment_Profile], "LTCG_K1_Passthrough", tblMaster_Inputs[Activity_Type], "Strategy") + SUMIFS(tblMaster_Inputs[Baseline_Amount], tblMaster_Inputs[Year], 2026, tblMaster_Inputs[Treatment_Profile], "Sec1250_Recap", tblMaster_Inputs[Activity_Type], "Strategy")</f>
        <v/>
      </c>
      <c r="M13">
        <f>SUMIFS(tblMaster_Inputs[Baseline_Amount], tblMaster_Inputs[Year], 2027, tblMaster_Inputs[Treatment_Profile], "LTCG_Stock", tblMaster_Inputs[Activity_Type], "Strategy") + SUMIFS(tblMaster_Inputs[Baseline_Amount], tblMaster_Inputs[Year], 2027, tblMaster_Inputs[Treatment_Profile], "LTCG_RE", tblMaster_Inputs[Activity_Type], "Strategy") + SUMIFS(tblMaster_Inputs[Baseline_Amount], tblMaster_Inputs[Year], 2027, tblMaster_Inputs[Treatment_Profile], "LTCG_K1_Passthrough", tblMaster_Inputs[Activity_Type], "Strategy") + SUMIFS(tblMaster_Inputs[Baseline_Amount], tblMaster_Inputs[Year], 2027, tblMaster_Inputs[Treatment_Profile], "Sec1250_Recap", tblMaster_Inputs[Activity_Type], "Strategy")</f>
        <v/>
      </c>
      <c r="N13">
        <f>SUMIFS(tblMaster_Inputs[Baseline_Amount], tblMaster_Inputs[Year], 2028, tblMaster_Inputs[Treatment_Profile], "LTCG_Stock", tblMaster_Inputs[Activity_Type], "Strategy") + SUMIFS(tblMaster_Inputs[Baseline_Amount], tblMaster_Inputs[Year], 2028, tblMaster_Inputs[Treatment_Profile], "LTCG_RE", tblMaster_Inputs[Activity_Type], "Strategy") + SUMIFS(tblMaster_Inputs[Baseline_Amount], tblMaster_Inputs[Year], 2028, tblMaster_Inputs[Treatment_Profile], "LTCG_K1_Passthrough", tblMaster_Inputs[Activity_Type], "Strategy") + SUMIFS(tblMaster_Inputs[Baseline_Amount], tblMaster_Inputs[Year], 2028, tblMaster_Inputs[Treatment_Profile], "Sec1250_Recap",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"STCG_Stock", tblMaster_Inputs[Activity_Type], "Baseline")</f>
        <v/>
      </c>
      <c r="D14">
        <f>SUMIFS(tblMaster_Inputs[Baseline_Amount], tblMaster_Inputs[Year], 2024, tblMaster_Inputs[Treatment_Profile], "STCG_Stock", tblMaster_Inputs[Activity_Type], "Baseline")</f>
        <v/>
      </c>
      <c r="E14">
        <f>SUMIFS(tblMaster_Inputs[Baseline_Amount], tblMaster_Inputs[Year], 2025, tblMaster_Inputs[Treatment_Profile], "STCG_Stock", tblMaster_Inputs[Activity_Type], "Baseline")</f>
        <v/>
      </c>
      <c r="F14">
        <f>SUMIFS(tblMaster_Inputs[Baseline_Amount], tblMaster_Inputs[Year], 2026, tblMaster_Inputs[Treatment_Profile], "STCG_Stock", tblMaster_Inputs[Activity_Type], "Baseline")</f>
        <v/>
      </c>
      <c r="G14">
        <f>SUMIFS(tblMaster_Inputs[Baseline_Amount], tblMaster_Inputs[Year], 2027, tblMaster_Inputs[Treatment_Profile], "STCG_Stock", tblMaster_Inputs[Activity_Type], "Baseline")</f>
        <v/>
      </c>
      <c r="H14">
        <f>SUMIFS(tblMaster_Inputs[Baseline_Amount], tblMaster_Inputs[Year], 2028, tblMaster_Inputs[Treatment_Profile], "STCG_Stock", tblMaster_Inputs[Activity_Type], "Baseline")</f>
        <v/>
      </c>
      <c r="I14">
        <f>SUMIFS(tblMaster_Inputs[Baseline_Amount], tblMaster_Inputs[Year], 2023, tblMaster_Inputs[Treatment_Profile], "STCG_Stock", tblMaster_Inputs[Activity_Type], "Strategy")</f>
        <v/>
      </c>
      <c r="J14">
        <f>SUMIFS(tblMaster_Inputs[Baseline_Amount], tblMaster_Inputs[Year], 2024, tblMaster_Inputs[Treatment_Profile], "STCG_Stock", tblMaster_Inputs[Activity_Type], "Strategy")</f>
        <v/>
      </c>
      <c r="K14">
        <f>SUMIFS(tblMaster_Inputs[Baseline_Amount], tblMaster_Inputs[Year], 2025, tblMaster_Inputs[Treatment_Profile], "STCG_Stock", tblMaster_Inputs[Activity_Type], "Strategy")</f>
        <v/>
      </c>
      <c r="L14">
        <f>SUMIFS(tblMaster_Inputs[Baseline_Amount], tblMaster_Inputs[Year], 2026, tblMaster_Inputs[Treatment_Profile], "STCG_Stock", tblMaster_Inputs[Activity_Type], "Strategy")</f>
        <v/>
      </c>
      <c r="M14">
        <f>SUMIFS(tblMaster_Inputs[Baseline_Amount], tblMaster_Inputs[Year], 2027, tblMaster_Inputs[Treatment_Profile], "STCG_Stock", tblMaster_Inputs[Activity_Type], "Strategy")</f>
        <v/>
      </c>
      <c r="N14">
        <f>SUMIFS(tblMaster_Inputs[Baseline_Amount], tblMaster_Inputs[Year], 2028, tblMaster_Inputs[Treatment_Profile], "STCG_Stock",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"SEC1250", tblMaster_Inputs[Activity_Type], "Baseline")</f>
        <v/>
      </c>
      <c r="D15">
        <f>SUMIFS(tblMaster_Inputs[Helper_Amount], tblMaster_Inputs[Year], 2024, tblMaster_Inputs[Helper_Treatment], "SEC1250", tblMaster_Inputs[Activity_Type], "Baseline")</f>
        <v/>
      </c>
      <c r="E15">
        <f>SUMIFS(tblMaster_Inputs[Helper_Amount], tblMaster_Inputs[Year], 2025, tblMaster_Inputs[Helper_Treatment], "SEC1250", tblMaster_Inputs[Activity_Type], "Baseline")</f>
        <v/>
      </c>
      <c r="F15">
        <f>SUMIFS(tblMaster_Inputs[Helper_Amount], tblMaster_Inputs[Year], 2026, tblMaster_Inputs[Helper_Treatment], "SEC1250", tblMaster_Inputs[Activity_Type], "Baseline")</f>
        <v/>
      </c>
      <c r="G15">
        <f>SUMIFS(tblMaster_Inputs[Helper_Amount], tblMaster_Inputs[Year], 2027, tblMaster_Inputs[Helper_Treatment], "SEC1250", tblMaster_Inputs[Activity_Type], "Baseline")</f>
        <v/>
      </c>
      <c r="H15">
        <f>SUMIFS(tblMaster_Inputs[Helper_Amount], tblMaster_Inputs[Year], 2028, tblMaster_Inputs[Helper_Treatment], "SEC1250", tblMaster_Inputs[Activity_Type], "Baseline")</f>
        <v/>
      </c>
      <c r="I15">
        <f>SUMIFS(tblMaster_Inputs[Helper_Amount], tblMaster_Inputs[Year], 2023, tblMaster_Inputs[Helper_Treatment], "SEC1250", tblMaster_Inputs[Activity_Type], "Strategy")</f>
        <v/>
      </c>
      <c r="J15">
        <f>SUMIFS(tblMaster_Inputs[Helper_Amount], tblMaster_Inputs[Year], 2024, tblMaster_Inputs[Helper_Treatment], "SEC1250", tblMaster_Inputs[Activity_Type], "Strategy")</f>
        <v/>
      </c>
      <c r="K15">
        <f>SUMIFS(tblMaster_Inputs[Helper_Amount], tblMaster_Inputs[Year], 2025, tblMaster_Inputs[Helper_Treatment], "SEC1250", tblMaster_Inputs[Activity_Type], "Strategy")</f>
        <v/>
      </c>
      <c r="L15">
        <f>SUMIFS(tblMaster_Inputs[Helper_Amount], tblMaster_Inputs[Year], 2026, tblMaster_Inputs[Helper_Treatment], "SEC1250", tblMaster_Inputs[Activity_Type], "Strategy")</f>
        <v/>
      </c>
      <c r="M15">
        <f>SUMIFS(tblMaster_Inputs[Helper_Amount], tblMaster_Inputs[Year], 2027, tblMaster_Inputs[Helper_Treatment], "SEC1250", tblMaster_Inputs[Activity_Type], "Strategy")</f>
        <v/>
      </c>
      <c r="N15">
        <f>SUMIFS(tblMaster_Inputs[Helper_Amount], tblMaster_Inputs[Year], 2028, tblMaster_Inputs[Helper_Treatment], "SEC1250",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30A0"/>
    <outlinePr summaryBelow="1" summaryRight="1"/>
    <pageSetUpPr/>
  </sheetPr>
  <dimension ref="B1:E15"/>
  <sheetViews>
    <sheetView workbookViewId="0">
      <selection activeCell="T18" sqref="T18"/>
    </sheetView>
  </sheetViews>
  <sheetFormatPr baseColWidth="8" defaultRowHeight="14.5"/>
  <cols>
    <col width="22.08984375" bestFit="1" customWidth="1" style="99" min="2" max="2"/>
    <col width="7.906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Income by 1040 Line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Primary_Line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12</t>
        </is>
      </c>
      <c r="C7" s="100" t="n"/>
      <c r="D7" s="100" t="n">
        <v>-10000</v>
      </c>
      <c r="E7" s="100" t="n">
        <v>-10000</v>
      </c>
    </row>
    <row r="8">
      <c r="B8" t="inlineStr">
        <is>
          <t>1z</t>
        </is>
      </c>
      <c r="C8" s="100" t="n">
        <v>153648</v>
      </c>
      <c r="D8" s="100" t="n">
        <v>75000</v>
      </c>
      <c r="E8" s="100" t="n">
        <v>228648</v>
      </c>
    </row>
    <row r="9">
      <c r="B9" t="inlineStr">
        <is>
          <t>2b</t>
        </is>
      </c>
      <c r="C9" s="100" t="n"/>
      <c r="D9" s="100" t="n">
        <v>500</v>
      </c>
      <c r="E9" s="100" t="n">
        <v>500</v>
      </c>
    </row>
    <row r="10">
      <c r="B10" t="inlineStr">
        <is>
          <t>3b</t>
        </is>
      </c>
      <c r="C10" s="100" t="n">
        <v>25922</v>
      </c>
      <c r="D10" s="100" t="n">
        <v>10000</v>
      </c>
      <c r="E10" s="100" t="n">
        <v>35922</v>
      </c>
    </row>
    <row r="11">
      <c r="B11" t="inlineStr">
        <is>
          <t>7</t>
        </is>
      </c>
      <c r="C11" s="100" t="n">
        <v>14487</v>
      </c>
      <c r="D11" s="100" t="n">
        <v>25000</v>
      </c>
      <c r="E11" s="100" t="n">
        <v>39487</v>
      </c>
    </row>
    <row r="12">
      <c r="B12" t="inlineStr">
        <is>
          <t>8</t>
        </is>
      </c>
      <c r="C12" s="100" t="n">
        <v>-100766</v>
      </c>
      <c r="D12" s="100" t="n">
        <v>200000</v>
      </c>
      <c r="E12" s="100" t="n">
        <v>99234</v>
      </c>
    </row>
    <row r="13">
      <c r="B13" t="n">
        <v>8</v>
      </c>
      <c r="C13" s="100" t="n"/>
      <c r="D13" s="100" t="n">
        <v>-55000</v>
      </c>
      <c r="E13" s="100" t="n">
        <v>-55000</v>
      </c>
    </row>
    <row r="14">
      <c r="B14" t="n">
        <v>10</v>
      </c>
      <c r="C14" s="100" t="n"/>
      <c r="D14" s="100" t="n">
        <v>-8550</v>
      </c>
      <c r="E14" s="100" t="n">
        <v>-8550</v>
      </c>
    </row>
    <row r="15">
      <c r="B15" t="inlineStr">
        <is>
          <t>Grand Total</t>
        </is>
      </c>
      <c r="C15" s="100" t="n">
        <v>93291</v>
      </c>
      <c r="D15" s="100" t="n">
        <v>236950</v>
      </c>
      <c r="E15" s="100" t="n">
        <v>330241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7030A0"/>
    <outlinePr summaryBelow="1" summaryRight="1"/>
    <pageSetUpPr/>
  </sheetPr>
  <dimension ref="B1:F10"/>
  <sheetViews>
    <sheetView workbookViewId="0">
      <selection activeCell="H18" sqref="H18"/>
    </sheetView>
  </sheetViews>
  <sheetFormatPr baseColWidth="8" defaultRowHeight="14.5"/>
  <cols>
    <col width="22.6328125" bestFit="1" customWidth="1" style="99" min="2" max="2"/>
    <col width="19.08984375" bestFit="1" customWidth="1" style="99" min="3" max="3"/>
    <col width="8" customWidth="1" style="99" min="4" max="4"/>
    <col width="10.6328125" bestFit="1" customWidth="1" style="99" min="5" max="5"/>
    <col width="10.7265625" customWidth="1" style="99" min="6" max="6"/>
  </cols>
  <sheetData>
    <row r="1" ht="18.5" customHeight="1" s="99">
      <c r="B1" s="14" t="inlineStr">
        <is>
          <t>Visual Pivot — Business Income by Treatment Profile</t>
        </is>
      </c>
    </row>
    <row r="2">
      <c r="B2" s="11" t="inlineStr">
        <is>
          <t>Bucket</t>
        </is>
      </c>
      <c r="C2" t="inlineStr">
        <is>
          <t>(Multiple Items)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D5" s="11" t="inlineStr">
        <is>
          <t>Year</t>
        </is>
      </c>
    </row>
    <row r="6">
      <c r="B6" s="11" t="inlineStr">
        <is>
          <t>Payor</t>
        </is>
      </c>
      <c r="C6" s="11" t="inlineStr">
        <is>
          <t>Treatment_Profile</t>
        </is>
      </c>
      <c r="D6" t="n">
        <v>2024</v>
      </c>
      <c r="E6" t="n">
        <v>2025</v>
      </c>
      <c r="F6" t="inlineStr">
        <is>
          <t>Grand Total</t>
        </is>
      </c>
    </row>
    <row r="7">
      <c r="B7" t="inlineStr">
        <is>
          <t>123 Main St, Salt Lake City</t>
        </is>
      </c>
      <c r="C7" t="inlineStr">
        <is>
          <t>SchE_Rental</t>
        </is>
      </c>
      <c r="D7" s="100" t="n"/>
      <c r="E7" s="100" t="n">
        <v>-80000</v>
      </c>
      <c r="F7" s="100" t="n">
        <v>-80000</v>
      </c>
    </row>
    <row r="8">
      <c r="B8" t="inlineStr">
        <is>
          <t>Cedillo Partnership</t>
        </is>
      </c>
      <c r="C8" t="inlineStr">
        <is>
          <t>K1_PTP_Passive</t>
        </is>
      </c>
      <c r="D8" s="100" t="n">
        <v>-100766</v>
      </c>
      <c r="E8" s="100" t="n"/>
      <c r="F8" s="100" t="n">
        <v>-100766</v>
      </c>
    </row>
    <row r="9">
      <c r="B9" t="inlineStr">
        <is>
          <t>SampleCo S-Corp K-1</t>
        </is>
      </c>
      <c r="C9" t="inlineStr">
        <is>
          <t>K1_SCorp_Active</t>
        </is>
      </c>
      <c r="D9" s="100" t="n"/>
      <c r="E9" s="100" t="n">
        <v>225000</v>
      </c>
      <c r="F9" s="100" t="n">
        <v>225000</v>
      </c>
    </row>
    <row r="10">
      <c r="B10" t="inlineStr">
        <is>
          <t>Grand Total</t>
        </is>
      </c>
      <c r="D10" s="100" t="n">
        <v>-100766</v>
      </c>
      <c r="E10" s="100" t="n">
        <v>145000</v>
      </c>
      <c r="F10" s="100" t="n">
        <v>44234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7030A0"/>
    <outlinePr summaryBelow="1" summaryRight="1"/>
    <pageSetUpPr/>
  </sheetPr>
  <dimension ref="B1:K19"/>
  <sheetViews>
    <sheetView workbookViewId="0">
      <selection activeCell="K14" sqref="K14:K15"/>
    </sheetView>
  </sheetViews>
  <sheetFormatPr baseColWidth="8" defaultRowHeight="14.5"/>
  <cols>
    <col width="22.6328125" bestFit="1" customWidth="1" style="99" min="2" max="2"/>
    <col width="18.54296875" bestFit="1" customWidth="1" style="99" min="3" max="3"/>
    <col width="14.26953125" bestFit="1" customWidth="1" style="99" min="4" max="4"/>
    <col width="7.90625" bestFit="1" customWidth="1" style="99" min="5" max="6"/>
    <col width="10.7265625" bestFit="1" customWidth="1" style="99" min="7" max="7"/>
  </cols>
  <sheetData>
    <row r="1" ht="18.5" customHeight="1" s="99">
      <c r="B1" s="14" t="inlineStr">
        <is>
          <t>Visual Pivot — By Payor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E5" s="11" t="inlineStr">
        <is>
          <t>Year</t>
        </is>
      </c>
      <c r="I5" s="17" t="inlineStr">
        <is>
          <t>Payor</t>
        </is>
      </c>
      <c r="J5" s="17" t="n">
        <v>2024</v>
      </c>
      <c r="K5" s="17" t="n">
        <v>2025</v>
      </c>
    </row>
    <row r="6">
      <c r="B6" s="11" t="inlineStr">
        <is>
          <t>Payor</t>
        </is>
      </c>
      <c r="C6" s="11" t="inlineStr">
        <is>
          <t>Treatment_Profile</t>
        </is>
      </c>
      <c r="D6" s="11" t="inlineStr">
        <is>
          <t>Primary_Line</t>
        </is>
      </c>
      <c r="E6" t="n">
        <v>2024</v>
      </c>
      <c r="F6" t="n">
        <v>2025</v>
      </c>
      <c r="G6" t="inlineStr">
        <is>
          <t>Grand Total</t>
        </is>
      </c>
      <c r="I6" t="inlineStr">
        <is>
          <t>Acme S-Corp</t>
        </is>
      </c>
      <c r="J6" s="100">
        <f>SUMIFS(tblMaster_Inputs[Baseline_Amount],tblMaster_Inputs[Payor],"Acme S-Corp",tblMaster_Inputs[Year],2024)</f>
        <v/>
      </c>
      <c r="K6" s="100">
        <f>SUMIFS(tblMaster_Inputs[Baseline_Amount],tblMaster_Inputs[Payor],"Acme S-Corp",tblMaster_Inputs[Year],2025)</f>
        <v/>
      </c>
    </row>
    <row r="7">
      <c r="B7" t="inlineStr">
        <is>
          <t>Acme S-Corp</t>
        </is>
      </c>
      <c r="C7" t="inlineStr">
        <is>
          <t>W2_SCorpOwner</t>
        </is>
      </c>
      <c r="D7" t="inlineStr">
        <is>
          <t>1z</t>
        </is>
      </c>
      <c r="E7" s="100" t="n">
        <v>153648</v>
      </c>
      <c r="F7" s="100" t="n"/>
      <c r="G7" s="100" t="n">
        <v>153648</v>
      </c>
      <c r="I7" t="inlineStr">
        <is>
          <t>Brokerage</t>
        </is>
      </c>
      <c r="J7" s="100">
        <f>SUMIFS(tblMaster_Inputs[Baseline_Amount],tblMaster_Inputs[Payor],"Brokerage",tblMaster_Inputs[Year],2024)</f>
        <v/>
      </c>
      <c r="K7" s="100">
        <f>SUMIFS(tblMaster_Inputs[Baseline_Amount],tblMaster_Inputs[Payor],"Brokerage",tblMaster_Inputs[Year],2025)</f>
        <v/>
      </c>
    </row>
    <row r="8">
      <c r="B8" t="inlineStr">
        <is>
          <t>Brokerage</t>
        </is>
      </c>
      <c r="C8" t="inlineStr">
        <is>
          <t>Div_Ordinary</t>
        </is>
      </c>
      <c r="D8" t="inlineStr">
        <is>
          <t>3b</t>
        </is>
      </c>
      <c r="E8" s="100" t="n">
        <v>25922</v>
      </c>
      <c r="F8" s="100" t="n"/>
      <c r="G8" s="100" t="n">
        <v>25922</v>
      </c>
      <c r="I8" t="inlineStr">
        <is>
          <t>Cedillo Partnership</t>
        </is>
      </c>
      <c r="J8" s="100">
        <f>SUMIFS(tblMaster_Inputs[Baseline_Amount],tblMaster_Inputs[Payor],"Cedillo Partnership",tblMaster_Inputs[Year],2024)</f>
        <v/>
      </c>
      <c r="K8" s="100">
        <f>SUMIFS(tblMaster_Inputs[Baseline_Amount],tblMaster_Inputs[Payor],"Cedillo Partnership",tblMaster_Inputs[Year],2025)</f>
        <v/>
      </c>
    </row>
    <row r="9">
      <c r="C9" t="inlineStr">
        <is>
          <t>Div_Qualified</t>
        </is>
      </c>
      <c r="D9" t="inlineStr">
        <is>
          <t>3b</t>
        </is>
      </c>
      <c r="E9" s="100" t="n"/>
      <c r="F9" s="100" t="n">
        <v>10000</v>
      </c>
      <c r="G9" s="100" t="n">
        <v>10000</v>
      </c>
      <c r="I9" t="inlineStr">
        <is>
          <t>SampleCo S-Corp</t>
        </is>
      </c>
      <c r="J9" s="100">
        <f>SUMIFS(tblMaster_Inputs[Baseline_Amount],tblMaster_Inputs[Payor],"SampleCo S-Corp",tblMaster_Inputs[Year],2024)</f>
        <v/>
      </c>
      <c r="K9" s="100">
        <f>SUMIFS(tblMaster_Inputs[Baseline_Amount],tblMaster_Inputs[Payor],"SampleCo S-Corp",tblMaster_Inputs[Year],2025)</f>
        <v/>
      </c>
    </row>
    <row r="10">
      <c r="C10" t="inlineStr">
        <is>
          <t>Int_Taxable</t>
        </is>
      </c>
      <c r="D10" t="inlineStr">
        <is>
          <t>2b</t>
        </is>
      </c>
      <c r="E10" s="100" t="n"/>
      <c r="F10" s="100" t="n">
        <v>500</v>
      </c>
      <c r="G10" s="100" t="n">
        <v>500</v>
      </c>
      <c r="I10" t="inlineStr">
        <is>
          <t>SampleCo K-1</t>
        </is>
      </c>
      <c r="J10" s="100">
        <f>SUMIFS(tblMaster_Inputs[Baseline_Amount],tblMaster_Inputs[Payor],"SampleCo S-Corp K-1",tblMaster_Inputs[Year],2024)</f>
        <v/>
      </c>
      <c r="K10" s="100">
        <f>SUMIFS(tblMaster_Inputs[Baseline_Amount],tblMaster_Inputs[Payor],"SampleCo S-Corp K-1",tblMaster_Inputs[Year],2025)</f>
        <v/>
      </c>
    </row>
    <row r="11">
      <c r="C11" t="inlineStr">
        <is>
          <t>LTCG_Stock</t>
        </is>
      </c>
      <c r="D11" t="inlineStr">
        <is>
          <t>7</t>
        </is>
      </c>
      <c r="E11" s="100" t="n">
        <v>14487</v>
      </c>
      <c r="F11" s="100" t="n">
        <v>25000</v>
      </c>
      <c r="G11" s="100" t="n">
        <v>39487</v>
      </c>
      <c r="I11" t="inlineStr">
        <is>
          <t>123 Main St</t>
        </is>
      </c>
      <c r="J11" s="100">
        <f>SUMIFS(tblMaster_Inputs[Baseline_Amount],tblMaster_Inputs[Payor],"123 Main St, Salt Lake City",tblMaster_Inputs[Year],2024)</f>
        <v/>
      </c>
      <c r="K11" s="100">
        <f>SUMIFS(tblMaster_Inputs[Baseline_Amount],tblMaster_Inputs[Payor],"123 Main St, Salt Lake City",tblMaster_Inputs[Year],2025)</f>
        <v/>
      </c>
    </row>
    <row r="12">
      <c r="B12" t="inlineStr">
        <is>
          <t>Cedillo Partnership</t>
        </is>
      </c>
      <c r="C12" t="inlineStr">
        <is>
          <t>K1_PTP_Passive</t>
        </is>
      </c>
      <c r="D12" t="inlineStr">
        <is>
          <t>8</t>
        </is>
      </c>
      <c r="E12" s="100" t="n">
        <v>-100766</v>
      </c>
      <c r="F12" s="100" t="n"/>
      <c r="G12" s="100" t="n">
        <v>-100766</v>
      </c>
    </row>
    <row r="13">
      <c r="B13" t="inlineStr">
        <is>
          <t>SampleCo S-Corp</t>
        </is>
      </c>
      <c r="C13" t="inlineStr">
        <is>
          <t>W2_SCorpOwner</t>
        </is>
      </c>
      <c r="D13" t="inlineStr">
        <is>
          <t>1z</t>
        </is>
      </c>
      <c r="E13" s="100" t="n"/>
      <c r="F13" s="100" t="n">
        <v>75000</v>
      </c>
      <c r="G13" s="100" t="n">
        <v>75000</v>
      </c>
    </row>
    <row r="14">
      <c r="B14" t="inlineStr">
        <is>
          <t>SampleCo S-Corp K-1</t>
        </is>
      </c>
      <c r="C14" t="inlineStr">
        <is>
          <t>K1_SCorp_Active</t>
        </is>
      </c>
      <c r="D14" t="n">
        <v>8</v>
      </c>
      <c r="E14" s="100" t="n"/>
      <c r="F14" s="100" t="n">
        <v>25000</v>
      </c>
      <c r="G14" s="100" t="n">
        <v>25000</v>
      </c>
    </row>
    <row r="15">
      <c r="D15" t="inlineStr">
        <is>
          <t>8</t>
        </is>
      </c>
      <c r="E15" s="100" t="n"/>
      <c r="F15" s="100" t="n">
        <v>200000</v>
      </c>
      <c r="G15" s="100" t="n">
        <v>200000</v>
      </c>
    </row>
    <row r="16">
      <c r="B16" t="inlineStr">
        <is>
          <t>(blank)</t>
        </is>
      </c>
      <c r="C16" t="inlineStr">
        <is>
          <t>Itm_SALT</t>
        </is>
      </c>
      <c r="D16" t="inlineStr">
        <is>
          <t>12</t>
        </is>
      </c>
      <c r="E16" s="100" t="n"/>
      <c r="F16" s="100" t="n">
        <v>-10000</v>
      </c>
      <c r="G16" s="100" t="n">
        <v>-10000</v>
      </c>
    </row>
    <row r="17">
      <c r="C17" t="inlineStr">
        <is>
          <t>Adj_HSA</t>
        </is>
      </c>
      <c r="D17" t="n">
        <v>10</v>
      </c>
      <c r="E17" s="100" t="n"/>
      <c r="F17" s="100" t="n">
        <v>-8550</v>
      </c>
      <c r="G17" s="100" t="n">
        <v>-8550</v>
      </c>
    </row>
    <row r="18">
      <c r="B18" t="inlineStr">
        <is>
          <t>123 Main St, Salt Lake City</t>
        </is>
      </c>
      <c r="C18" t="inlineStr">
        <is>
          <t>SchE_Rental</t>
        </is>
      </c>
      <c r="D18" t="n">
        <v>8</v>
      </c>
      <c r="E18" s="100" t="n"/>
      <c r="F18" s="100" t="n">
        <v>-80000</v>
      </c>
      <c r="G18" s="100" t="n">
        <v>-80000</v>
      </c>
    </row>
    <row r="19">
      <c r="B19" t="inlineStr">
        <is>
          <t>Grand Total</t>
        </is>
      </c>
      <c r="E19" s="100" t="n">
        <v>93291</v>
      </c>
      <c r="F19" s="100" t="n">
        <v>236950</v>
      </c>
      <c r="G19" s="100" t="n">
        <v>330241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7030A0"/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4.5"/>
  <cols>
    <col width="21.08984375" bestFit="1" customWidth="1" style="99" min="2" max="2"/>
    <col width="7.363281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Helper Carve-Outs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Helper_Amount</t>
        </is>
      </c>
      <c r="C5" s="11" t="inlineStr">
        <is>
          <t>Year</t>
        </is>
      </c>
    </row>
    <row r="6">
      <c r="B6" s="11" t="inlineStr">
        <is>
          <t>Helper_Treatment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OWNER_PAY</t>
        </is>
      </c>
      <c r="C7" s="100" t="n">
        <v>0</v>
      </c>
      <c r="D7" s="100" t="n">
        <v>100000</v>
      </c>
      <c r="E7" s="100" t="n">
        <v>100000</v>
      </c>
    </row>
    <row r="8">
      <c r="B8" t="inlineStr">
        <is>
          <t>QUAL_DIV</t>
        </is>
      </c>
      <c r="C8" s="100" t="n">
        <v>0</v>
      </c>
      <c r="D8" s="100" t="n">
        <v>7000</v>
      </c>
      <c r="E8" s="100" t="n">
        <v>7000</v>
      </c>
    </row>
    <row r="9">
      <c r="B9" t="inlineStr">
        <is>
          <t>Grand Total</t>
        </is>
      </c>
      <c r="C9" s="100" t="n">
        <v>0</v>
      </c>
      <c r="D9" s="100" t="n">
        <v>107000</v>
      </c>
      <c r="E9" s="100" t="n">
        <v>107000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C00000"/>
    <outlinePr summaryBelow="1" summaryRight="1"/>
    <pageSetUpPr/>
  </sheetPr>
  <dimension ref="B2:J669"/>
  <sheetViews>
    <sheetView workbookViewId="0">
      <selection activeCell="C26" sqref="C26"/>
    </sheetView>
  </sheetViews>
  <sheetFormatPr baseColWidth="8" defaultRowHeight="14.5"/>
  <cols>
    <col width="3.6328125" customWidth="1" style="99" min="1" max="1"/>
    <col width="10.90625" customWidth="1" style="99" min="2" max="2"/>
    <col width="16.36328125" customWidth="1" style="99" min="3" max="3"/>
    <col width="18.1796875" customWidth="1" style="99" min="4" max="5"/>
    <col width="50" customWidth="1" style="99" min="6" max="6"/>
    <col width="18.1796875" customWidth="1" style="99" min="7" max="7"/>
    <col width="10.36328125" customWidth="1" style="99" min="8" max="10"/>
  </cols>
  <sheetData>
    <row r="2" ht="18.5" customHeight="1" s="99">
      <c r="B2" s="15" t="inlineStr">
        <is>
          <t>TAX REFERENCE — IRS Rate Tables</t>
        </is>
      </c>
    </row>
    <row r="3">
      <c r="B3" s="16" t="inlineStr">
        <is>
          <t>Structured tables for bracket lookups. Add new year rows when IRS publishes inflation adjustments.</t>
        </is>
      </c>
    </row>
    <row r="5" ht="15" customHeight="1" s="99" thickBot="1">
      <c r="B5" s="18" t="inlineStr">
        <is>
          <t>tblBrackets_FIT — Progressive Ordinary Income Brackets (2023–2028)</t>
        </is>
      </c>
    </row>
    <row r="6">
      <c r="B6" s="33" t="inlineStr">
        <is>
          <t>2027–2028 are projected (= 2026 values). Update when IRS publishes. 2025 std deduction updated per OBBBA.</t>
        </is>
      </c>
    </row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0" t="n">
        <v>2023</v>
      </c>
      <c r="C9" s="21" t="inlineStr">
        <is>
          <t>MFJ</t>
        </is>
      </c>
      <c r="D9" s="22" t="n">
        <v>0</v>
      </c>
      <c r="E9" s="22" t="n">
        <v>22000</v>
      </c>
      <c r="F9" s="23" t="n">
        <v>0.1</v>
      </c>
      <c r="G9" s="24" t="n">
        <v>0</v>
      </c>
    </row>
    <row r="10">
      <c r="B10" s="20" t="n">
        <v>2023</v>
      </c>
      <c r="C10" s="21" t="inlineStr">
        <is>
          <t>MFJ</t>
        </is>
      </c>
      <c r="D10" s="22" t="n">
        <v>22000</v>
      </c>
      <c r="E10" s="22" t="n">
        <v>89450</v>
      </c>
      <c r="F10" s="23" t="n">
        <v>0.12</v>
      </c>
      <c r="G10" s="24" t="n">
        <v>2200</v>
      </c>
    </row>
    <row r="11">
      <c r="B11" s="20" t="n">
        <v>2023</v>
      </c>
      <c r="C11" s="21" t="inlineStr">
        <is>
          <t>MFJ</t>
        </is>
      </c>
      <c r="D11" s="22" t="n">
        <v>89450</v>
      </c>
      <c r="E11" s="22" t="n">
        <v>190750</v>
      </c>
      <c r="F11" s="23" t="n">
        <v>0.22</v>
      </c>
      <c r="G11" s="24" t="n">
        <v>10294</v>
      </c>
    </row>
    <row r="12">
      <c r="B12" s="20" t="n">
        <v>2023</v>
      </c>
      <c r="C12" s="21" t="inlineStr">
        <is>
          <t>MFJ</t>
        </is>
      </c>
      <c r="D12" s="22" t="n">
        <v>190750</v>
      </c>
      <c r="E12" s="22" t="n">
        <v>364200</v>
      </c>
      <c r="F12" s="23" t="n">
        <v>0.24</v>
      </c>
      <c r="G12" s="24" t="n">
        <v>32580</v>
      </c>
    </row>
    <row r="13">
      <c r="B13" s="20" t="n">
        <v>2023</v>
      </c>
      <c r="C13" s="21" t="inlineStr">
        <is>
          <t>MFJ</t>
        </is>
      </c>
      <c r="D13" s="22" t="n">
        <v>364200</v>
      </c>
      <c r="E13" s="22" t="n">
        <v>462500</v>
      </c>
      <c r="F13" s="23" t="n">
        <v>0.32</v>
      </c>
      <c r="G13" s="24" t="n">
        <v>74208</v>
      </c>
    </row>
    <row r="14">
      <c r="B14" s="20" t="n">
        <v>2023</v>
      </c>
      <c r="C14" s="21" t="inlineStr">
        <is>
          <t>MFJ</t>
        </is>
      </c>
      <c r="D14" s="22" t="n">
        <v>462500</v>
      </c>
      <c r="E14" s="22" t="n">
        <v>693750</v>
      </c>
      <c r="F14" s="23" t="n">
        <v>0.35</v>
      </c>
      <c r="G14" s="24" t="n">
        <v>105664</v>
      </c>
    </row>
    <row r="15">
      <c r="B15" s="20" t="n">
        <v>2023</v>
      </c>
      <c r="C15" s="21" t="inlineStr">
        <is>
          <t>MFJ</t>
        </is>
      </c>
      <c r="D15" s="22" t="n">
        <v>693750</v>
      </c>
      <c r="E15" s="22" t="n">
        <v>9999999</v>
      </c>
      <c r="F15" s="23" t="n">
        <v>0.37</v>
      </c>
      <c r="G15" s="24" t="n">
        <v>186601.5</v>
      </c>
    </row>
    <row r="16">
      <c r="B16" s="20" t="n">
        <v>2023</v>
      </c>
      <c r="C16" s="21" t="inlineStr">
        <is>
          <t>Single</t>
        </is>
      </c>
      <c r="D16" s="22" t="n">
        <v>0</v>
      </c>
      <c r="E16" s="22" t="n">
        <v>11000</v>
      </c>
      <c r="F16" s="23" t="n">
        <v>0.1</v>
      </c>
      <c r="G16" s="24" t="n">
        <v>0</v>
      </c>
    </row>
    <row r="17">
      <c r="B17" s="20" t="n">
        <v>2023</v>
      </c>
      <c r="C17" s="21" t="inlineStr">
        <is>
          <t>Single</t>
        </is>
      </c>
      <c r="D17" s="22" t="n">
        <v>11000</v>
      </c>
      <c r="E17" s="22" t="n">
        <v>44725</v>
      </c>
      <c r="F17" s="23" t="n">
        <v>0.12</v>
      </c>
      <c r="G17" s="24" t="n">
        <v>1100</v>
      </c>
    </row>
    <row r="18">
      <c r="B18" s="20" t="n">
        <v>2023</v>
      </c>
      <c r="C18" s="21" t="inlineStr">
        <is>
          <t>Single</t>
        </is>
      </c>
      <c r="D18" s="22" t="n">
        <v>44725</v>
      </c>
      <c r="E18" s="22" t="n">
        <v>95375</v>
      </c>
      <c r="F18" s="23" t="n">
        <v>0.22</v>
      </c>
      <c r="G18" s="24" t="n">
        <v>5147</v>
      </c>
    </row>
    <row r="19">
      <c r="B19" s="20" t="n">
        <v>2023</v>
      </c>
      <c r="C19" s="21" t="inlineStr">
        <is>
          <t>Single</t>
        </is>
      </c>
      <c r="D19" s="22" t="n">
        <v>95375</v>
      </c>
      <c r="E19" s="22" t="n">
        <v>182100</v>
      </c>
      <c r="F19" s="23" t="n">
        <v>0.24</v>
      </c>
      <c r="G19" s="24" t="n">
        <v>16290</v>
      </c>
    </row>
    <row r="20">
      <c r="B20" s="20" t="n">
        <v>2023</v>
      </c>
      <c r="C20" s="21" t="inlineStr">
        <is>
          <t>Single</t>
        </is>
      </c>
      <c r="D20" s="22" t="n">
        <v>182100</v>
      </c>
      <c r="E20" s="22" t="n">
        <v>231250</v>
      </c>
      <c r="F20" s="23" t="n">
        <v>0.32</v>
      </c>
      <c r="G20" s="24" t="n">
        <v>37104</v>
      </c>
    </row>
    <row r="21">
      <c r="B21" s="20" t="n">
        <v>2023</v>
      </c>
      <c r="C21" s="21" t="inlineStr">
        <is>
          <t>Single</t>
        </is>
      </c>
      <c r="D21" s="22" t="n">
        <v>231250</v>
      </c>
      <c r="E21" s="22" t="n">
        <v>578125</v>
      </c>
      <c r="F21" s="23" t="n">
        <v>0.35</v>
      </c>
      <c r="G21" s="24" t="n">
        <v>52832</v>
      </c>
    </row>
    <row r="22">
      <c r="B22" s="20" t="n">
        <v>2023</v>
      </c>
      <c r="C22" s="21" t="inlineStr">
        <is>
          <t>Single</t>
        </is>
      </c>
      <c r="D22" s="22" t="n">
        <v>578125</v>
      </c>
      <c r="E22" s="22" t="n">
        <v>9999999</v>
      </c>
      <c r="F22" s="23" t="n">
        <v>0.37</v>
      </c>
      <c r="G22" s="24" t="n">
        <v>174238.25</v>
      </c>
    </row>
    <row r="23">
      <c r="B23" s="20" t="n">
        <v>2024</v>
      </c>
      <c r="C23" s="21" t="inlineStr">
        <is>
          <t>MFJ</t>
        </is>
      </c>
      <c r="D23" s="22" t="n">
        <v>0</v>
      </c>
      <c r="E23" s="22" t="n">
        <v>23200</v>
      </c>
      <c r="F23" s="23" t="n">
        <v>0.1</v>
      </c>
      <c r="G23" s="24" t="n">
        <v>0</v>
      </c>
    </row>
    <row r="24">
      <c r="B24" s="20" t="n">
        <v>2024</v>
      </c>
      <c r="C24" s="21" t="inlineStr">
        <is>
          <t>MFJ</t>
        </is>
      </c>
      <c r="D24" s="22" t="n">
        <v>23200</v>
      </c>
      <c r="E24" s="22" t="n">
        <v>94300</v>
      </c>
      <c r="F24" s="23" t="n">
        <v>0.12</v>
      </c>
      <c r="G24" s="24" t="n">
        <v>2320</v>
      </c>
    </row>
    <row r="25">
      <c r="B25" s="20" t="n">
        <v>2024</v>
      </c>
      <c r="C25" s="21" t="inlineStr">
        <is>
          <t>MFJ</t>
        </is>
      </c>
      <c r="D25" s="22" t="n">
        <v>94300</v>
      </c>
      <c r="E25" s="22" t="n">
        <v>201050</v>
      </c>
      <c r="F25" s="23" t="n">
        <v>0.22</v>
      </c>
      <c r="G25" s="24" t="n">
        <v>10852</v>
      </c>
    </row>
    <row r="26">
      <c r="B26" s="20" t="n">
        <v>2024</v>
      </c>
      <c r="C26" s="21" t="inlineStr">
        <is>
          <t>MFJ</t>
        </is>
      </c>
      <c r="D26" s="22" t="n">
        <v>201050</v>
      </c>
      <c r="E26" s="22" t="n">
        <v>383900</v>
      </c>
      <c r="F26" s="23" t="n">
        <v>0.24</v>
      </c>
      <c r="G26" s="24" t="n">
        <v>34337</v>
      </c>
    </row>
    <row r="27">
      <c r="B27" s="20" t="n">
        <v>2024</v>
      </c>
      <c r="C27" s="21" t="inlineStr">
        <is>
          <t>MFJ</t>
        </is>
      </c>
      <c r="D27" s="22" t="n">
        <v>383900</v>
      </c>
      <c r="E27" s="22" t="n">
        <v>487450</v>
      </c>
      <c r="F27" s="23" t="n">
        <v>0.32</v>
      </c>
      <c r="G27" s="24" t="n">
        <v>78221</v>
      </c>
    </row>
    <row r="28">
      <c r="B28" s="20" t="n">
        <v>2024</v>
      </c>
      <c r="C28" s="21" t="inlineStr">
        <is>
          <t>MFJ</t>
        </is>
      </c>
      <c r="D28" s="22" t="n">
        <v>487450</v>
      </c>
      <c r="E28" s="22" t="n">
        <v>731200</v>
      </c>
      <c r="F28" s="23" t="n">
        <v>0.35</v>
      </c>
      <c r="G28" s="24" t="n">
        <v>111357</v>
      </c>
    </row>
    <row r="29">
      <c r="B29" s="20" t="n">
        <v>2024</v>
      </c>
      <c r="C29" s="21" t="inlineStr">
        <is>
          <t>MFJ</t>
        </is>
      </c>
      <c r="D29" s="22" t="n">
        <v>731200</v>
      </c>
      <c r="E29" s="22" t="n">
        <v>9999999</v>
      </c>
      <c r="F29" s="23" t="n">
        <v>0.37</v>
      </c>
      <c r="G29" s="24" t="n">
        <v>196669.5</v>
      </c>
    </row>
    <row r="30">
      <c r="B30" s="20" t="n">
        <v>2024</v>
      </c>
      <c r="C30" s="21" t="inlineStr">
        <is>
          <t>Single</t>
        </is>
      </c>
      <c r="D30" s="22" t="n">
        <v>0</v>
      </c>
      <c r="E30" s="22" t="n">
        <v>11600</v>
      </c>
      <c r="F30" s="23" t="n">
        <v>0.1</v>
      </c>
      <c r="G30" s="24" t="n">
        <v>0</v>
      </c>
    </row>
    <row r="31">
      <c r="B31" s="20" t="n">
        <v>2024</v>
      </c>
      <c r="C31" s="21" t="inlineStr">
        <is>
          <t>Single</t>
        </is>
      </c>
      <c r="D31" s="22" t="n">
        <v>11600</v>
      </c>
      <c r="E31" s="22" t="n">
        <v>47150</v>
      </c>
      <c r="F31" s="23" t="n">
        <v>0.12</v>
      </c>
      <c r="G31" s="24" t="n">
        <v>1160</v>
      </c>
    </row>
    <row r="32">
      <c r="B32" s="20" t="n">
        <v>2024</v>
      </c>
      <c r="C32" s="21" t="inlineStr">
        <is>
          <t>Single</t>
        </is>
      </c>
      <c r="D32" s="22" t="n">
        <v>47150</v>
      </c>
      <c r="E32" s="22" t="n">
        <v>100525</v>
      </c>
      <c r="F32" s="23" t="n">
        <v>0.22</v>
      </c>
      <c r="G32" s="24" t="n">
        <v>5426</v>
      </c>
    </row>
    <row r="33">
      <c r="B33" s="20" t="n">
        <v>2024</v>
      </c>
      <c r="C33" s="21" t="inlineStr">
        <is>
          <t>Single</t>
        </is>
      </c>
      <c r="D33" s="22" t="n">
        <v>100525</v>
      </c>
      <c r="E33" s="22" t="n">
        <v>191950</v>
      </c>
      <c r="F33" s="23" t="n">
        <v>0.24</v>
      </c>
      <c r="G33" s="24" t="n">
        <v>17168.5</v>
      </c>
    </row>
    <row r="34">
      <c r="B34" s="20" t="n">
        <v>2024</v>
      </c>
      <c r="C34" s="21" t="inlineStr">
        <is>
          <t>Single</t>
        </is>
      </c>
      <c r="D34" s="22" t="n">
        <v>191950</v>
      </c>
      <c r="E34" s="22" t="n">
        <v>243725</v>
      </c>
      <c r="F34" s="23" t="n">
        <v>0.32</v>
      </c>
      <c r="G34" s="24" t="n">
        <v>39110.5</v>
      </c>
    </row>
    <row r="35">
      <c r="B35" s="20" t="n">
        <v>2024</v>
      </c>
      <c r="C35" s="21" t="inlineStr">
        <is>
          <t>Single</t>
        </is>
      </c>
      <c r="D35" s="22" t="n">
        <v>243725</v>
      </c>
      <c r="E35" s="22" t="n">
        <v>609350</v>
      </c>
      <c r="F35" s="23" t="n">
        <v>0.35</v>
      </c>
      <c r="G35" s="24" t="n">
        <v>55678.5</v>
      </c>
    </row>
    <row r="36">
      <c r="B36" s="20" t="n">
        <v>2024</v>
      </c>
      <c r="C36" s="21" t="inlineStr">
        <is>
          <t>Single</t>
        </is>
      </c>
      <c r="D36" s="22" t="n">
        <v>609350</v>
      </c>
      <c r="E36" s="22" t="n">
        <v>9999999</v>
      </c>
      <c r="F36" s="23" t="n">
        <v>0.37</v>
      </c>
      <c r="G36" s="24" t="n">
        <v>183647.25</v>
      </c>
    </row>
    <row r="37">
      <c r="B37" s="20" t="n">
        <v>2025</v>
      </c>
      <c r="C37" s="21" t="inlineStr">
        <is>
          <t>MFJ</t>
        </is>
      </c>
      <c r="D37" s="22" t="n">
        <v>0</v>
      </c>
      <c r="E37" s="22" t="n">
        <v>23850</v>
      </c>
      <c r="F37" s="23" t="n">
        <v>0.1</v>
      </c>
      <c r="G37" s="24" t="n">
        <v>0</v>
      </c>
    </row>
    <row r="38" ht="15" customHeight="1" s="99" thickBot="1">
      <c r="B38" s="34" t="n">
        <v>2025</v>
      </c>
      <c r="C38" s="21" t="inlineStr">
        <is>
          <t>MFJ</t>
        </is>
      </c>
      <c r="D38" s="22" t="n">
        <v>23850</v>
      </c>
      <c r="E38" s="22" t="n">
        <v>96950</v>
      </c>
      <c r="F38" s="23" t="n">
        <v>0.12</v>
      </c>
      <c r="G38" s="24" t="n">
        <v>2385</v>
      </c>
    </row>
    <row r="39">
      <c r="B39" s="20" t="n">
        <v>2025</v>
      </c>
      <c r="C39" s="21" t="inlineStr">
        <is>
          <t>MFJ</t>
        </is>
      </c>
      <c r="D39" s="22" t="n">
        <v>96950</v>
      </c>
      <c r="E39" s="22" t="n">
        <v>206700</v>
      </c>
      <c r="F39" s="23" t="n">
        <v>0.22</v>
      </c>
      <c r="G39" s="24" t="n">
        <v>11157</v>
      </c>
    </row>
    <row r="40">
      <c r="B40" s="20" t="n">
        <v>2025</v>
      </c>
      <c r="C40" s="21" t="inlineStr">
        <is>
          <t>MFJ</t>
        </is>
      </c>
      <c r="D40" s="22" t="n">
        <v>206700</v>
      </c>
      <c r="E40" s="22" t="n">
        <v>394600</v>
      </c>
      <c r="F40" s="23" t="n">
        <v>0.24</v>
      </c>
      <c r="G40" s="24" t="n">
        <v>35302</v>
      </c>
    </row>
    <row r="41">
      <c r="B41" s="20" t="n">
        <v>2025</v>
      </c>
      <c r="C41" s="21" t="inlineStr">
        <is>
          <t>MFJ</t>
        </is>
      </c>
      <c r="D41" s="22" t="n">
        <v>394600</v>
      </c>
      <c r="E41" s="22" t="n">
        <v>501050</v>
      </c>
      <c r="F41" s="23" t="n">
        <v>0.32</v>
      </c>
      <c r="G41" s="24" t="n">
        <v>80398</v>
      </c>
    </row>
    <row r="42">
      <c r="B42" s="20" t="n">
        <v>2025</v>
      </c>
      <c r="C42" s="21" t="inlineStr">
        <is>
          <t>MFJ</t>
        </is>
      </c>
      <c r="D42" s="22" t="n">
        <v>501050</v>
      </c>
      <c r="E42" s="22" t="n">
        <v>751600</v>
      </c>
      <c r="F42" s="23" t="n">
        <v>0.35</v>
      </c>
      <c r="G42" s="24" t="n">
        <v>114462</v>
      </c>
    </row>
    <row r="43">
      <c r="B43" s="20" t="n">
        <v>2025</v>
      </c>
      <c r="C43" s="21" t="inlineStr">
        <is>
          <t>MFJ</t>
        </is>
      </c>
      <c r="D43" s="22" t="n">
        <v>751600</v>
      </c>
      <c r="E43" s="22" t="n">
        <v>9999999</v>
      </c>
      <c r="F43" s="23" t="n">
        <v>0.37</v>
      </c>
      <c r="G43" s="24" t="n">
        <v>202154.5</v>
      </c>
    </row>
    <row r="44">
      <c r="B44" s="20" t="n">
        <v>2025</v>
      </c>
      <c r="C44" s="21" t="inlineStr">
        <is>
          <t>Single</t>
        </is>
      </c>
      <c r="D44" s="22" t="n">
        <v>0</v>
      </c>
      <c r="E44" s="22" t="n">
        <v>11925</v>
      </c>
      <c r="F44" s="23" t="n">
        <v>0.1</v>
      </c>
      <c r="G44" s="24" t="n">
        <v>0</v>
      </c>
    </row>
    <row r="45">
      <c r="B45" s="20" t="n">
        <v>2025</v>
      </c>
      <c r="C45" s="21" t="inlineStr">
        <is>
          <t>Single</t>
        </is>
      </c>
      <c r="D45" s="22" t="n">
        <v>11925</v>
      </c>
      <c r="E45" s="22" t="n">
        <v>48475</v>
      </c>
      <c r="F45" s="23" t="n">
        <v>0.12</v>
      </c>
      <c r="G45" s="24" t="n">
        <v>1192.5</v>
      </c>
    </row>
    <row r="46">
      <c r="B46" s="20" t="n">
        <v>2025</v>
      </c>
      <c r="C46" s="21" t="inlineStr">
        <is>
          <t>Single</t>
        </is>
      </c>
      <c r="D46" s="22" t="n">
        <v>48475</v>
      </c>
      <c r="E46" s="22" t="n">
        <v>103350</v>
      </c>
      <c r="F46" s="23" t="n">
        <v>0.22</v>
      </c>
      <c r="G46" s="24" t="n">
        <v>5578.5</v>
      </c>
    </row>
    <row r="47">
      <c r="B47" s="20" t="n">
        <v>2025</v>
      </c>
      <c r="C47" s="21" t="inlineStr">
        <is>
          <t>Single</t>
        </is>
      </c>
      <c r="D47" s="22" t="n">
        <v>103350</v>
      </c>
      <c r="E47" s="22" t="n">
        <v>197300</v>
      </c>
      <c r="F47" s="23" t="n">
        <v>0.24</v>
      </c>
      <c r="G47" s="24" t="n">
        <v>17651</v>
      </c>
    </row>
    <row r="48">
      <c r="B48" s="20" t="n">
        <v>2025</v>
      </c>
      <c r="C48" s="21" t="inlineStr">
        <is>
          <t>Single</t>
        </is>
      </c>
      <c r="D48" s="22" t="n">
        <v>197300</v>
      </c>
      <c r="E48" s="22" t="n">
        <v>250525</v>
      </c>
      <c r="F48" s="23" t="n">
        <v>0.32</v>
      </c>
      <c r="G48" s="24" t="n">
        <v>40199</v>
      </c>
    </row>
    <row r="49">
      <c r="B49" s="20" t="n">
        <v>2025</v>
      </c>
      <c r="C49" s="21" t="inlineStr">
        <is>
          <t>Single</t>
        </is>
      </c>
      <c r="D49" s="22" t="n">
        <v>250525</v>
      </c>
      <c r="E49" s="22" t="n">
        <v>626350</v>
      </c>
      <c r="F49" s="23" t="n">
        <v>0.35</v>
      </c>
      <c r="G49" s="24" t="n">
        <v>57231</v>
      </c>
    </row>
    <row r="50">
      <c r="B50" s="20" t="n">
        <v>2025</v>
      </c>
      <c r="C50" s="21" t="inlineStr">
        <is>
          <t>Single</t>
        </is>
      </c>
      <c r="D50" s="22" t="n">
        <v>626350</v>
      </c>
      <c r="E50" s="22" t="n">
        <v>9999999</v>
      </c>
      <c r="F50" s="23" t="n">
        <v>0.37</v>
      </c>
      <c r="G50" s="24" t="n">
        <v>188769.75</v>
      </c>
    </row>
    <row r="51">
      <c r="B51" s="20" t="n">
        <v>2026</v>
      </c>
      <c r="C51" s="21" t="inlineStr">
        <is>
          <t>MFJ</t>
        </is>
      </c>
      <c r="D51" s="22" t="n">
        <v>0</v>
      </c>
      <c r="E51" s="22" t="n">
        <v>23850</v>
      </c>
      <c r="F51" s="23" t="n">
        <v>0.1</v>
      </c>
      <c r="G51" s="24" t="n">
        <v>0</v>
      </c>
    </row>
    <row r="52">
      <c r="B52" s="20" t="n">
        <v>2026</v>
      </c>
      <c r="C52" s="21" t="inlineStr">
        <is>
          <t>MFJ</t>
        </is>
      </c>
      <c r="D52" s="22" t="n">
        <v>23850</v>
      </c>
      <c r="E52" s="22" t="n">
        <v>96950</v>
      </c>
      <c r="F52" s="23" t="n">
        <v>0.12</v>
      </c>
      <c r="G52" s="24" t="n">
        <v>2385</v>
      </c>
    </row>
    <row r="53">
      <c r="B53" s="20" t="n">
        <v>2026</v>
      </c>
      <c r="C53" s="21" t="inlineStr">
        <is>
          <t>MFJ</t>
        </is>
      </c>
      <c r="D53" s="22" t="n">
        <v>96950</v>
      </c>
      <c r="E53" s="22" t="n">
        <v>206700</v>
      </c>
      <c r="F53" s="23" t="n">
        <v>0.22</v>
      </c>
      <c r="G53" s="24" t="n">
        <v>11157</v>
      </c>
    </row>
    <row r="54">
      <c r="B54" s="20" t="n">
        <v>2026</v>
      </c>
      <c r="C54" s="21" t="inlineStr">
        <is>
          <t>MFJ</t>
        </is>
      </c>
      <c r="D54" s="22" t="n">
        <v>206700</v>
      </c>
      <c r="E54" s="22" t="n">
        <v>394600</v>
      </c>
      <c r="F54" s="23" t="n">
        <v>0.24</v>
      </c>
      <c r="G54" s="24" t="n">
        <v>35302</v>
      </c>
    </row>
    <row r="55">
      <c r="B55" s="20" t="n">
        <v>2026</v>
      </c>
      <c r="C55" s="21" t="inlineStr">
        <is>
          <t>MFJ</t>
        </is>
      </c>
      <c r="D55" s="22" t="n">
        <v>394600</v>
      </c>
      <c r="E55" s="22" t="n">
        <v>501050</v>
      </c>
      <c r="F55" s="23" t="n">
        <v>0.32</v>
      </c>
      <c r="G55" s="24" t="n">
        <v>80398</v>
      </c>
    </row>
    <row r="56">
      <c r="B56" s="20" t="n">
        <v>2026</v>
      </c>
      <c r="C56" s="21" t="inlineStr">
        <is>
          <t>MFJ</t>
        </is>
      </c>
      <c r="D56" s="22" t="n">
        <v>501050</v>
      </c>
      <c r="E56" s="22" t="n">
        <v>751600</v>
      </c>
      <c r="F56" s="23" t="n">
        <v>0.35</v>
      </c>
      <c r="G56" s="24" t="n">
        <v>114462</v>
      </c>
    </row>
    <row r="57">
      <c r="B57" s="20" t="n">
        <v>2026</v>
      </c>
      <c r="C57" s="21" t="inlineStr">
        <is>
          <t>MFJ</t>
        </is>
      </c>
      <c r="D57" s="22" t="n">
        <v>751600</v>
      </c>
      <c r="E57" s="22" t="n">
        <v>9999999</v>
      </c>
      <c r="F57" s="23" t="n">
        <v>0.37</v>
      </c>
      <c r="G57" s="24" t="n">
        <v>202154.5</v>
      </c>
    </row>
    <row r="58">
      <c r="B58" s="20" t="n">
        <v>2026</v>
      </c>
      <c r="C58" s="21" t="inlineStr">
        <is>
          <t>Single</t>
        </is>
      </c>
      <c r="D58" s="22" t="n">
        <v>0</v>
      </c>
      <c r="E58" s="22" t="n">
        <v>11925</v>
      </c>
      <c r="F58" s="23" t="n">
        <v>0.1</v>
      </c>
      <c r="G58" s="24" t="n">
        <v>0</v>
      </c>
    </row>
    <row r="59">
      <c r="B59" s="20" t="n">
        <v>2026</v>
      </c>
      <c r="C59" s="21" t="inlineStr">
        <is>
          <t>Single</t>
        </is>
      </c>
      <c r="D59" s="22" t="n">
        <v>11925</v>
      </c>
      <c r="E59" s="22" t="n">
        <v>48475</v>
      </c>
      <c r="F59" s="23" t="n">
        <v>0.12</v>
      </c>
      <c r="G59" s="24" t="n">
        <v>1192.5</v>
      </c>
    </row>
    <row r="60">
      <c r="B60" s="20" t="n">
        <v>2026</v>
      </c>
      <c r="C60" s="21" t="inlineStr">
        <is>
          <t>Single</t>
        </is>
      </c>
      <c r="D60" s="22" t="n">
        <v>48475</v>
      </c>
      <c r="E60" s="22" t="n">
        <v>103350</v>
      </c>
      <c r="F60" s="23" t="n">
        <v>0.22</v>
      </c>
      <c r="G60" s="24" t="n">
        <v>5578.5</v>
      </c>
    </row>
    <row r="61">
      <c r="B61" s="20" t="n">
        <v>2026</v>
      </c>
      <c r="C61" s="21" t="inlineStr">
        <is>
          <t>Single</t>
        </is>
      </c>
      <c r="D61" s="22" t="n">
        <v>103350</v>
      </c>
      <c r="E61" s="22" t="n">
        <v>197300</v>
      </c>
      <c r="F61" s="23" t="n">
        <v>0.24</v>
      </c>
      <c r="G61" s="24" t="n">
        <v>17651</v>
      </c>
    </row>
    <row r="62">
      <c r="B62" s="20" t="n">
        <v>2026</v>
      </c>
      <c r="C62" s="21" t="inlineStr">
        <is>
          <t>Single</t>
        </is>
      </c>
      <c r="D62" s="22" t="n">
        <v>197300</v>
      </c>
      <c r="E62" s="22" t="n">
        <v>250525</v>
      </c>
      <c r="F62" s="23" t="n">
        <v>0.32</v>
      </c>
      <c r="G62" s="24" t="n">
        <v>40199</v>
      </c>
    </row>
    <row r="63">
      <c r="B63" s="20" t="n">
        <v>2026</v>
      </c>
      <c r="C63" s="21" t="inlineStr">
        <is>
          <t>Single</t>
        </is>
      </c>
      <c r="D63" s="22" t="n">
        <v>250525</v>
      </c>
      <c r="E63" s="22" t="n">
        <v>626350</v>
      </c>
      <c r="F63" s="23" t="n">
        <v>0.35</v>
      </c>
      <c r="G63" s="24" t="n">
        <v>57231</v>
      </c>
    </row>
    <row r="64">
      <c r="B64" s="20" t="n">
        <v>2026</v>
      </c>
      <c r="C64" s="21" t="inlineStr">
        <is>
          <t>Single</t>
        </is>
      </c>
      <c r="D64" s="22" t="n">
        <v>626350</v>
      </c>
      <c r="E64" s="22" t="n">
        <v>9999999</v>
      </c>
      <c r="F64" s="23" t="n">
        <v>0.37</v>
      </c>
      <c r="G64" s="24" t="n">
        <v>188769.75</v>
      </c>
    </row>
    <row r="65">
      <c r="B65" s="20" t="n">
        <v>2027</v>
      </c>
      <c r="C65" s="21" t="inlineStr">
        <is>
          <t>MFJ</t>
        </is>
      </c>
      <c r="D65" s="22" t="n">
        <v>0</v>
      </c>
      <c r="E65" s="22" t="n">
        <v>23850</v>
      </c>
      <c r="F65" s="23" t="n">
        <v>0.1</v>
      </c>
      <c r="G65" s="24" t="n">
        <v>0</v>
      </c>
    </row>
    <row r="66">
      <c r="B66" s="20" t="n">
        <v>2027</v>
      </c>
      <c r="C66" s="21" t="inlineStr">
        <is>
          <t>MFJ</t>
        </is>
      </c>
      <c r="D66" s="22" t="n">
        <v>23850</v>
      </c>
      <c r="E66" s="22" t="n">
        <v>96950</v>
      </c>
      <c r="F66" s="23" t="n">
        <v>0.12</v>
      </c>
      <c r="G66" s="24" t="n">
        <v>2385</v>
      </c>
    </row>
    <row r="67">
      <c r="B67" s="20" t="n">
        <v>2027</v>
      </c>
      <c r="C67" s="21" t="inlineStr">
        <is>
          <t>MFJ</t>
        </is>
      </c>
      <c r="D67" s="22" t="n">
        <v>96950</v>
      </c>
      <c r="E67" s="22" t="n">
        <v>206700</v>
      </c>
      <c r="F67" s="23" t="n">
        <v>0.22</v>
      </c>
      <c r="G67" s="24" t="n">
        <v>11157</v>
      </c>
    </row>
    <row r="68">
      <c r="B68" s="20" t="n">
        <v>2027</v>
      </c>
      <c r="C68" s="21" t="inlineStr">
        <is>
          <t>MFJ</t>
        </is>
      </c>
      <c r="D68" s="22" t="n">
        <v>206700</v>
      </c>
      <c r="E68" s="22" t="n">
        <v>394600</v>
      </c>
      <c r="F68" s="23" t="n">
        <v>0.24</v>
      </c>
      <c r="G68" s="24" t="n">
        <v>35302</v>
      </c>
    </row>
    <row r="69">
      <c r="B69" s="20" t="n">
        <v>2027</v>
      </c>
      <c r="C69" s="21" t="inlineStr">
        <is>
          <t>MFJ</t>
        </is>
      </c>
      <c r="D69" s="22" t="n">
        <v>394600</v>
      </c>
      <c r="E69" s="22" t="n">
        <v>501050</v>
      </c>
      <c r="F69" s="23" t="n">
        <v>0.32</v>
      </c>
      <c r="G69" s="24" t="n">
        <v>80398</v>
      </c>
    </row>
    <row r="70">
      <c r="B70" s="20" t="n">
        <v>2027</v>
      </c>
      <c r="C70" s="21" t="inlineStr">
        <is>
          <t>MFJ</t>
        </is>
      </c>
      <c r="D70" s="22" t="n">
        <v>501050</v>
      </c>
      <c r="E70" s="22" t="n">
        <v>751600</v>
      </c>
      <c r="F70" s="23" t="n">
        <v>0.35</v>
      </c>
      <c r="G70" s="24" t="n">
        <v>114462</v>
      </c>
    </row>
    <row r="71">
      <c r="B71" s="20" t="n">
        <v>2027</v>
      </c>
      <c r="C71" s="21" t="inlineStr">
        <is>
          <t>MFJ</t>
        </is>
      </c>
      <c r="D71" s="22" t="n">
        <v>751600</v>
      </c>
      <c r="E71" s="22" t="n">
        <v>9999999</v>
      </c>
      <c r="F71" s="23" t="n">
        <v>0.37</v>
      </c>
      <c r="G71" s="24" t="n">
        <v>202154.5</v>
      </c>
    </row>
    <row r="72">
      <c r="B72" s="20" t="n">
        <v>2027</v>
      </c>
      <c r="C72" s="21" t="inlineStr">
        <is>
          <t>Single</t>
        </is>
      </c>
      <c r="D72" s="22" t="n">
        <v>0</v>
      </c>
      <c r="E72" s="22" t="n">
        <v>11925</v>
      </c>
      <c r="F72" s="23" t="n">
        <v>0.1</v>
      </c>
      <c r="G72" s="24" t="n">
        <v>0</v>
      </c>
    </row>
    <row r="73">
      <c r="B73" s="20" t="n">
        <v>2027</v>
      </c>
      <c r="C73" s="21" t="inlineStr">
        <is>
          <t>Single</t>
        </is>
      </c>
      <c r="D73" s="22" t="n">
        <v>11925</v>
      </c>
      <c r="E73" s="22" t="n">
        <v>48475</v>
      </c>
      <c r="F73" s="23" t="n">
        <v>0.12</v>
      </c>
      <c r="G73" s="24" t="n">
        <v>1192.5</v>
      </c>
    </row>
    <row r="74">
      <c r="B74" s="20" t="n">
        <v>2027</v>
      </c>
      <c r="C74" s="21" t="inlineStr">
        <is>
          <t>Single</t>
        </is>
      </c>
      <c r="D74" s="22" t="n">
        <v>48475</v>
      </c>
      <c r="E74" s="22" t="n">
        <v>103350</v>
      </c>
      <c r="F74" s="23" t="n">
        <v>0.22</v>
      </c>
      <c r="G74" s="24" t="n">
        <v>5578.5</v>
      </c>
    </row>
    <row r="75">
      <c r="B75" s="20" t="n">
        <v>2027</v>
      </c>
      <c r="C75" s="21" t="inlineStr">
        <is>
          <t>Single</t>
        </is>
      </c>
      <c r="D75" s="22" t="n">
        <v>103350</v>
      </c>
      <c r="E75" s="22" t="n">
        <v>197300</v>
      </c>
      <c r="F75" s="23" t="n">
        <v>0.24</v>
      </c>
      <c r="G75" s="24" t="n">
        <v>17651</v>
      </c>
    </row>
    <row r="76">
      <c r="B76" s="20" t="n">
        <v>2027</v>
      </c>
      <c r="C76" s="21" t="inlineStr">
        <is>
          <t>Single</t>
        </is>
      </c>
      <c r="D76" s="22" t="n">
        <v>197300</v>
      </c>
      <c r="E76" s="22" t="n">
        <v>250525</v>
      </c>
      <c r="F76" s="23" t="n">
        <v>0.32</v>
      </c>
      <c r="G76" s="24" t="n">
        <v>40199</v>
      </c>
    </row>
    <row r="77">
      <c r="B77" s="20" t="n">
        <v>2027</v>
      </c>
      <c r="C77" s="21" t="inlineStr">
        <is>
          <t>Single</t>
        </is>
      </c>
      <c r="D77" s="22" t="n">
        <v>250525</v>
      </c>
      <c r="E77" s="22" t="n">
        <v>626350</v>
      </c>
      <c r="F77" s="23" t="n">
        <v>0.35</v>
      </c>
      <c r="G77" s="24" t="n">
        <v>57231</v>
      </c>
    </row>
    <row r="78">
      <c r="B78" s="20" t="n">
        <v>2027</v>
      </c>
      <c r="C78" s="21" t="inlineStr">
        <is>
          <t>Single</t>
        </is>
      </c>
      <c r="D78" s="22" t="n">
        <v>626350</v>
      </c>
      <c r="E78" s="22" t="n">
        <v>9999999</v>
      </c>
      <c r="F78" s="23" t="n">
        <v>0.37</v>
      </c>
      <c r="G78" s="24" t="n">
        <v>188769.75</v>
      </c>
    </row>
    <row r="79">
      <c r="B79" s="20" t="n">
        <v>2028</v>
      </c>
      <c r="C79" s="21" t="inlineStr">
        <is>
          <t>MFJ</t>
        </is>
      </c>
      <c r="D79" s="22" t="n">
        <v>0</v>
      </c>
      <c r="E79" s="22" t="n">
        <v>23850</v>
      </c>
      <c r="F79" s="23" t="n">
        <v>0.1</v>
      </c>
      <c r="G79" s="24" t="n">
        <v>0</v>
      </c>
    </row>
    <row r="80">
      <c r="B80" s="20" t="n">
        <v>2028</v>
      </c>
      <c r="C80" s="21" t="inlineStr">
        <is>
          <t>MFJ</t>
        </is>
      </c>
      <c r="D80" s="22" t="n">
        <v>23850</v>
      </c>
      <c r="E80" s="22" t="n">
        <v>96950</v>
      </c>
      <c r="F80" s="23" t="n">
        <v>0.12</v>
      </c>
      <c r="G80" s="24" t="n">
        <v>2385</v>
      </c>
    </row>
    <row r="81">
      <c r="B81" s="20" t="n">
        <v>2028</v>
      </c>
      <c r="C81" s="21" t="inlineStr">
        <is>
          <t>MFJ</t>
        </is>
      </c>
      <c r="D81" s="22" t="n">
        <v>96950</v>
      </c>
      <c r="E81" s="22" t="n">
        <v>206700</v>
      </c>
      <c r="F81" s="23" t="n">
        <v>0.22</v>
      </c>
      <c r="G81" s="24" t="n">
        <v>11157</v>
      </c>
    </row>
    <row r="82">
      <c r="B82" s="20" t="n">
        <v>2028</v>
      </c>
      <c r="C82" s="21" t="inlineStr">
        <is>
          <t>MFJ</t>
        </is>
      </c>
      <c r="D82" s="22" t="n">
        <v>206700</v>
      </c>
      <c r="E82" s="22" t="n">
        <v>394600</v>
      </c>
      <c r="F82" s="23" t="n">
        <v>0.24</v>
      </c>
      <c r="G82" s="24" t="n">
        <v>35302</v>
      </c>
    </row>
    <row r="83">
      <c r="B83" s="20" t="n">
        <v>2028</v>
      </c>
      <c r="C83" s="21" t="inlineStr">
        <is>
          <t>MFJ</t>
        </is>
      </c>
      <c r="D83" s="22" t="n">
        <v>394600</v>
      </c>
      <c r="E83" s="22" t="n">
        <v>501050</v>
      </c>
      <c r="F83" s="23" t="n">
        <v>0.32</v>
      </c>
      <c r="G83" s="24" t="n">
        <v>80398</v>
      </c>
    </row>
    <row r="84">
      <c r="B84" s="20" t="n">
        <v>2028</v>
      </c>
      <c r="C84" s="21" t="inlineStr">
        <is>
          <t>MFJ</t>
        </is>
      </c>
      <c r="D84" s="22" t="n">
        <v>501050</v>
      </c>
      <c r="E84" s="22" t="n">
        <v>751600</v>
      </c>
      <c r="F84" s="23" t="n">
        <v>0.35</v>
      </c>
      <c r="G84" s="24" t="n">
        <v>114462</v>
      </c>
    </row>
    <row r="85">
      <c r="B85" s="20" t="n">
        <v>2028</v>
      </c>
      <c r="C85" s="21" t="inlineStr">
        <is>
          <t>MFJ</t>
        </is>
      </c>
      <c r="D85" s="22" t="n">
        <v>751600</v>
      </c>
      <c r="E85" s="22" t="n">
        <v>9999999</v>
      </c>
      <c r="F85" s="23" t="n">
        <v>0.37</v>
      </c>
      <c r="G85" s="24" t="n">
        <v>202154.5</v>
      </c>
    </row>
    <row r="86">
      <c r="B86" s="20" t="n">
        <v>2028</v>
      </c>
      <c r="C86" s="21" t="inlineStr">
        <is>
          <t>Single</t>
        </is>
      </c>
      <c r="D86" s="22" t="n">
        <v>0</v>
      </c>
      <c r="E86" s="22" t="n">
        <v>11925</v>
      </c>
      <c r="F86" s="23" t="n">
        <v>0.1</v>
      </c>
      <c r="G86" s="24" t="n">
        <v>0</v>
      </c>
    </row>
    <row r="87">
      <c r="B87" s="20" t="n">
        <v>2028</v>
      </c>
      <c r="C87" s="21" t="inlineStr">
        <is>
          <t>Single</t>
        </is>
      </c>
      <c r="D87" s="22" t="n">
        <v>11925</v>
      </c>
      <c r="E87" s="22" t="n">
        <v>48475</v>
      </c>
      <c r="F87" s="23" t="n">
        <v>0.12</v>
      </c>
      <c r="G87" s="24" t="n">
        <v>1192.5</v>
      </c>
    </row>
    <row r="88">
      <c r="B88" s="20" t="n">
        <v>2028</v>
      </c>
      <c r="C88" s="21" t="inlineStr">
        <is>
          <t>Single</t>
        </is>
      </c>
      <c r="D88" s="22" t="n">
        <v>48475</v>
      </c>
      <c r="E88" s="22" t="n">
        <v>103350</v>
      </c>
      <c r="F88" s="23" t="n">
        <v>0.22</v>
      </c>
      <c r="G88" s="24" t="n">
        <v>5578.5</v>
      </c>
    </row>
    <row r="89">
      <c r="B89" s="20" t="n">
        <v>2028</v>
      </c>
      <c r="C89" s="21" t="inlineStr">
        <is>
          <t>Single</t>
        </is>
      </c>
      <c r="D89" s="22" t="n">
        <v>103350</v>
      </c>
      <c r="E89" s="22" t="n">
        <v>197300</v>
      </c>
      <c r="F89" s="23" t="n">
        <v>0.24</v>
      </c>
      <c r="G89" s="24" t="n">
        <v>17651</v>
      </c>
    </row>
    <row r="90">
      <c r="B90" s="20" t="n">
        <v>2028</v>
      </c>
      <c r="C90" s="21" t="inlineStr">
        <is>
          <t>Single</t>
        </is>
      </c>
      <c r="D90" s="22" t="n">
        <v>197300</v>
      </c>
      <c r="E90" s="22" t="n">
        <v>250525</v>
      </c>
      <c r="F90" s="23" t="n">
        <v>0.32</v>
      </c>
      <c r="G90" s="24" t="n">
        <v>40199</v>
      </c>
    </row>
    <row r="91">
      <c r="B91" s="20" t="n">
        <v>2028</v>
      </c>
      <c r="C91" s="21" t="inlineStr">
        <is>
          <t>Single</t>
        </is>
      </c>
      <c r="D91" s="22" t="n">
        <v>250525</v>
      </c>
      <c r="E91" s="22" t="n">
        <v>626350</v>
      </c>
      <c r="F91" s="23" t="n">
        <v>0.35</v>
      </c>
      <c r="G91" s="24" t="n">
        <v>57231</v>
      </c>
    </row>
    <row r="92">
      <c r="B92" s="20" t="n">
        <v>2028</v>
      </c>
      <c r="C92" s="21" t="inlineStr">
        <is>
          <t>Single</t>
        </is>
      </c>
      <c r="D92" s="22" t="n">
        <v>626350</v>
      </c>
      <c r="E92" s="22" t="n">
        <v>9999999</v>
      </c>
      <c r="F92" s="23" t="n">
        <v>0.37</v>
      </c>
      <c r="G92" s="24" t="n">
        <v>188769.75</v>
      </c>
    </row>
    <row r="93">
      <c r="B93" s="20" t="n">
        <v>2023</v>
      </c>
      <c r="C93" s="21" t="inlineStr">
        <is>
          <t>HOH</t>
        </is>
      </c>
      <c r="D93" s="22" t="n">
        <v>0</v>
      </c>
      <c r="E93" s="22" t="n">
        <v>17000</v>
      </c>
      <c r="F93" s="23" t="n">
        <v>0.1</v>
      </c>
      <c r="G93" s="24" t="n">
        <v>0</v>
      </c>
    </row>
    <row r="94">
      <c r="B94" s="20" t="n">
        <v>2023</v>
      </c>
      <c r="C94" s="21" t="inlineStr">
        <is>
          <t>HOH</t>
        </is>
      </c>
      <c r="D94" s="22" t="n">
        <v>17000</v>
      </c>
      <c r="E94" s="22" t="n">
        <v>64850</v>
      </c>
      <c r="F94" s="23" t="n">
        <v>0.12</v>
      </c>
      <c r="G94" s="24" t="n">
        <v>1700</v>
      </c>
    </row>
    <row r="95">
      <c r="B95" s="20" t="n">
        <v>2023</v>
      </c>
      <c r="C95" s="21" t="inlineStr">
        <is>
          <t>HOH</t>
        </is>
      </c>
      <c r="D95" s="22" t="n">
        <v>64850</v>
      </c>
      <c r="E95" s="22" t="n">
        <v>103350</v>
      </c>
      <c r="F95" s="23" t="n">
        <v>0.22</v>
      </c>
      <c r="G95" s="24" t="n">
        <v>7442</v>
      </c>
    </row>
    <row r="96">
      <c r="B96" s="20" t="n">
        <v>2023</v>
      </c>
      <c r="C96" s="21" t="inlineStr">
        <is>
          <t>HOH</t>
        </is>
      </c>
      <c r="D96" s="22" t="n">
        <v>103350</v>
      </c>
      <c r="E96" s="22" t="n">
        <v>197300</v>
      </c>
      <c r="F96" s="23" t="n">
        <v>0.24</v>
      </c>
      <c r="G96" s="24" t="n">
        <v>14902</v>
      </c>
    </row>
    <row r="97">
      <c r="B97" s="20" t="n">
        <v>2023</v>
      </c>
      <c r="C97" s="21" t="inlineStr">
        <is>
          <t>HOH</t>
        </is>
      </c>
      <c r="D97" s="22" t="n">
        <v>197300</v>
      </c>
      <c r="E97" s="22" t="n">
        <v>250500</v>
      </c>
      <c r="F97" s="23" t="n">
        <v>0.32</v>
      </c>
      <c r="G97" s="24" t="n">
        <v>37450</v>
      </c>
    </row>
    <row r="98">
      <c r="B98" s="20" t="n">
        <v>2023</v>
      </c>
      <c r="C98" s="21" t="inlineStr">
        <is>
          <t>HOH</t>
        </is>
      </c>
      <c r="D98" s="22" t="n">
        <v>250500</v>
      </c>
      <c r="E98" s="22" t="n">
        <v>626350</v>
      </c>
      <c r="F98" s="23" t="n">
        <v>0.35</v>
      </c>
      <c r="G98" s="24" t="n">
        <v>54474</v>
      </c>
    </row>
    <row r="99">
      <c r="B99" s="20" t="n">
        <v>2023</v>
      </c>
      <c r="C99" s="21" t="inlineStr">
        <is>
          <t>HOH</t>
        </is>
      </c>
      <c r="D99" s="22" t="n">
        <v>626350</v>
      </c>
      <c r="E99" s="22" t="n">
        <v>9999999</v>
      </c>
      <c r="F99" s="23" t="n">
        <v>0.37</v>
      </c>
      <c r="G99" s="24" t="n">
        <v>185921.5</v>
      </c>
    </row>
    <row r="100">
      <c r="B100" s="20" t="n">
        <v>2023</v>
      </c>
      <c r="C100" s="21" t="inlineStr">
        <is>
          <t>MFS</t>
        </is>
      </c>
      <c r="D100" s="22" t="n">
        <v>0</v>
      </c>
      <c r="E100" s="22" t="n">
        <v>11925</v>
      </c>
      <c r="F100" s="23" t="n">
        <v>0.1</v>
      </c>
      <c r="G100" s="24" t="n">
        <v>0</v>
      </c>
    </row>
    <row r="101">
      <c r="B101" s="20" t="n">
        <v>2023</v>
      </c>
      <c r="C101" s="21" t="inlineStr">
        <is>
          <t>MFS</t>
        </is>
      </c>
      <c r="D101" s="22" t="n">
        <v>11925</v>
      </c>
      <c r="E101" s="22" t="n">
        <v>48475</v>
      </c>
      <c r="F101" s="23" t="n">
        <v>0.12</v>
      </c>
      <c r="G101" s="24" t="n">
        <v>1192.5</v>
      </c>
    </row>
    <row r="102">
      <c r="B102" s="20" t="n">
        <v>2023</v>
      </c>
      <c r="C102" s="21" t="inlineStr">
        <is>
          <t>MFS</t>
        </is>
      </c>
      <c r="D102" s="22" t="n">
        <v>48475</v>
      </c>
      <c r="E102" s="22" t="n">
        <v>103350</v>
      </c>
      <c r="F102" s="23" t="n">
        <v>0.22</v>
      </c>
      <c r="G102" s="24" t="n">
        <v>5578.5</v>
      </c>
    </row>
    <row r="103">
      <c r="B103" s="20" t="n">
        <v>2023</v>
      </c>
      <c r="C103" s="21" t="inlineStr">
        <is>
          <t>MFS</t>
        </is>
      </c>
      <c r="D103" s="22" t="n">
        <v>103350</v>
      </c>
      <c r="E103" s="22" t="n">
        <v>197300</v>
      </c>
      <c r="F103" s="23" t="n">
        <v>0.24</v>
      </c>
      <c r="G103" s="24" t="n">
        <v>17651</v>
      </c>
    </row>
    <row r="104">
      <c r="B104" s="20" t="n">
        <v>2023</v>
      </c>
      <c r="C104" s="21" t="inlineStr">
        <is>
          <t>MFS</t>
        </is>
      </c>
      <c r="D104" s="22" t="n">
        <v>197300</v>
      </c>
      <c r="E104" s="22" t="n">
        <v>250525</v>
      </c>
      <c r="F104" s="23" t="n">
        <v>0.32</v>
      </c>
      <c r="G104" s="24" t="n">
        <v>40199</v>
      </c>
    </row>
    <row r="105">
      <c r="B105" s="20" t="n">
        <v>2023</v>
      </c>
      <c r="C105" s="21" t="inlineStr">
        <is>
          <t>MFS</t>
        </is>
      </c>
      <c r="D105" s="22" t="n">
        <v>250525</v>
      </c>
      <c r="E105" s="22" t="n">
        <v>375800</v>
      </c>
      <c r="F105" s="23" t="n">
        <v>0.35</v>
      </c>
      <c r="G105" s="24" t="n">
        <v>57231</v>
      </c>
    </row>
    <row r="106">
      <c r="B106" s="20" t="n">
        <v>2023</v>
      </c>
      <c r="C106" s="21" t="inlineStr">
        <is>
          <t>MFS</t>
        </is>
      </c>
      <c r="D106" s="22" t="n">
        <v>375800</v>
      </c>
      <c r="E106" s="22" t="n">
        <v>9999999</v>
      </c>
      <c r="F106" s="23" t="n">
        <v>0.37</v>
      </c>
      <c r="G106" s="24" t="n">
        <v>101078.25</v>
      </c>
    </row>
    <row r="107">
      <c r="B107" s="20" t="n">
        <v>2024</v>
      </c>
      <c r="C107" s="21" t="inlineStr">
        <is>
          <t>HOH</t>
        </is>
      </c>
      <c r="D107" s="22" t="n">
        <v>0</v>
      </c>
      <c r="E107" s="22" t="n">
        <v>17000</v>
      </c>
      <c r="F107" s="23" t="n">
        <v>0.1</v>
      </c>
      <c r="G107" s="24" t="n">
        <v>0</v>
      </c>
    </row>
    <row r="108">
      <c r="B108" s="20" t="n">
        <v>2024</v>
      </c>
      <c r="C108" s="21" t="inlineStr">
        <is>
          <t>HOH</t>
        </is>
      </c>
      <c r="D108" s="22" t="n">
        <v>17000</v>
      </c>
      <c r="E108" s="22" t="n">
        <v>64850</v>
      </c>
      <c r="F108" s="23" t="n">
        <v>0.12</v>
      </c>
      <c r="G108" s="24" t="n">
        <v>1700</v>
      </c>
    </row>
    <row r="109">
      <c r="B109" s="20" t="n">
        <v>2024</v>
      </c>
      <c r="C109" s="21" t="inlineStr">
        <is>
          <t>HOH</t>
        </is>
      </c>
      <c r="D109" s="22" t="n">
        <v>64850</v>
      </c>
      <c r="E109" s="22" t="n">
        <v>103350</v>
      </c>
      <c r="F109" s="23" t="n">
        <v>0.22</v>
      </c>
      <c r="G109" s="24" t="n">
        <v>7442</v>
      </c>
    </row>
    <row r="110">
      <c r="B110" s="20" t="n">
        <v>2024</v>
      </c>
      <c r="C110" s="21" t="inlineStr">
        <is>
          <t>HOH</t>
        </is>
      </c>
      <c r="D110" s="22" t="n">
        <v>103350</v>
      </c>
      <c r="E110" s="22" t="n">
        <v>197300</v>
      </c>
      <c r="F110" s="23" t="n">
        <v>0.24</v>
      </c>
      <c r="G110" s="24" t="n">
        <v>14902</v>
      </c>
    </row>
    <row r="111">
      <c r="B111" s="20" t="n">
        <v>2024</v>
      </c>
      <c r="C111" s="21" t="inlineStr">
        <is>
          <t>HOH</t>
        </is>
      </c>
      <c r="D111" s="22" t="n">
        <v>197300</v>
      </c>
      <c r="E111" s="22" t="n">
        <v>250500</v>
      </c>
      <c r="F111" s="23" t="n">
        <v>0.32</v>
      </c>
      <c r="G111" s="24" t="n">
        <v>37450</v>
      </c>
    </row>
    <row r="112">
      <c r="B112" s="20" t="n">
        <v>2024</v>
      </c>
      <c r="C112" s="21" t="inlineStr">
        <is>
          <t>HOH</t>
        </is>
      </c>
      <c r="D112" s="22" t="n">
        <v>250500</v>
      </c>
      <c r="E112" s="22" t="n">
        <v>626350</v>
      </c>
      <c r="F112" s="23" t="n">
        <v>0.35</v>
      </c>
      <c r="G112" s="24" t="n">
        <v>54474</v>
      </c>
    </row>
    <row r="113">
      <c r="B113" s="20" t="n">
        <v>2024</v>
      </c>
      <c r="C113" s="21" t="inlineStr">
        <is>
          <t>HOH</t>
        </is>
      </c>
      <c r="D113" s="22" t="n">
        <v>626350</v>
      </c>
      <c r="E113" s="22" t="n">
        <v>9999999</v>
      </c>
      <c r="F113" s="23" t="n">
        <v>0.37</v>
      </c>
      <c r="G113" s="24" t="n">
        <v>185921.5</v>
      </c>
    </row>
    <row r="114">
      <c r="B114" s="20" t="n">
        <v>2024</v>
      </c>
      <c r="C114" s="21" t="inlineStr">
        <is>
          <t>MFS</t>
        </is>
      </c>
      <c r="D114" s="22" t="n">
        <v>0</v>
      </c>
      <c r="E114" s="22" t="n">
        <v>11925</v>
      </c>
      <c r="F114" s="23" t="n">
        <v>0.1</v>
      </c>
      <c r="G114" s="24" t="n">
        <v>0</v>
      </c>
    </row>
    <row r="115">
      <c r="B115" s="20" t="n">
        <v>2024</v>
      </c>
      <c r="C115" s="21" t="inlineStr">
        <is>
          <t>MFS</t>
        </is>
      </c>
      <c r="D115" s="22" t="n">
        <v>11925</v>
      </c>
      <c r="E115" s="22" t="n">
        <v>48475</v>
      </c>
      <c r="F115" s="23" t="n">
        <v>0.12</v>
      </c>
      <c r="G115" s="24" t="n">
        <v>1192.5</v>
      </c>
    </row>
    <row r="116">
      <c r="B116" s="20" t="n">
        <v>2024</v>
      </c>
      <c r="C116" s="21" t="inlineStr">
        <is>
          <t>MFS</t>
        </is>
      </c>
      <c r="D116" s="22" t="n">
        <v>48475</v>
      </c>
      <c r="E116" s="22" t="n">
        <v>103350</v>
      </c>
      <c r="F116" s="23" t="n">
        <v>0.22</v>
      </c>
      <c r="G116" s="24" t="n">
        <v>5578.5</v>
      </c>
    </row>
    <row r="117">
      <c r="B117" s="20" t="n">
        <v>2024</v>
      </c>
      <c r="C117" s="21" t="inlineStr">
        <is>
          <t>MFS</t>
        </is>
      </c>
      <c r="D117" s="22" t="n">
        <v>103350</v>
      </c>
      <c r="E117" s="22" t="n">
        <v>197300</v>
      </c>
      <c r="F117" s="23" t="n">
        <v>0.24</v>
      </c>
      <c r="G117" s="24" t="n">
        <v>17651</v>
      </c>
    </row>
    <row r="118">
      <c r="B118" s="20" t="n">
        <v>2024</v>
      </c>
      <c r="C118" s="21" t="inlineStr">
        <is>
          <t>MFS</t>
        </is>
      </c>
      <c r="D118" s="22" t="n">
        <v>197300</v>
      </c>
      <c r="E118" s="22" t="n">
        <v>250525</v>
      </c>
      <c r="F118" s="23" t="n">
        <v>0.32</v>
      </c>
      <c r="G118" s="24" t="n">
        <v>40199</v>
      </c>
    </row>
    <row r="119">
      <c r="B119" s="20" t="n">
        <v>2024</v>
      </c>
      <c r="C119" s="21" t="inlineStr">
        <is>
          <t>MFS</t>
        </is>
      </c>
      <c r="D119" s="22" t="n">
        <v>250525</v>
      </c>
      <c r="E119" s="22" t="n">
        <v>375800</v>
      </c>
      <c r="F119" s="23" t="n">
        <v>0.35</v>
      </c>
      <c r="G119" s="24" t="n">
        <v>57231</v>
      </c>
    </row>
    <row r="120">
      <c r="B120" s="20" t="n">
        <v>2024</v>
      </c>
      <c r="C120" s="21" t="inlineStr">
        <is>
          <t>MFS</t>
        </is>
      </c>
      <c r="D120" s="22" t="n">
        <v>375800</v>
      </c>
      <c r="E120" s="22" t="n">
        <v>9999999</v>
      </c>
      <c r="F120" s="23" t="n">
        <v>0.37</v>
      </c>
      <c r="G120" s="24" t="n">
        <v>101078.25</v>
      </c>
    </row>
    <row r="121">
      <c r="B121" s="20" t="n">
        <v>2025</v>
      </c>
      <c r="C121" s="21" t="inlineStr">
        <is>
          <t>HOH</t>
        </is>
      </c>
      <c r="D121" s="22" t="n">
        <v>0</v>
      </c>
      <c r="E121" s="22" t="n">
        <v>17000</v>
      </c>
      <c r="F121" s="23" t="n">
        <v>0.1</v>
      </c>
      <c r="G121" s="24" t="n">
        <v>0</v>
      </c>
    </row>
    <row r="122">
      <c r="B122" s="20" t="n">
        <v>2025</v>
      </c>
      <c r="C122" s="21" t="inlineStr">
        <is>
          <t>HOH</t>
        </is>
      </c>
      <c r="D122" s="22" t="n">
        <v>17000</v>
      </c>
      <c r="E122" s="22" t="n">
        <v>64850</v>
      </c>
      <c r="F122" s="23" t="n">
        <v>0.12</v>
      </c>
      <c r="G122" s="24" t="n">
        <v>1700</v>
      </c>
    </row>
    <row r="123">
      <c r="B123" s="20" t="n">
        <v>2025</v>
      </c>
      <c r="C123" s="21" t="inlineStr">
        <is>
          <t>HOH</t>
        </is>
      </c>
      <c r="D123" s="22" t="n">
        <v>64850</v>
      </c>
      <c r="E123" s="22" t="n">
        <v>103350</v>
      </c>
      <c r="F123" s="23" t="n">
        <v>0.22</v>
      </c>
      <c r="G123" s="24" t="n">
        <v>7442</v>
      </c>
    </row>
    <row r="124">
      <c r="B124" s="20" t="n">
        <v>2025</v>
      </c>
      <c r="C124" s="21" t="inlineStr">
        <is>
          <t>HOH</t>
        </is>
      </c>
      <c r="D124" s="22" t="n">
        <v>103350</v>
      </c>
      <c r="E124" s="22" t="n">
        <v>197300</v>
      </c>
      <c r="F124" s="23" t="n">
        <v>0.24</v>
      </c>
      <c r="G124" s="24" t="n">
        <v>14902</v>
      </c>
    </row>
    <row r="125">
      <c r="B125" s="20" t="n">
        <v>2025</v>
      </c>
      <c r="C125" s="21" t="inlineStr">
        <is>
          <t>HOH</t>
        </is>
      </c>
      <c r="D125" s="22" t="n">
        <v>197300</v>
      </c>
      <c r="E125" s="22" t="n">
        <v>250500</v>
      </c>
      <c r="F125" s="23" t="n">
        <v>0.32</v>
      </c>
      <c r="G125" s="24" t="n">
        <v>37450</v>
      </c>
    </row>
    <row r="126">
      <c r="B126" s="20" t="n">
        <v>2025</v>
      </c>
      <c r="C126" s="21" t="inlineStr">
        <is>
          <t>HOH</t>
        </is>
      </c>
      <c r="D126" s="22" t="n">
        <v>250500</v>
      </c>
      <c r="E126" s="22" t="n">
        <v>626350</v>
      </c>
      <c r="F126" s="23" t="n">
        <v>0.35</v>
      </c>
      <c r="G126" s="24" t="n">
        <v>54474</v>
      </c>
    </row>
    <row r="127">
      <c r="B127" s="20" t="n">
        <v>2025</v>
      </c>
      <c r="C127" s="21" t="inlineStr">
        <is>
          <t>HOH</t>
        </is>
      </c>
      <c r="D127" s="22" t="n">
        <v>626350</v>
      </c>
      <c r="E127" s="22" t="n">
        <v>9999999</v>
      </c>
      <c r="F127" s="23" t="n">
        <v>0.37</v>
      </c>
      <c r="G127" s="24" t="n">
        <v>185921.5</v>
      </c>
    </row>
    <row r="128">
      <c r="B128" s="20" t="n">
        <v>2025</v>
      </c>
      <c r="C128" s="21" t="inlineStr">
        <is>
          <t>MFS</t>
        </is>
      </c>
      <c r="D128" s="22" t="n">
        <v>0</v>
      </c>
      <c r="E128" s="22" t="n">
        <v>11925</v>
      </c>
      <c r="F128" s="23" t="n">
        <v>0.1</v>
      </c>
      <c r="G128" s="24" t="n">
        <v>0</v>
      </c>
    </row>
    <row r="129">
      <c r="B129" s="20" t="n">
        <v>2025</v>
      </c>
      <c r="C129" s="21" t="inlineStr">
        <is>
          <t>MFS</t>
        </is>
      </c>
      <c r="D129" s="22" t="n">
        <v>11925</v>
      </c>
      <c r="E129" s="22" t="n">
        <v>48475</v>
      </c>
      <c r="F129" s="23" t="n">
        <v>0.12</v>
      </c>
      <c r="G129" s="24" t="n">
        <v>1192.5</v>
      </c>
    </row>
    <row r="130">
      <c r="B130" s="20" t="n">
        <v>2025</v>
      </c>
      <c r="C130" s="21" t="inlineStr">
        <is>
          <t>MFS</t>
        </is>
      </c>
      <c r="D130" s="22" t="n">
        <v>48475</v>
      </c>
      <c r="E130" s="22" t="n">
        <v>103350</v>
      </c>
      <c r="F130" s="23" t="n">
        <v>0.22</v>
      </c>
      <c r="G130" s="24" t="n">
        <v>5578.5</v>
      </c>
    </row>
    <row r="131">
      <c r="B131" s="20" t="n">
        <v>2025</v>
      </c>
      <c r="C131" s="21" t="inlineStr">
        <is>
          <t>MFS</t>
        </is>
      </c>
      <c r="D131" s="22" t="n">
        <v>103350</v>
      </c>
      <c r="E131" s="22" t="n">
        <v>197300</v>
      </c>
      <c r="F131" s="23" t="n">
        <v>0.24</v>
      </c>
      <c r="G131" s="24" t="n">
        <v>17651</v>
      </c>
    </row>
    <row r="132">
      <c r="B132" s="20" t="n">
        <v>2025</v>
      </c>
      <c r="C132" s="21" t="inlineStr">
        <is>
          <t>MFS</t>
        </is>
      </c>
      <c r="D132" s="22" t="n">
        <v>197300</v>
      </c>
      <c r="E132" s="22" t="n">
        <v>250525</v>
      </c>
      <c r="F132" s="23" t="n">
        <v>0.32</v>
      </c>
      <c r="G132" s="24" t="n">
        <v>40199</v>
      </c>
    </row>
    <row r="133">
      <c r="B133" s="20" t="n">
        <v>2025</v>
      </c>
      <c r="C133" s="21" t="inlineStr">
        <is>
          <t>MFS</t>
        </is>
      </c>
      <c r="D133" s="22" t="n">
        <v>250525</v>
      </c>
      <c r="E133" s="22" t="n">
        <v>375800</v>
      </c>
      <c r="F133" s="23" t="n">
        <v>0.35</v>
      </c>
      <c r="G133" s="24" t="n">
        <v>57231</v>
      </c>
    </row>
    <row r="134">
      <c r="B134" s="20" t="n">
        <v>2025</v>
      </c>
      <c r="C134" s="21" t="inlineStr">
        <is>
          <t>MFS</t>
        </is>
      </c>
      <c r="D134" s="22" t="n">
        <v>375800</v>
      </c>
      <c r="E134" s="22" t="n">
        <v>9999999</v>
      </c>
      <c r="F134" s="23" t="n">
        <v>0.37</v>
      </c>
      <c r="G134" s="24" t="n">
        <v>101078.25</v>
      </c>
    </row>
    <row r="135">
      <c r="B135" s="20" t="n">
        <v>2026</v>
      </c>
      <c r="C135" s="21" t="inlineStr">
        <is>
          <t>HOH</t>
        </is>
      </c>
      <c r="D135" s="22" t="n">
        <v>0</v>
      </c>
      <c r="E135" s="22" t="n">
        <v>17000</v>
      </c>
      <c r="F135" s="23" t="n">
        <v>0.1</v>
      </c>
      <c r="G135" s="24" t="n">
        <v>0</v>
      </c>
    </row>
    <row r="136">
      <c r="B136" s="20" t="n">
        <v>2026</v>
      </c>
      <c r="C136" s="21" t="inlineStr">
        <is>
          <t>HOH</t>
        </is>
      </c>
      <c r="D136" s="22" t="n">
        <v>17000</v>
      </c>
      <c r="E136" s="22" t="n">
        <v>64850</v>
      </c>
      <c r="F136" s="23" t="n">
        <v>0.12</v>
      </c>
      <c r="G136" s="24" t="n">
        <v>1700</v>
      </c>
    </row>
    <row r="137">
      <c r="B137" s="20" t="n">
        <v>2026</v>
      </c>
      <c r="C137" s="21" t="inlineStr">
        <is>
          <t>HOH</t>
        </is>
      </c>
      <c r="D137" s="22" t="n">
        <v>64850</v>
      </c>
      <c r="E137" s="22" t="n">
        <v>103350</v>
      </c>
      <c r="F137" s="23" t="n">
        <v>0.22</v>
      </c>
      <c r="G137" s="24" t="n">
        <v>7442</v>
      </c>
    </row>
    <row r="138">
      <c r="B138" s="20" t="n">
        <v>2026</v>
      </c>
      <c r="C138" s="21" t="inlineStr">
        <is>
          <t>HOH</t>
        </is>
      </c>
      <c r="D138" s="22" t="n">
        <v>103350</v>
      </c>
      <c r="E138" s="22" t="n">
        <v>197300</v>
      </c>
      <c r="F138" s="23" t="n">
        <v>0.24</v>
      </c>
      <c r="G138" s="24" t="n">
        <v>14902</v>
      </c>
    </row>
    <row r="139">
      <c r="B139" s="20" t="n">
        <v>2026</v>
      </c>
      <c r="C139" s="21" t="inlineStr">
        <is>
          <t>HOH</t>
        </is>
      </c>
      <c r="D139" s="22" t="n">
        <v>197300</v>
      </c>
      <c r="E139" s="22" t="n">
        <v>250500</v>
      </c>
      <c r="F139" s="23" t="n">
        <v>0.32</v>
      </c>
      <c r="G139" s="24" t="n">
        <v>37450</v>
      </c>
    </row>
    <row r="140">
      <c r="B140" s="20" t="n">
        <v>2026</v>
      </c>
      <c r="C140" s="21" t="inlineStr">
        <is>
          <t>HOH</t>
        </is>
      </c>
      <c r="D140" s="22" t="n">
        <v>250500</v>
      </c>
      <c r="E140" s="22" t="n">
        <v>626350</v>
      </c>
      <c r="F140" s="23" t="n">
        <v>0.35</v>
      </c>
      <c r="G140" s="24" t="n">
        <v>54474</v>
      </c>
    </row>
    <row r="141">
      <c r="B141" s="20" t="n">
        <v>2026</v>
      </c>
      <c r="C141" s="21" t="inlineStr">
        <is>
          <t>HOH</t>
        </is>
      </c>
      <c r="D141" s="22" t="n">
        <v>626350</v>
      </c>
      <c r="E141" s="22" t="n">
        <v>9999999</v>
      </c>
      <c r="F141" s="23" t="n">
        <v>0.37</v>
      </c>
      <c r="G141" s="24" t="n">
        <v>185921.5</v>
      </c>
    </row>
    <row r="142">
      <c r="B142" s="20" t="n">
        <v>2026</v>
      </c>
      <c r="C142" s="21" t="inlineStr">
        <is>
          <t>MFS</t>
        </is>
      </c>
      <c r="D142" s="22" t="n">
        <v>0</v>
      </c>
      <c r="E142" s="22" t="n">
        <v>11925</v>
      </c>
      <c r="F142" s="23" t="n">
        <v>0.1</v>
      </c>
      <c r="G142" s="24" t="n">
        <v>0</v>
      </c>
    </row>
    <row r="143">
      <c r="B143" s="20" t="n">
        <v>2026</v>
      </c>
      <c r="C143" s="21" t="inlineStr">
        <is>
          <t>MFS</t>
        </is>
      </c>
      <c r="D143" s="22" t="n">
        <v>11925</v>
      </c>
      <c r="E143" s="22" t="n">
        <v>48475</v>
      </c>
      <c r="F143" s="23" t="n">
        <v>0.12</v>
      </c>
      <c r="G143" s="24" t="n">
        <v>1192.5</v>
      </c>
    </row>
    <row r="144">
      <c r="B144" s="20" t="n">
        <v>2026</v>
      </c>
      <c r="C144" s="21" t="inlineStr">
        <is>
          <t>MFS</t>
        </is>
      </c>
      <c r="D144" s="22" t="n">
        <v>48475</v>
      </c>
      <c r="E144" s="22" t="n">
        <v>103350</v>
      </c>
      <c r="F144" s="23" t="n">
        <v>0.22</v>
      </c>
      <c r="G144" s="24" t="n">
        <v>5578.5</v>
      </c>
    </row>
    <row r="145">
      <c r="B145" s="20" t="n">
        <v>2026</v>
      </c>
      <c r="C145" s="21" t="inlineStr">
        <is>
          <t>MFS</t>
        </is>
      </c>
      <c r="D145" s="22" t="n">
        <v>103350</v>
      </c>
      <c r="E145" s="22" t="n">
        <v>197300</v>
      </c>
      <c r="F145" s="23" t="n">
        <v>0.24</v>
      </c>
      <c r="G145" s="24" t="n">
        <v>17651</v>
      </c>
    </row>
    <row r="146">
      <c r="B146" s="20" t="n">
        <v>2026</v>
      </c>
      <c r="C146" s="21" t="inlineStr">
        <is>
          <t>MFS</t>
        </is>
      </c>
      <c r="D146" s="22" t="n">
        <v>197300</v>
      </c>
      <c r="E146" s="22" t="n">
        <v>250525</v>
      </c>
      <c r="F146" s="23" t="n">
        <v>0.32</v>
      </c>
      <c r="G146" s="24" t="n">
        <v>40199</v>
      </c>
    </row>
    <row r="147">
      <c r="B147" s="20" t="n">
        <v>2026</v>
      </c>
      <c r="C147" s="21" t="inlineStr">
        <is>
          <t>MFS</t>
        </is>
      </c>
      <c r="D147" s="22" t="n">
        <v>250525</v>
      </c>
      <c r="E147" s="22" t="n">
        <v>375800</v>
      </c>
      <c r="F147" s="23" t="n">
        <v>0.35</v>
      </c>
      <c r="G147" s="24" t="n">
        <v>57231</v>
      </c>
    </row>
    <row r="148">
      <c r="B148" s="20" t="n">
        <v>2026</v>
      </c>
      <c r="C148" s="21" t="inlineStr">
        <is>
          <t>MFS</t>
        </is>
      </c>
      <c r="D148" s="22" t="n">
        <v>375800</v>
      </c>
      <c r="E148" s="22" t="n">
        <v>9999999</v>
      </c>
      <c r="F148" s="23" t="n">
        <v>0.37</v>
      </c>
      <c r="G148" s="24" t="n">
        <v>101078.25</v>
      </c>
    </row>
    <row r="149">
      <c r="B149" s="20" t="n">
        <v>2027</v>
      </c>
      <c r="C149" s="21" t="inlineStr">
        <is>
          <t>HOH</t>
        </is>
      </c>
      <c r="D149" s="22" t="n">
        <v>0</v>
      </c>
      <c r="E149" s="22" t="n">
        <v>17000</v>
      </c>
      <c r="F149" s="23" t="n">
        <v>0.1</v>
      </c>
      <c r="G149" s="24" t="n">
        <v>0</v>
      </c>
    </row>
    <row r="150">
      <c r="B150" s="20" t="n">
        <v>2027</v>
      </c>
      <c r="C150" s="21" t="inlineStr">
        <is>
          <t>HOH</t>
        </is>
      </c>
      <c r="D150" s="22" t="n">
        <v>17000</v>
      </c>
      <c r="E150" s="22" t="n">
        <v>64850</v>
      </c>
      <c r="F150" s="23" t="n">
        <v>0.12</v>
      </c>
      <c r="G150" s="24" t="n">
        <v>1700</v>
      </c>
    </row>
    <row r="151">
      <c r="B151" s="20" t="n">
        <v>2027</v>
      </c>
      <c r="C151" s="21" t="inlineStr">
        <is>
          <t>HOH</t>
        </is>
      </c>
      <c r="D151" s="22" t="n">
        <v>64850</v>
      </c>
      <c r="E151" s="22" t="n">
        <v>103350</v>
      </c>
      <c r="F151" s="23" t="n">
        <v>0.22</v>
      </c>
      <c r="G151" s="24" t="n">
        <v>7442</v>
      </c>
    </row>
    <row r="152">
      <c r="B152" s="20" t="n">
        <v>2027</v>
      </c>
      <c r="C152" s="21" t="inlineStr">
        <is>
          <t>HOH</t>
        </is>
      </c>
      <c r="D152" s="22" t="n">
        <v>103350</v>
      </c>
      <c r="E152" s="22" t="n">
        <v>197300</v>
      </c>
      <c r="F152" s="23" t="n">
        <v>0.24</v>
      </c>
      <c r="G152" s="24" t="n">
        <v>14902</v>
      </c>
    </row>
    <row r="153">
      <c r="B153" s="20" t="n">
        <v>2027</v>
      </c>
      <c r="C153" s="21" t="inlineStr">
        <is>
          <t>HOH</t>
        </is>
      </c>
      <c r="D153" s="22" t="n">
        <v>197300</v>
      </c>
      <c r="E153" s="22" t="n">
        <v>250500</v>
      </c>
      <c r="F153" s="23" t="n">
        <v>0.32</v>
      </c>
      <c r="G153" s="24" t="n">
        <v>37450</v>
      </c>
    </row>
    <row r="154">
      <c r="B154" s="20" t="n">
        <v>2027</v>
      </c>
      <c r="C154" s="21" t="inlineStr">
        <is>
          <t>HOH</t>
        </is>
      </c>
      <c r="D154" s="22" t="n">
        <v>250500</v>
      </c>
      <c r="E154" s="22" t="n">
        <v>626350</v>
      </c>
      <c r="F154" s="23" t="n">
        <v>0.35</v>
      </c>
      <c r="G154" s="24" t="n">
        <v>54474</v>
      </c>
    </row>
    <row r="155">
      <c r="B155" s="20" t="n">
        <v>2027</v>
      </c>
      <c r="C155" s="21" t="inlineStr">
        <is>
          <t>HOH</t>
        </is>
      </c>
      <c r="D155" s="22" t="n">
        <v>626350</v>
      </c>
      <c r="E155" s="22" t="n">
        <v>9999999</v>
      </c>
      <c r="F155" s="23" t="n">
        <v>0.37</v>
      </c>
      <c r="G155" s="24" t="n">
        <v>185921.5</v>
      </c>
    </row>
    <row r="156">
      <c r="B156" s="20" t="n">
        <v>2027</v>
      </c>
      <c r="C156" s="21" t="inlineStr">
        <is>
          <t>MFS</t>
        </is>
      </c>
      <c r="D156" s="22" t="n">
        <v>0</v>
      </c>
      <c r="E156" s="22" t="n">
        <v>11925</v>
      </c>
      <c r="F156" s="23" t="n">
        <v>0.1</v>
      </c>
      <c r="G156" s="24" t="n">
        <v>0</v>
      </c>
    </row>
    <row r="157">
      <c r="B157" s="20" t="n">
        <v>2027</v>
      </c>
      <c r="C157" s="21" t="inlineStr">
        <is>
          <t>MFS</t>
        </is>
      </c>
      <c r="D157" s="22" t="n">
        <v>11925</v>
      </c>
      <c r="E157" s="22" t="n">
        <v>48475</v>
      </c>
      <c r="F157" s="23" t="n">
        <v>0.12</v>
      </c>
      <c r="G157" s="24" t="n">
        <v>1192.5</v>
      </c>
    </row>
    <row r="158">
      <c r="B158" s="20" t="n">
        <v>2027</v>
      </c>
      <c r="C158" s="21" t="inlineStr">
        <is>
          <t>MFS</t>
        </is>
      </c>
      <c r="D158" s="22" t="n">
        <v>48475</v>
      </c>
      <c r="E158" s="22" t="n">
        <v>103350</v>
      </c>
      <c r="F158" s="23" t="n">
        <v>0.22</v>
      </c>
      <c r="G158" s="24" t="n">
        <v>5578.5</v>
      </c>
    </row>
    <row r="159">
      <c r="B159" s="20" t="n">
        <v>2027</v>
      </c>
      <c r="C159" s="21" t="inlineStr">
        <is>
          <t>MFS</t>
        </is>
      </c>
      <c r="D159" s="22" t="n">
        <v>103350</v>
      </c>
      <c r="E159" s="22" t="n">
        <v>197300</v>
      </c>
      <c r="F159" s="23" t="n">
        <v>0.24</v>
      </c>
      <c r="G159" s="24" t="n">
        <v>17651</v>
      </c>
    </row>
    <row r="160">
      <c r="B160" s="20" t="n">
        <v>2027</v>
      </c>
      <c r="C160" s="21" t="inlineStr">
        <is>
          <t>MFS</t>
        </is>
      </c>
      <c r="D160" s="22" t="n">
        <v>197300</v>
      </c>
      <c r="E160" s="22" t="n">
        <v>250525</v>
      </c>
      <c r="F160" s="23" t="n">
        <v>0.32</v>
      </c>
      <c r="G160" s="24" t="n">
        <v>40199</v>
      </c>
    </row>
    <row r="161">
      <c r="B161" s="20" t="n">
        <v>2027</v>
      </c>
      <c r="C161" s="21" t="inlineStr">
        <is>
          <t>MFS</t>
        </is>
      </c>
      <c r="D161" s="22" t="n">
        <v>250525</v>
      </c>
      <c r="E161" s="22" t="n">
        <v>375800</v>
      </c>
      <c r="F161" s="23" t="n">
        <v>0.35</v>
      </c>
      <c r="G161" s="24" t="n">
        <v>57231</v>
      </c>
    </row>
    <row r="162">
      <c r="B162" s="20" t="n">
        <v>2027</v>
      </c>
      <c r="C162" s="21" t="inlineStr">
        <is>
          <t>MFS</t>
        </is>
      </c>
      <c r="D162" s="22" t="n">
        <v>375800</v>
      </c>
      <c r="E162" s="22" t="n">
        <v>9999999</v>
      </c>
      <c r="F162" s="23" t="n">
        <v>0.37</v>
      </c>
      <c r="G162" s="24" t="n">
        <v>101078.25</v>
      </c>
    </row>
    <row r="163">
      <c r="B163" s="20" t="n">
        <v>2028</v>
      </c>
      <c r="C163" s="21" t="inlineStr">
        <is>
          <t>HOH</t>
        </is>
      </c>
      <c r="D163" s="22" t="n">
        <v>0</v>
      </c>
      <c r="E163" s="22" t="n">
        <v>17000</v>
      </c>
      <c r="F163" s="23" t="n">
        <v>0.1</v>
      </c>
      <c r="G163" s="24" t="n">
        <v>0</v>
      </c>
    </row>
    <row r="164">
      <c r="B164" s="20" t="n">
        <v>2028</v>
      </c>
      <c r="C164" s="21" t="inlineStr">
        <is>
          <t>HOH</t>
        </is>
      </c>
      <c r="D164" s="22" t="n">
        <v>17000</v>
      </c>
      <c r="E164" s="22" t="n">
        <v>64850</v>
      </c>
      <c r="F164" s="23" t="n">
        <v>0.12</v>
      </c>
      <c r="G164" s="24" t="n">
        <v>1700</v>
      </c>
    </row>
    <row r="165">
      <c r="B165" s="20" t="n">
        <v>2028</v>
      </c>
      <c r="C165" s="21" t="inlineStr">
        <is>
          <t>HOH</t>
        </is>
      </c>
      <c r="D165" s="22" t="n">
        <v>64850</v>
      </c>
      <c r="E165" s="22" t="n">
        <v>103350</v>
      </c>
      <c r="F165" s="23" t="n">
        <v>0.22</v>
      </c>
      <c r="G165" s="24" t="n">
        <v>7442</v>
      </c>
    </row>
    <row r="166">
      <c r="B166" s="20" t="n">
        <v>2028</v>
      </c>
      <c r="C166" s="21" t="inlineStr">
        <is>
          <t>HOH</t>
        </is>
      </c>
      <c r="D166" s="22" t="n">
        <v>103350</v>
      </c>
      <c r="E166" s="22" t="n">
        <v>197300</v>
      </c>
      <c r="F166" s="23" t="n">
        <v>0.24</v>
      </c>
      <c r="G166" s="24" t="n">
        <v>14902</v>
      </c>
    </row>
    <row r="167">
      <c r="B167" s="20" t="n">
        <v>2028</v>
      </c>
      <c r="C167" s="21" t="inlineStr">
        <is>
          <t>HOH</t>
        </is>
      </c>
      <c r="D167" s="22" t="n">
        <v>197300</v>
      </c>
      <c r="E167" s="22" t="n">
        <v>250500</v>
      </c>
      <c r="F167" s="23" t="n">
        <v>0.32</v>
      </c>
      <c r="G167" s="24" t="n">
        <v>37450</v>
      </c>
    </row>
    <row r="168">
      <c r="B168" s="20" t="n">
        <v>2028</v>
      </c>
      <c r="C168" s="21" t="inlineStr">
        <is>
          <t>HOH</t>
        </is>
      </c>
      <c r="D168" s="22" t="n">
        <v>250500</v>
      </c>
      <c r="E168" s="22" t="n">
        <v>626350</v>
      </c>
      <c r="F168" s="23" t="n">
        <v>0.35</v>
      </c>
      <c r="G168" s="24" t="n">
        <v>54474</v>
      </c>
    </row>
    <row r="169">
      <c r="B169" s="20" t="n">
        <v>2028</v>
      </c>
      <c r="C169" s="21" t="inlineStr">
        <is>
          <t>HOH</t>
        </is>
      </c>
      <c r="D169" s="22" t="n">
        <v>626350</v>
      </c>
      <c r="E169" s="22" t="n">
        <v>9999999</v>
      </c>
      <c r="F169" s="23" t="n">
        <v>0.37</v>
      </c>
      <c r="G169" s="24" t="n">
        <v>185921.5</v>
      </c>
    </row>
    <row r="170">
      <c r="B170" s="20" t="n">
        <v>2028</v>
      </c>
      <c r="C170" s="21" t="inlineStr">
        <is>
          <t>MFS</t>
        </is>
      </c>
      <c r="D170" s="22" t="n">
        <v>0</v>
      </c>
      <c r="E170" s="22" t="n">
        <v>11925</v>
      </c>
      <c r="F170" s="23" t="n">
        <v>0.1</v>
      </c>
      <c r="G170" s="24" t="n">
        <v>0</v>
      </c>
    </row>
    <row r="171">
      <c r="B171" s="20" t="n">
        <v>2028</v>
      </c>
      <c r="C171" s="21" t="inlineStr">
        <is>
          <t>MFS</t>
        </is>
      </c>
      <c r="D171" s="22" t="n">
        <v>11925</v>
      </c>
      <c r="E171" s="22" t="n">
        <v>48475</v>
      </c>
      <c r="F171" s="23" t="n">
        <v>0.12</v>
      </c>
      <c r="G171" s="24" t="n">
        <v>1192.5</v>
      </c>
    </row>
    <row r="172">
      <c r="B172" s="20" t="n">
        <v>2028</v>
      </c>
      <c r="C172" s="21" t="inlineStr">
        <is>
          <t>MFS</t>
        </is>
      </c>
      <c r="D172" s="22" t="n">
        <v>48475</v>
      </c>
      <c r="E172" s="22" t="n">
        <v>103350</v>
      </c>
      <c r="F172" s="23" t="n">
        <v>0.22</v>
      </c>
      <c r="G172" s="24" t="n">
        <v>5578.5</v>
      </c>
    </row>
    <row r="173">
      <c r="B173" s="20" t="n">
        <v>2028</v>
      </c>
      <c r="C173" s="21" t="inlineStr">
        <is>
          <t>MFS</t>
        </is>
      </c>
      <c r="D173" s="22" t="n">
        <v>103350</v>
      </c>
      <c r="E173" s="22" t="n">
        <v>197300</v>
      </c>
      <c r="F173" s="23" t="n">
        <v>0.24</v>
      </c>
      <c r="G173" s="24" t="n">
        <v>17651</v>
      </c>
    </row>
    <row r="174">
      <c r="B174" s="20" t="n">
        <v>2028</v>
      </c>
      <c r="C174" s="21" t="inlineStr">
        <is>
          <t>MFS</t>
        </is>
      </c>
      <c r="D174" s="22" t="n">
        <v>197300</v>
      </c>
      <c r="E174" s="22" t="n">
        <v>250525</v>
      </c>
      <c r="F174" s="23" t="n">
        <v>0.32</v>
      </c>
      <c r="G174" s="24" t="n">
        <v>40199</v>
      </c>
    </row>
    <row r="175">
      <c r="B175" s="20" t="n">
        <v>2028</v>
      </c>
      <c r="C175" s="21" t="inlineStr">
        <is>
          <t>MFS</t>
        </is>
      </c>
      <c r="D175" s="22" t="n">
        <v>250525</v>
      </c>
      <c r="E175" s="22" t="n">
        <v>375800</v>
      </c>
      <c r="F175" s="23" t="n">
        <v>0.35</v>
      </c>
      <c r="G175" s="24" t="n">
        <v>57231</v>
      </c>
    </row>
    <row r="176">
      <c r="B176" s="20" t="n">
        <v>2028</v>
      </c>
      <c r="C176" s="21" t="inlineStr">
        <is>
          <t>MFS</t>
        </is>
      </c>
      <c r="D176" s="22" t="n">
        <v>375800</v>
      </c>
      <c r="E176" s="22" t="n">
        <v>9999999</v>
      </c>
      <c r="F176" s="23" t="n">
        <v>0.37</v>
      </c>
      <c r="G176" s="24" t="n">
        <v>101078.25</v>
      </c>
    </row>
    <row r="177">
      <c r="B177" s="100" t="n"/>
      <c r="C177" s="21" t="n"/>
      <c r="D177" s="22" t="n"/>
      <c r="E177" s="22" t="n"/>
      <c r="F177" s="23" t="n"/>
      <c r="G177" s="24" t="n"/>
    </row>
    <row r="178">
      <c r="B178" s="19" t="inlineStr">
        <is>
          <t>tblStdDed — Standard Deduction Lookup (2023–2028)</t>
        </is>
      </c>
      <c r="C178" s="21" t="n"/>
      <c r="D178" s="22" t="n"/>
      <c r="E178" s="22" t="n"/>
      <c r="F178" s="23" t="n"/>
      <c r="G178" s="24" t="n"/>
    </row>
    <row r="179" ht="15" customHeight="1" s="99" thickBot="1">
      <c r="B179" s="42" t="n"/>
      <c r="C179" s="21" t="n"/>
      <c r="D179" s="22" t="n"/>
      <c r="E179" s="22" t="n"/>
      <c r="F179" s="23" t="n"/>
      <c r="G179" s="24" t="n"/>
    </row>
    <row r="180">
      <c r="B180" s="100" t="n"/>
      <c r="C180" s="21" t="n"/>
      <c r="D180" s="22" t="n"/>
      <c r="E180" s="22" t="n"/>
      <c r="F180" s="23" t="n"/>
      <c r="G180" s="24" t="n"/>
    </row>
    <row r="181">
      <c r="B181" s="100" t="inlineStr">
        <is>
          <t>Year</t>
        </is>
      </c>
      <c r="C181" s="21" t="inlineStr">
        <is>
          <t>FilingStatus</t>
        </is>
      </c>
      <c r="D181" s="22" t="inlineStr">
        <is>
          <t>Amount</t>
        </is>
      </c>
      <c r="E181" s="22" t="n"/>
      <c r="F181" s="23" t="n"/>
      <c r="G181" s="24" t="n"/>
    </row>
    <row r="182">
      <c r="B182" s="20" t="n">
        <v>2023</v>
      </c>
      <c r="C182" s="21" t="inlineStr">
        <is>
          <t>MFJ</t>
        </is>
      </c>
      <c r="D182" s="22" t="n">
        <v>31500</v>
      </c>
      <c r="E182" s="22" t="n"/>
      <c r="F182" s="23" t="n"/>
      <c r="G182" s="24" t="n"/>
    </row>
    <row r="183">
      <c r="B183" s="20" t="n">
        <v>2023</v>
      </c>
      <c r="C183" s="21" t="inlineStr">
        <is>
          <t>Single</t>
        </is>
      </c>
      <c r="D183" s="22" t="n">
        <v>15750</v>
      </c>
      <c r="E183" s="22" t="n"/>
      <c r="F183" s="23" t="n"/>
      <c r="G183" s="24" t="n"/>
    </row>
    <row r="184">
      <c r="B184" s="20" t="n">
        <v>2023</v>
      </c>
      <c r="C184" s="21" t="inlineStr">
        <is>
          <t>HOH</t>
        </is>
      </c>
      <c r="D184" s="22" t="n">
        <v>22500</v>
      </c>
      <c r="E184" s="22" t="n"/>
      <c r="F184" s="23" t="n"/>
      <c r="G184" s="24" t="n"/>
    </row>
    <row r="185">
      <c r="B185" s="20" t="n">
        <v>2023</v>
      </c>
      <c r="C185" s="21" t="inlineStr">
        <is>
          <t>MFS</t>
        </is>
      </c>
      <c r="D185" s="22" t="n">
        <v>15750</v>
      </c>
      <c r="E185" s="22" t="n"/>
      <c r="F185" s="23" t="n"/>
      <c r="G185" s="24" t="n"/>
    </row>
    <row r="186">
      <c r="B186" s="20" t="n">
        <v>2024</v>
      </c>
      <c r="C186" s="21" t="inlineStr">
        <is>
          <t>MFJ</t>
        </is>
      </c>
      <c r="D186" s="22" t="n">
        <v>31500</v>
      </c>
      <c r="E186" s="22" t="n"/>
      <c r="F186" s="23" t="n"/>
      <c r="G186" s="24" t="n"/>
    </row>
    <row r="187">
      <c r="B187" s="20" t="n">
        <v>2024</v>
      </c>
      <c r="C187" s="21" t="inlineStr">
        <is>
          <t>Single</t>
        </is>
      </c>
      <c r="D187" s="22" t="n">
        <v>15750</v>
      </c>
      <c r="E187" s="22" t="n"/>
      <c r="F187" s="23" t="n"/>
      <c r="G187" s="24" t="n"/>
    </row>
    <row r="188">
      <c r="B188" s="20" t="n">
        <v>2024</v>
      </c>
      <c r="C188" s="21" t="inlineStr">
        <is>
          <t>HOH</t>
        </is>
      </c>
      <c r="D188" s="22" t="n">
        <v>22500</v>
      </c>
      <c r="E188" s="22" t="n"/>
      <c r="F188" s="23" t="n"/>
      <c r="G188" s="24" t="n"/>
    </row>
    <row r="189">
      <c r="B189" s="20" t="n">
        <v>2024</v>
      </c>
      <c r="C189" s="21" t="inlineStr">
        <is>
          <t>MFS</t>
        </is>
      </c>
      <c r="D189" s="22" t="n">
        <v>15750</v>
      </c>
      <c r="E189" s="22" t="n"/>
      <c r="F189" s="23" t="n"/>
      <c r="G189" s="24" t="n"/>
    </row>
    <row r="190">
      <c r="B190" s="20" t="n">
        <v>2025</v>
      </c>
      <c r="C190" s="21" t="inlineStr">
        <is>
          <t>MFJ</t>
        </is>
      </c>
      <c r="D190" s="22" t="n">
        <v>31500</v>
      </c>
      <c r="E190" s="22" t="n"/>
      <c r="F190" s="23" t="n"/>
      <c r="G190" s="24" t="n"/>
    </row>
    <row r="191">
      <c r="B191" s="20" t="n">
        <v>2025</v>
      </c>
      <c r="C191" s="21" t="inlineStr">
        <is>
          <t>Single</t>
        </is>
      </c>
      <c r="D191" s="22" t="n">
        <v>15750</v>
      </c>
      <c r="E191" s="22" t="n"/>
      <c r="F191" s="23" t="n"/>
      <c r="G191" s="24" t="n"/>
    </row>
    <row r="192">
      <c r="B192" s="20" t="n">
        <v>2025</v>
      </c>
      <c r="C192" s="21" t="inlineStr">
        <is>
          <t>HOH</t>
        </is>
      </c>
      <c r="D192" s="22" t="n">
        <v>22500</v>
      </c>
      <c r="E192" s="22" t="n"/>
      <c r="F192" s="23" t="n"/>
      <c r="G192" s="24" t="n"/>
    </row>
    <row r="193">
      <c r="B193" s="20" t="n">
        <v>2025</v>
      </c>
      <c r="C193" s="21" t="inlineStr">
        <is>
          <t>MFS</t>
        </is>
      </c>
      <c r="D193" s="22" t="n">
        <v>15750</v>
      </c>
      <c r="E193" s="22" t="n"/>
      <c r="F193" s="23" t="n"/>
      <c r="G193" s="24" t="n"/>
    </row>
    <row r="194">
      <c r="B194" s="20" t="n">
        <v>2026</v>
      </c>
      <c r="C194" s="21" t="inlineStr">
        <is>
          <t>MFJ</t>
        </is>
      </c>
      <c r="D194" s="22" t="n">
        <v>31500</v>
      </c>
      <c r="E194" s="22" t="n"/>
      <c r="F194" s="23" t="n"/>
      <c r="G194" s="24" t="n"/>
    </row>
    <row r="195">
      <c r="B195" s="20" t="n">
        <v>2026</v>
      </c>
      <c r="C195" s="21" t="inlineStr">
        <is>
          <t>Single</t>
        </is>
      </c>
      <c r="D195" s="22" t="n">
        <v>15750</v>
      </c>
      <c r="E195" s="22" t="n"/>
      <c r="F195" s="23" t="n"/>
      <c r="G195" s="24" t="n"/>
    </row>
    <row r="196">
      <c r="B196" s="20" t="n">
        <v>2026</v>
      </c>
      <c r="C196" s="21" t="inlineStr">
        <is>
          <t>HOH</t>
        </is>
      </c>
      <c r="D196" s="22" t="n">
        <v>22500</v>
      </c>
      <c r="E196" s="22" t="n"/>
      <c r="F196" s="23" t="n"/>
      <c r="G196" s="24" t="n"/>
    </row>
    <row r="197">
      <c r="B197" s="20" t="n">
        <v>2026</v>
      </c>
      <c r="C197" s="21" t="inlineStr">
        <is>
          <t>MFS</t>
        </is>
      </c>
      <c r="D197" s="22" t="n">
        <v>15750</v>
      </c>
      <c r="E197" s="22" t="n"/>
      <c r="F197" s="23" t="n"/>
      <c r="G197" s="24" t="n"/>
    </row>
    <row r="198">
      <c r="B198" s="20" t="n">
        <v>2027</v>
      </c>
      <c r="C198" s="21" t="inlineStr">
        <is>
          <t>MFJ</t>
        </is>
      </c>
      <c r="D198" s="22" t="n">
        <v>31500</v>
      </c>
      <c r="E198" s="22" t="n"/>
      <c r="F198" s="23" t="n"/>
      <c r="G198" s="24" t="n"/>
    </row>
    <row r="199">
      <c r="B199" s="20" t="n">
        <v>2027</v>
      </c>
      <c r="C199" s="21" t="inlineStr">
        <is>
          <t>Single</t>
        </is>
      </c>
      <c r="D199" s="22" t="n">
        <v>15750</v>
      </c>
      <c r="E199" s="22" t="n"/>
      <c r="F199" s="23" t="n"/>
      <c r="G199" s="24" t="n"/>
    </row>
    <row r="200">
      <c r="B200" s="20" t="n">
        <v>2027</v>
      </c>
      <c r="C200" s="21" t="inlineStr">
        <is>
          <t>HOH</t>
        </is>
      </c>
      <c r="D200" s="22" t="n">
        <v>22500</v>
      </c>
      <c r="E200" s="22" t="n"/>
      <c r="F200" s="23" t="n"/>
      <c r="G200" s="24" t="n"/>
    </row>
    <row r="201">
      <c r="B201" s="20" t="n">
        <v>2027</v>
      </c>
      <c r="C201" s="21" t="inlineStr">
        <is>
          <t>MFS</t>
        </is>
      </c>
      <c r="D201" s="22" t="n">
        <v>15750</v>
      </c>
      <c r="E201" s="22" t="n"/>
      <c r="F201" s="23" t="n"/>
      <c r="G201" s="24" t="n"/>
    </row>
    <row r="202">
      <c r="B202" s="20" t="n">
        <v>2028</v>
      </c>
      <c r="C202" s="21" t="inlineStr">
        <is>
          <t>MFJ</t>
        </is>
      </c>
      <c r="D202" s="22" t="n">
        <v>31500</v>
      </c>
      <c r="E202" s="22" t="n"/>
      <c r="F202" s="23" t="n"/>
      <c r="G202" s="24" t="n"/>
    </row>
    <row r="203">
      <c r="B203" s="20" t="n">
        <v>2028</v>
      </c>
      <c r="C203" s="21" t="inlineStr">
        <is>
          <t>Single</t>
        </is>
      </c>
      <c r="D203" s="22" t="n">
        <v>15750</v>
      </c>
      <c r="E203" s="22" t="n"/>
      <c r="F203" s="23" t="n"/>
      <c r="G203" s="24" t="n"/>
    </row>
    <row r="204">
      <c r="B204" s="20" t="n">
        <v>2028</v>
      </c>
      <c r="C204" s="21" t="inlineStr">
        <is>
          <t>HOH</t>
        </is>
      </c>
      <c r="D204" s="22" t="n">
        <v>22500</v>
      </c>
      <c r="E204" s="22" t="n"/>
      <c r="F204" s="23" t="n"/>
      <c r="G204" s="24" t="n"/>
    </row>
    <row r="205">
      <c r="B205" s="20" t="n">
        <v>2028</v>
      </c>
      <c r="C205" s="21" t="inlineStr">
        <is>
          <t>MFS</t>
        </is>
      </c>
      <c r="D205" s="22" t="n">
        <v>15750</v>
      </c>
      <c r="E205" s="22" t="n"/>
      <c r="F205" s="23" t="n"/>
      <c r="G205" s="24" t="n"/>
    </row>
    <row r="206">
      <c r="B206" s="100" t="n"/>
      <c r="C206" s="21" t="n"/>
      <c r="D206" s="22" t="n"/>
      <c r="E206" s="22" t="n"/>
      <c r="F206" s="23" t="n"/>
      <c r="G206" s="24" t="n"/>
    </row>
    <row r="207">
      <c r="B207" s="19" t="inlineStr">
        <is>
          <t>tblBrackets_LTCG — Long-Term Capital Gains / Qualified Dividend Brackets (2023–2028)</t>
        </is>
      </c>
      <c r="C207" s="21" t="n"/>
      <c r="D207" s="22" t="n"/>
      <c r="E207" s="22" t="n"/>
      <c r="F207" s="23" t="n"/>
      <c r="G207" s="24" t="n"/>
    </row>
    <row r="208">
      <c r="B208" s="100" t="n"/>
      <c r="C208" s="21" t="n"/>
      <c r="D208" s="22" t="n"/>
      <c r="E208" s="22" t="n"/>
      <c r="F208" s="23" t="n"/>
      <c r="G208" s="24" t="n"/>
    </row>
    <row r="209">
      <c r="B209" s="100" t="inlineStr">
        <is>
          <t>Year</t>
        </is>
      </c>
      <c r="C209" s="21" t="inlineStr">
        <is>
          <t>FilingStatus</t>
        </is>
      </c>
      <c r="D209" s="22" t="inlineStr">
        <is>
          <t>Lower</t>
        </is>
      </c>
      <c r="E209" s="22" t="inlineStr">
        <is>
          <t>Upper</t>
        </is>
      </c>
      <c r="F209" s="23" t="inlineStr">
        <is>
          <t>Rate</t>
        </is>
      </c>
      <c r="G209" s="24" t="n"/>
    </row>
    <row r="210">
      <c r="B210" s="20" t="n">
        <v>2023</v>
      </c>
      <c r="C210" s="21" t="inlineStr">
        <is>
          <t>MFJ</t>
        </is>
      </c>
      <c r="D210" s="22" t="n">
        <v>0</v>
      </c>
      <c r="E210" s="22" t="n">
        <v>96700</v>
      </c>
      <c r="F210" s="23" t="n">
        <v>0</v>
      </c>
      <c r="G210" s="24" t="n"/>
    </row>
    <row r="211">
      <c r="B211" s="20" t="n">
        <v>2023</v>
      </c>
      <c r="C211" s="21" t="inlineStr">
        <is>
          <t>MFJ</t>
        </is>
      </c>
      <c r="D211" s="22" t="n">
        <v>96700</v>
      </c>
      <c r="E211" s="22" t="n">
        <v>600050</v>
      </c>
      <c r="F211" s="23" t="n">
        <v>0.15</v>
      </c>
      <c r="G211" s="24" t="n"/>
    </row>
    <row r="212">
      <c r="B212" s="20" t="n">
        <v>2023</v>
      </c>
      <c r="C212" s="21" t="inlineStr">
        <is>
          <t>MFJ</t>
        </is>
      </c>
      <c r="D212" s="22" t="n">
        <v>600050</v>
      </c>
      <c r="E212" s="22" t="n">
        <v>9999999</v>
      </c>
      <c r="F212" s="23" t="n">
        <v>0.2</v>
      </c>
      <c r="G212" s="24" t="n"/>
    </row>
    <row r="213">
      <c r="B213" s="20" t="n">
        <v>2023</v>
      </c>
      <c r="C213" s="21" t="inlineStr">
        <is>
          <t>Single</t>
        </is>
      </c>
      <c r="D213" s="22" t="n">
        <v>0</v>
      </c>
      <c r="E213" s="22" t="n">
        <v>48350</v>
      </c>
      <c r="F213" s="23" t="n">
        <v>0</v>
      </c>
      <c r="G213" s="24" t="n"/>
    </row>
    <row r="214">
      <c r="B214" s="20" t="n">
        <v>2023</v>
      </c>
      <c r="C214" s="21" t="inlineStr">
        <is>
          <t>Single</t>
        </is>
      </c>
      <c r="D214" s="22" t="n">
        <v>48350</v>
      </c>
      <c r="E214" s="22" t="n">
        <v>533400</v>
      </c>
      <c r="F214" s="23" t="n">
        <v>0.15</v>
      </c>
      <c r="G214" s="24" t="n"/>
    </row>
    <row r="215">
      <c r="B215" s="20" t="n">
        <v>2023</v>
      </c>
      <c r="C215" s="21" t="inlineStr">
        <is>
          <t>Single</t>
        </is>
      </c>
      <c r="D215" s="22" t="n">
        <v>533400</v>
      </c>
      <c r="E215" s="22" t="n">
        <v>9999999</v>
      </c>
      <c r="F215" s="23" t="n">
        <v>0.2</v>
      </c>
      <c r="G215" s="24" t="n"/>
    </row>
    <row r="216">
      <c r="B216" s="20" t="n">
        <v>2023</v>
      </c>
      <c r="C216" s="21" t="inlineStr">
        <is>
          <t>HOH</t>
        </is>
      </c>
      <c r="D216" s="22" t="n">
        <v>0</v>
      </c>
      <c r="E216" s="22" t="n">
        <v>64750</v>
      </c>
      <c r="F216" s="23" t="n">
        <v>0</v>
      </c>
      <c r="G216" s="24" t="n"/>
    </row>
    <row r="217">
      <c r="B217" s="20" t="n">
        <v>2023</v>
      </c>
      <c r="C217" s="21" t="inlineStr">
        <is>
          <t>HOH</t>
        </is>
      </c>
      <c r="D217" s="22" t="n">
        <v>64750</v>
      </c>
      <c r="E217" s="22" t="n">
        <v>566700</v>
      </c>
      <c r="F217" s="23" t="n">
        <v>0.15</v>
      </c>
      <c r="G217" s="24" t="n"/>
    </row>
    <row r="218">
      <c r="B218" s="20" t="n">
        <v>2023</v>
      </c>
      <c r="C218" s="21" t="inlineStr">
        <is>
          <t>HOH</t>
        </is>
      </c>
      <c r="D218" s="22" t="n">
        <v>566700</v>
      </c>
      <c r="E218" s="22" t="n">
        <v>9999999</v>
      </c>
      <c r="F218" s="23" t="n">
        <v>0.2</v>
      </c>
      <c r="G218" s="24" t="n"/>
    </row>
    <row r="219">
      <c r="B219" s="20" t="n">
        <v>2023</v>
      </c>
      <c r="C219" s="21" t="inlineStr">
        <is>
          <t>MFS</t>
        </is>
      </c>
      <c r="D219" s="22" t="n">
        <v>0</v>
      </c>
      <c r="E219" s="22" t="n">
        <v>48350</v>
      </c>
      <c r="F219" s="23" t="n">
        <v>0</v>
      </c>
      <c r="G219" s="24" t="n"/>
    </row>
    <row r="220">
      <c r="B220" s="20" t="n">
        <v>2023</v>
      </c>
      <c r="C220" s="21" t="inlineStr">
        <is>
          <t>MFS</t>
        </is>
      </c>
      <c r="D220" s="22" t="n">
        <v>48350</v>
      </c>
      <c r="E220" s="22" t="n">
        <v>300025</v>
      </c>
      <c r="F220" s="23" t="n">
        <v>0.15</v>
      </c>
      <c r="G220" s="24" t="n"/>
    </row>
    <row r="221">
      <c r="B221" s="20" t="n">
        <v>2023</v>
      </c>
      <c r="C221" s="21" t="inlineStr">
        <is>
          <t>MFS</t>
        </is>
      </c>
      <c r="D221" s="22" t="n">
        <v>300025</v>
      </c>
      <c r="E221" s="22" t="n">
        <v>9999999</v>
      </c>
      <c r="F221" s="23" t="n">
        <v>0.2</v>
      </c>
      <c r="G221" s="24" t="n"/>
    </row>
    <row r="222">
      <c r="B222" s="20" t="n">
        <v>2024</v>
      </c>
      <c r="C222" s="21" t="inlineStr">
        <is>
          <t>MFJ</t>
        </is>
      </c>
      <c r="D222" s="22" t="n">
        <v>0</v>
      </c>
      <c r="E222" s="22" t="n">
        <v>96700</v>
      </c>
      <c r="F222" s="23" t="n">
        <v>0</v>
      </c>
      <c r="G222" s="24" t="n"/>
    </row>
    <row r="223">
      <c r="B223" s="20" t="n">
        <v>2024</v>
      </c>
      <c r="C223" s="21" t="inlineStr">
        <is>
          <t>MFJ</t>
        </is>
      </c>
      <c r="D223" s="22" t="n">
        <v>96700</v>
      </c>
      <c r="E223" s="22" t="n">
        <v>600050</v>
      </c>
      <c r="F223" s="23" t="n">
        <v>0.15</v>
      </c>
      <c r="G223" s="24" t="n"/>
    </row>
    <row r="224">
      <c r="B224" s="20" t="n">
        <v>2024</v>
      </c>
      <c r="C224" s="21" t="inlineStr">
        <is>
          <t>MFJ</t>
        </is>
      </c>
      <c r="D224" s="22" t="n">
        <v>600050</v>
      </c>
      <c r="E224" s="22" t="n">
        <v>9999999</v>
      </c>
      <c r="F224" s="23" t="n">
        <v>0.2</v>
      </c>
      <c r="G224" s="24" t="n"/>
    </row>
    <row r="225">
      <c r="B225" s="20" t="n">
        <v>2024</v>
      </c>
      <c r="C225" s="21" t="inlineStr">
        <is>
          <t>Single</t>
        </is>
      </c>
      <c r="D225" s="22" t="n">
        <v>0</v>
      </c>
      <c r="E225" s="22" t="n">
        <v>48350</v>
      </c>
      <c r="F225" s="23" t="n">
        <v>0</v>
      </c>
      <c r="G225" s="24" t="n"/>
    </row>
    <row r="226">
      <c r="B226" s="20" t="n">
        <v>2024</v>
      </c>
      <c r="C226" s="21" t="inlineStr">
        <is>
          <t>Single</t>
        </is>
      </c>
      <c r="D226" s="22" t="n">
        <v>48350</v>
      </c>
      <c r="E226" s="22" t="n">
        <v>533400</v>
      </c>
      <c r="F226" s="23" t="n">
        <v>0.15</v>
      </c>
      <c r="G226" s="24" t="n"/>
    </row>
    <row r="227">
      <c r="B227" s="20" t="n">
        <v>2024</v>
      </c>
      <c r="C227" s="21" t="inlineStr">
        <is>
          <t>Single</t>
        </is>
      </c>
      <c r="D227" s="22" t="n">
        <v>533400</v>
      </c>
      <c r="E227" s="22" t="n">
        <v>9999999</v>
      </c>
      <c r="F227" s="23" t="n">
        <v>0.2</v>
      </c>
      <c r="G227" s="24" t="n"/>
    </row>
    <row r="228">
      <c r="B228" s="20" t="n">
        <v>2024</v>
      </c>
      <c r="C228" s="21" t="inlineStr">
        <is>
          <t>HOH</t>
        </is>
      </c>
      <c r="D228" s="22" t="n">
        <v>0</v>
      </c>
      <c r="E228" s="22" t="n">
        <v>64750</v>
      </c>
      <c r="F228" s="23" t="n">
        <v>0</v>
      </c>
      <c r="G228" s="24" t="n"/>
    </row>
    <row r="229">
      <c r="B229" s="20" t="n">
        <v>2024</v>
      </c>
      <c r="C229" s="21" t="inlineStr">
        <is>
          <t>HOH</t>
        </is>
      </c>
      <c r="D229" s="22" t="n">
        <v>64750</v>
      </c>
      <c r="E229" s="22" t="n">
        <v>566700</v>
      </c>
      <c r="F229" s="23" t="n">
        <v>0.15</v>
      </c>
      <c r="G229" s="24" t="n"/>
    </row>
    <row r="230">
      <c r="B230" s="20" t="n">
        <v>2024</v>
      </c>
      <c r="C230" s="21" t="inlineStr">
        <is>
          <t>HOH</t>
        </is>
      </c>
      <c r="D230" s="22" t="n">
        <v>566700</v>
      </c>
      <c r="E230" s="22" t="n">
        <v>9999999</v>
      </c>
      <c r="F230" s="23" t="n">
        <v>0.2</v>
      </c>
      <c r="G230" s="24" t="n"/>
    </row>
    <row r="231">
      <c r="B231" s="20" t="n">
        <v>2024</v>
      </c>
      <c r="C231" s="21" t="inlineStr">
        <is>
          <t>MFS</t>
        </is>
      </c>
      <c r="D231" s="22" t="n">
        <v>0</v>
      </c>
      <c r="E231" s="22" t="n">
        <v>48350</v>
      </c>
      <c r="F231" s="23" t="n">
        <v>0</v>
      </c>
      <c r="G231" s="24" t="n"/>
    </row>
    <row r="232">
      <c r="B232" s="20" t="n">
        <v>2024</v>
      </c>
      <c r="C232" s="21" t="inlineStr">
        <is>
          <t>MFS</t>
        </is>
      </c>
      <c r="D232" s="22" t="n">
        <v>48350</v>
      </c>
      <c r="E232" s="22" t="n">
        <v>300025</v>
      </c>
      <c r="F232" s="23" t="n">
        <v>0.15</v>
      </c>
      <c r="G232" s="24" t="n"/>
    </row>
    <row r="233">
      <c r="B233" s="20" t="n">
        <v>2024</v>
      </c>
      <c r="C233" s="21" t="inlineStr">
        <is>
          <t>MFS</t>
        </is>
      </c>
      <c r="D233" s="22" t="n">
        <v>300025</v>
      </c>
      <c r="E233" s="22" t="n">
        <v>9999999</v>
      </c>
      <c r="F233" s="23" t="n">
        <v>0.2</v>
      </c>
      <c r="G233" s="24" t="n"/>
    </row>
    <row r="234">
      <c r="B234" s="20" t="n">
        <v>2025</v>
      </c>
      <c r="C234" s="21" t="inlineStr">
        <is>
          <t>MFJ</t>
        </is>
      </c>
      <c r="D234" s="22" t="n">
        <v>0</v>
      </c>
      <c r="E234" s="22" t="n">
        <v>96700</v>
      </c>
      <c r="F234" s="23" t="n">
        <v>0</v>
      </c>
      <c r="G234" s="24" t="n"/>
    </row>
    <row r="235">
      <c r="B235" s="20" t="n">
        <v>2025</v>
      </c>
      <c r="C235" s="21" t="inlineStr">
        <is>
          <t>MFJ</t>
        </is>
      </c>
      <c r="D235" s="22" t="n">
        <v>96700</v>
      </c>
      <c r="E235" s="22" t="n">
        <v>600050</v>
      </c>
      <c r="F235" s="23" t="n">
        <v>0.15</v>
      </c>
      <c r="G235" s="24" t="n"/>
    </row>
    <row r="236">
      <c r="B236" s="20" t="n">
        <v>2025</v>
      </c>
      <c r="C236" s="21" t="inlineStr">
        <is>
          <t>MFJ</t>
        </is>
      </c>
      <c r="D236" s="22" t="n">
        <v>600050</v>
      </c>
      <c r="E236" s="22" t="n">
        <v>9999999</v>
      </c>
      <c r="F236" s="23" t="n">
        <v>0.2</v>
      </c>
      <c r="G236" s="24" t="n"/>
    </row>
    <row r="237">
      <c r="B237" s="20" t="n">
        <v>2025</v>
      </c>
      <c r="C237" s="21" t="inlineStr">
        <is>
          <t>Single</t>
        </is>
      </c>
      <c r="D237" s="22" t="n">
        <v>0</v>
      </c>
      <c r="E237" s="22" t="n">
        <v>48350</v>
      </c>
      <c r="F237" s="23" t="n">
        <v>0</v>
      </c>
      <c r="G237" s="24" t="n"/>
    </row>
    <row r="238">
      <c r="B238" s="20" t="n">
        <v>2025</v>
      </c>
      <c r="C238" s="21" t="inlineStr">
        <is>
          <t>Single</t>
        </is>
      </c>
      <c r="D238" s="22" t="n">
        <v>48350</v>
      </c>
      <c r="E238" s="22" t="n">
        <v>533400</v>
      </c>
      <c r="F238" s="23" t="n">
        <v>0.15</v>
      </c>
      <c r="G238" s="24" t="n"/>
    </row>
    <row r="239">
      <c r="B239" s="20" t="n">
        <v>2025</v>
      </c>
      <c r="C239" s="21" t="inlineStr">
        <is>
          <t>Single</t>
        </is>
      </c>
      <c r="D239" s="22" t="n">
        <v>533400</v>
      </c>
      <c r="E239" s="22" t="n">
        <v>9999999</v>
      </c>
      <c r="F239" s="23" t="n">
        <v>0.2</v>
      </c>
      <c r="G239" s="24" t="n"/>
    </row>
    <row r="240">
      <c r="B240" s="20" t="n">
        <v>2025</v>
      </c>
      <c r="C240" s="21" t="inlineStr">
        <is>
          <t>HOH</t>
        </is>
      </c>
      <c r="D240" s="22" t="n">
        <v>0</v>
      </c>
      <c r="E240" s="22" t="n">
        <v>64750</v>
      </c>
      <c r="F240" s="23" t="n">
        <v>0</v>
      </c>
      <c r="G240" s="24" t="n"/>
    </row>
    <row r="241">
      <c r="B241" s="20" t="n">
        <v>2025</v>
      </c>
      <c r="C241" s="21" t="inlineStr">
        <is>
          <t>HOH</t>
        </is>
      </c>
      <c r="D241" s="22" t="n">
        <v>64750</v>
      </c>
      <c r="E241" s="22" t="n">
        <v>566700</v>
      </c>
      <c r="F241" s="23" t="n">
        <v>0.15</v>
      </c>
      <c r="G241" s="24" t="n"/>
    </row>
    <row r="242">
      <c r="B242" s="20" t="n">
        <v>2025</v>
      </c>
      <c r="C242" s="21" t="inlineStr">
        <is>
          <t>HOH</t>
        </is>
      </c>
      <c r="D242" s="22" t="n">
        <v>566700</v>
      </c>
      <c r="E242" s="22" t="n">
        <v>9999999</v>
      </c>
      <c r="F242" s="23" t="n">
        <v>0.2</v>
      </c>
      <c r="G242" s="24" t="n"/>
    </row>
    <row r="243">
      <c r="B243" s="20" t="n">
        <v>2025</v>
      </c>
      <c r="C243" s="21" t="inlineStr">
        <is>
          <t>MFS</t>
        </is>
      </c>
      <c r="D243" s="22" t="n">
        <v>0</v>
      </c>
      <c r="E243" s="22" t="n">
        <v>48350</v>
      </c>
      <c r="F243" s="23" t="n">
        <v>0</v>
      </c>
      <c r="G243" s="24" t="n"/>
    </row>
    <row r="244">
      <c r="B244" s="20" t="n">
        <v>2025</v>
      </c>
      <c r="C244" s="21" t="inlineStr">
        <is>
          <t>MFS</t>
        </is>
      </c>
      <c r="D244" s="22" t="n">
        <v>48350</v>
      </c>
      <c r="E244" s="22" t="n">
        <v>300025</v>
      </c>
      <c r="F244" s="23" t="n">
        <v>0.15</v>
      </c>
      <c r="G244" s="24" t="n"/>
    </row>
    <row r="245">
      <c r="B245" s="20" t="n">
        <v>2025</v>
      </c>
      <c r="C245" s="21" t="inlineStr">
        <is>
          <t>MFS</t>
        </is>
      </c>
      <c r="D245" s="22" t="n">
        <v>300025</v>
      </c>
      <c r="E245" s="22" t="n">
        <v>9999999</v>
      </c>
      <c r="F245" s="23" t="n">
        <v>0.2</v>
      </c>
      <c r="G245" s="24" t="n"/>
    </row>
    <row r="246">
      <c r="B246" s="20" t="n">
        <v>2026</v>
      </c>
      <c r="C246" s="21" t="inlineStr">
        <is>
          <t>MFJ</t>
        </is>
      </c>
      <c r="D246" s="22" t="n">
        <v>0</v>
      </c>
      <c r="E246" s="22" t="n">
        <v>96700</v>
      </c>
      <c r="F246" s="23" t="n">
        <v>0</v>
      </c>
      <c r="G246" s="24" t="n"/>
    </row>
    <row r="247">
      <c r="B247" s="20" t="n">
        <v>2026</v>
      </c>
      <c r="C247" s="21" t="inlineStr">
        <is>
          <t>MFJ</t>
        </is>
      </c>
      <c r="D247" s="22" t="n">
        <v>96700</v>
      </c>
      <c r="E247" s="22" t="n">
        <v>600050</v>
      </c>
      <c r="F247" s="23" t="n">
        <v>0.15</v>
      </c>
      <c r="G247" s="24" t="n"/>
    </row>
    <row r="248">
      <c r="B248" s="20" t="n">
        <v>2026</v>
      </c>
      <c r="C248" s="21" t="inlineStr">
        <is>
          <t>MFJ</t>
        </is>
      </c>
      <c r="D248" s="22" t="n">
        <v>600050</v>
      </c>
      <c r="E248" s="22" t="n">
        <v>9999999</v>
      </c>
      <c r="F248" s="23" t="n">
        <v>0.2</v>
      </c>
      <c r="G248" s="24" t="n"/>
    </row>
    <row r="249">
      <c r="B249" s="20" t="n">
        <v>2026</v>
      </c>
      <c r="C249" s="21" t="inlineStr">
        <is>
          <t>Single</t>
        </is>
      </c>
      <c r="D249" s="22" t="n">
        <v>0</v>
      </c>
      <c r="E249" s="22" t="n">
        <v>48350</v>
      </c>
      <c r="F249" s="23" t="n">
        <v>0</v>
      </c>
      <c r="G249" s="24" t="n"/>
    </row>
    <row r="250">
      <c r="B250" s="20" t="n">
        <v>2026</v>
      </c>
      <c r="C250" s="21" t="inlineStr">
        <is>
          <t>Single</t>
        </is>
      </c>
      <c r="D250" s="22" t="n">
        <v>48350</v>
      </c>
      <c r="E250" s="22" t="n">
        <v>533400</v>
      </c>
      <c r="F250" s="23" t="n">
        <v>0.15</v>
      </c>
      <c r="G250" s="24" t="n"/>
    </row>
    <row r="251">
      <c r="B251" s="20" t="n">
        <v>2026</v>
      </c>
      <c r="C251" s="21" t="inlineStr">
        <is>
          <t>Single</t>
        </is>
      </c>
      <c r="D251" s="22" t="n">
        <v>533400</v>
      </c>
      <c r="E251" s="22" t="n">
        <v>9999999</v>
      </c>
      <c r="F251" s="23" t="n">
        <v>0.2</v>
      </c>
      <c r="G251" s="24" t="n"/>
    </row>
    <row r="252">
      <c r="B252" s="20" t="n">
        <v>2026</v>
      </c>
      <c r="C252" s="21" t="inlineStr">
        <is>
          <t>HOH</t>
        </is>
      </c>
      <c r="D252" s="22" t="n">
        <v>0</v>
      </c>
      <c r="E252" s="22" t="n">
        <v>64750</v>
      </c>
      <c r="F252" s="23" t="n">
        <v>0</v>
      </c>
      <c r="G252" s="24" t="n"/>
    </row>
    <row r="253">
      <c r="B253" s="20" t="n">
        <v>2026</v>
      </c>
      <c r="C253" s="21" t="inlineStr">
        <is>
          <t>HOH</t>
        </is>
      </c>
      <c r="D253" s="22" t="n">
        <v>64750</v>
      </c>
      <c r="E253" s="22" t="n">
        <v>566700</v>
      </c>
      <c r="F253" s="23" t="n">
        <v>0.15</v>
      </c>
      <c r="G253" s="24" t="n"/>
    </row>
    <row r="254">
      <c r="B254" s="20" t="n">
        <v>2026</v>
      </c>
      <c r="C254" s="21" t="inlineStr">
        <is>
          <t>HOH</t>
        </is>
      </c>
      <c r="D254" s="22" t="n">
        <v>566700</v>
      </c>
      <c r="E254" s="22" t="n">
        <v>9999999</v>
      </c>
      <c r="F254" s="23" t="n">
        <v>0.2</v>
      </c>
      <c r="G254" s="24" t="n"/>
    </row>
    <row r="255">
      <c r="B255" s="20" t="n">
        <v>2026</v>
      </c>
      <c r="C255" s="21" t="inlineStr">
        <is>
          <t>MFS</t>
        </is>
      </c>
      <c r="D255" s="22" t="n">
        <v>0</v>
      </c>
      <c r="E255" s="22" t="n">
        <v>48350</v>
      </c>
      <c r="F255" s="23" t="n">
        <v>0</v>
      </c>
      <c r="G255" s="24" t="n"/>
    </row>
    <row r="256">
      <c r="B256" s="20" t="n">
        <v>2026</v>
      </c>
      <c r="C256" s="21" t="inlineStr">
        <is>
          <t>MFS</t>
        </is>
      </c>
      <c r="D256" s="22" t="n">
        <v>48350</v>
      </c>
      <c r="E256" s="22" t="n">
        <v>300025</v>
      </c>
      <c r="F256" s="23" t="n">
        <v>0.15</v>
      </c>
      <c r="G256" s="24" t="n"/>
    </row>
    <row r="257">
      <c r="B257" s="20" t="n">
        <v>2026</v>
      </c>
      <c r="C257" s="21" t="inlineStr">
        <is>
          <t>MFS</t>
        </is>
      </c>
      <c r="D257" s="22" t="n">
        <v>300025</v>
      </c>
      <c r="E257" s="22" t="n">
        <v>9999999</v>
      </c>
      <c r="F257" s="23" t="n">
        <v>0.2</v>
      </c>
      <c r="G257" s="24" t="n"/>
    </row>
    <row r="258">
      <c r="B258" s="20" t="n">
        <v>2027</v>
      </c>
      <c r="C258" s="21" t="inlineStr">
        <is>
          <t>MFJ</t>
        </is>
      </c>
      <c r="D258" s="22" t="n">
        <v>0</v>
      </c>
      <c r="E258" s="22" t="n">
        <v>96700</v>
      </c>
      <c r="F258" s="23" t="n">
        <v>0</v>
      </c>
      <c r="G258" s="24" t="n"/>
    </row>
    <row r="259">
      <c r="B259" s="20" t="n">
        <v>2027</v>
      </c>
      <c r="C259" s="21" t="inlineStr">
        <is>
          <t>MFJ</t>
        </is>
      </c>
      <c r="D259" s="22" t="n">
        <v>96700</v>
      </c>
      <c r="E259" s="22" t="n">
        <v>600050</v>
      </c>
      <c r="F259" s="23" t="n">
        <v>0.15</v>
      </c>
      <c r="G259" s="24" t="n"/>
    </row>
    <row r="260">
      <c r="B260" s="20" t="n">
        <v>2027</v>
      </c>
      <c r="C260" s="21" t="inlineStr">
        <is>
          <t>MFJ</t>
        </is>
      </c>
      <c r="D260" s="22" t="n">
        <v>600050</v>
      </c>
      <c r="E260" s="22" t="n">
        <v>9999999</v>
      </c>
      <c r="F260" s="23" t="n">
        <v>0.2</v>
      </c>
      <c r="G260" s="24" t="n"/>
    </row>
    <row r="261">
      <c r="B261" s="20" t="n">
        <v>2027</v>
      </c>
      <c r="C261" s="21" t="inlineStr">
        <is>
          <t>Single</t>
        </is>
      </c>
      <c r="D261" s="22" t="n">
        <v>0</v>
      </c>
      <c r="E261" s="22" t="n">
        <v>48350</v>
      </c>
      <c r="F261" s="23" t="n">
        <v>0</v>
      </c>
      <c r="G261" s="24" t="n"/>
    </row>
    <row r="262">
      <c r="B262" s="20" t="n">
        <v>2027</v>
      </c>
      <c r="C262" s="21" t="inlineStr">
        <is>
          <t>Single</t>
        </is>
      </c>
      <c r="D262" s="22" t="n">
        <v>48350</v>
      </c>
      <c r="E262" s="22" t="n">
        <v>533400</v>
      </c>
      <c r="F262" s="23" t="n">
        <v>0.15</v>
      </c>
      <c r="G262" s="24" t="n"/>
    </row>
    <row r="263">
      <c r="B263" s="20" t="n">
        <v>2027</v>
      </c>
      <c r="C263" s="21" t="inlineStr">
        <is>
          <t>Single</t>
        </is>
      </c>
      <c r="D263" s="22" t="n">
        <v>533400</v>
      </c>
      <c r="E263" s="22" t="n">
        <v>9999999</v>
      </c>
      <c r="F263" s="23" t="n">
        <v>0.2</v>
      </c>
      <c r="G263" s="24" t="n"/>
    </row>
    <row r="264">
      <c r="B264" s="20" t="n">
        <v>2027</v>
      </c>
      <c r="C264" s="21" t="inlineStr">
        <is>
          <t>HOH</t>
        </is>
      </c>
      <c r="D264" s="22" t="n">
        <v>0</v>
      </c>
      <c r="E264" s="22" t="n">
        <v>64750</v>
      </c>
      <c r="F264" s="23" t="n">
        <v>0</v>
      </c>
      <c r="G264" s="24" t="n"/>
    </row>
    <row r="265">
      <c r="B265" s="20" t="n">
        <v>2027</v>
      </c>
      <c r="C265" s="21" t="inlineStr">
        <is>
          <t>HOH</t>
        </is>
      </c>
      <c r="D265" s="22" t="n">
        <v>64750</v>
      </c>
      <c r="E265" s="22" t="n">
        <v>566700</v>
      </c>
      <c r="F265" s="23" t="n">
        <v>0.15</v>
      </c>
      <c r="G265" s="24" t="n"/>
    </row>
    <row r="266">
      <c r="B266" s="20" t="n">
        <v>2027</v>
      </c>
      <c r="C266" s="21" t="inlineStr">
        <is>
          <t>HOH</t>
        </is>
      </c>
      <c r="D266" s="22" t="n">
        <v>566700</v>
      </c>
      <c r="E266" s="22" t="n">
        <v>9999999</v>
      </c>
      <c r="F266" s="23" t="n">
        <v>0.2</v>
      </c>
      <c r="G266" s="24" t="n"/>
    </row>
    <row r="267">
      <c r="B267" s="20" t="n">
        <v>2027</v>
      </c>
      <c r="C267" s="21" t="inlineStr">
        <is>
          <t>MFS</t>
        </is>
      </c>
      <c r="D267" s="22" t="n">
        <v>0</v>
      </c>
      <c r="E267" s="22" t="n">
        <v>48350</v>
      </c>
      <c r="F267" s="23" t="n">
        <v>0</v>
      </c>
      <c r="G267" s="24" t="n"/>
    </row>
    <row r="268">
      <c r="B268" s="20" t="n">
        <v>2027</v>
      </c>
      <c r="C268" s="21" t="inlineStr">
        <is>
          <t>MFS</t>
        </is>
      </c>
      <c r="D268" s="22" t="n">
        <v>48350</v>
      </c>
      <c r="E268" s="22" t="n">
        <v>300025</v>
      </c>
      <c r="F268" s="23" t="n">
        <v>0.15</v>
      </c>
      <c r="G268" s="24" t="n"/>
    </row>
    <row r="269">
      <c r="B269" s="20" t="n">
        <v>2027</v>
      </c>
      <c r="C269" s="21" t="inlineStr">
        <is>
          <t>MFS</t>
        </is>
      </c>
      <c r="D269" s="22" t="n">
        <v>300025</v>
      </c>
      <c r="E269" s="22" t="n">
        <v>9999999</v>
      </c>
      <c r="F269" s="23" t="n">
        <v>0.2</v>
      </c>
      <c r="G269" s="24" t="n"/>
    </row>
    <row r="270">
      <c r="B270" s="20" t="n">
        <v>2028</v>
      </c>
      <c r="C270" s="21" t="inlineStr">
        <is>
          <t>MFJ</t>
        </is>
      </c>
      <c r="D270" s="22" t="n">
        <v>0</v>
      </c>
      <c r="E270" s="22" t="n">
        <v>96700</v>
      </c>
      <c r="F270" s="23" t="n">
        <v>0</v>
      </c>
      <c r="G270" s="24" t="n"/>
    </row>
    <row r="271">
      <c r="B271" s="20" t="n">
        <v>2028</v>
      </c>
      <c r="C271" s="21" t="inlineStr">
        <is>
          <t>MFJ</t>
        </is>
      </c>
      <c r="D271" s="22" t="n">
        <v>96700</v>
      </c>
      <c r="E271" s="22" t="n">
        <v>600050</v>
      </c>
      <c r="F271" s="23" t="n">
        <v>0.15</v>
      </c>
      <c r="G271" s="24" t="n"/>
    </row>
    <row r="272">
      <c r="B272" s="20" t="n">
        <v>2028</v>
      </c>
      <c r="C272" s="21" t="inlineStr">
        <is>
          <t>MFJ</t>
        </is>
      </c>
      <c r="D272" s="22" t="n">
        <v>600050</v>
      </c>
      <c r="E272" s="22" t="n">
        <v>9999999</v>
      </c>
      <c r="F272" s="23" t="n">
        <v>0.2</v>
      </c>
      <c r="G272" s="24" t="n"/>
    </row>
    <row r="273">
      <c r="B273" s="20" t="n">
        <v>2028</v>
      </c>
      <c r="C273" s="21" t="inlineStr">
        <is>
          <t>Single</t>
        </is>
      </c>
      <c r="D273" s="100" t="n">
        <v>0</v>
      </c>
      <c r="E273" s="100" t="n">
        <v>48350</v>
      </c>
      <c r="F273" s="23" t="n">
        <v>0</v>
      </c>
    </row>
    <row r="274">
      <c r="B274" s="20" t="n">
        <v>2028</v>
      </c>
      <c r="C274" s="21" t="inlineStr">
        <is>
          <t>Single</t>
        </is>
      </c>
      <c r="D274" s="100" t="n">
        <v>48350</v>
      </c>
      <c r="E274" s="100" t="n">
        <v>533400</v>
      </c>
      <c r="F274" s="23" t="n">
        <v>0.15</v>
      </c>
    </row>
    <row r="275">
      <c r="B275" s="20" t="n">
        <v>2028</v>
      </c>
      <c r="C275" s="21" t="inlineStr">
        <is>
          <t>Single</t>
        </is>
      </c>
      <c r="D275" s="100" t="n">
        <v>533400</v>
      </c>
      <c r="E275" s="100" t="n">
        <v>9999999</v>
      </c>
      <c r="F275" s="23" t="n">
        <v>0.2</v>
      </c>
    </row>
    <row r="276">
      <c r="B276" s="20" t="n">
        <v>2028</v>
      </c>
      <c r="C276" s="21" t="inlineStr">
        <is>
          <t>HOH</t>
        </is>
      </c>
      <c r="D276" s="100" t="n">
        <v>0</v>
      </c>
      <c r="E276" s="100" t="n">
        <v>64750</v>
      </c>
      <c r="F276" s="23" t="n">
        <v>0</v>
      </c>
    </row>
    <row r="277">
      <c r="B277" s="20" t="n">
        <v>2028</v>
      </c>
      <c r="C277" s="21" t="inlineStr">
        <is>
          <t>HOH</t>
        </is>
      </c>
      <c r="D277" s="100" t="n">
        <v>64750</v>
      </c>
      <c r="E277" s="100" t="n">
        <v>566700</v>
      </c>
      <c r="F277" s="23" t="n">
        <v>0.15</v>
      </c>
    </row>
    <row r="278">
      <c r="B278" s="20" t="n">
        <v>2028</v>
      </c>
      <c r="C278" s="21" t="inlineStr">
        <is>
          <t>HOH</t>
        </is>
      </c>
      <c r="D278" s="100" t="n">
        <v>566700</v>
      </c>
      <c r="E278" s="100" t="n">
        <v>9999999</v>
      </c>
      <c r="F278" s="23" t="n">
        <v>0.2</v>
      </c>
    </row>
    <row r="279">
      <c r="B279" s="20" t="n">
        <v>2028</v>
      </c>
      <c r="C279" s="21" t="inlineStr">
        <is>
          <t>MFS</t>
        </is>
      </c>
      <c r="D279" s="100" t="n">
        <v>0</v>
      </c>
      <c r="E279" s="100" t="n">
        <v>48350</v>
      </c>
      <c r="F279" s="23" t="n">
        <v>0</v>
      </c>
    </row>
    <row r="280">
      <c r="B280" s="20" t="n">
        <v>2028</v>
      </c>
      <c r="C280" s="21" t="inlineStr">
        <is>
          <t>MFS</t>
        </is>
      </c>
      <c r="D280" s="100" t="n">
        <v>48350</v>
      </c>
      <c r="E280" s="100" t="n">
        <v>300025</v>
      </c>
      <c r="F280" s="23" t="n">
        <v>0.15</v>
      </c>
    </row>
    <row r="281">
      <c r="B281" s="20" t="n">
        <v>2028</v>
      </c>
      <c r="C281" s="21" t="inlineStr">
        <is>
          <t>MFS</t>
        </is>
      </c>
      <c r="D281" s="100" t="n">
        <v>300025</v>
      </c>
      <c r="E281" s="100" t="n">
        <v>9999999</v>
      </c>
      <c r="F281" s="23" t="n">
        <v>0.2</v>
      </c>
    </row>
    <row r="284">
      <c r="B284" s="1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0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0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0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0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0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0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0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0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0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0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0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0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0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0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0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0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0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0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0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0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0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0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0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0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0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0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0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0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0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0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0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0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0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0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0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0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0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0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0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0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0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0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0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0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0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0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0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0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0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0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0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0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0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0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0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0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0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0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0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0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0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0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0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0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0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0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0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0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0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0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0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0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0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0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0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0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0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0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0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0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0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0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0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0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0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0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0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0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0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0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0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0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0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0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0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0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0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0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0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0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0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0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0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0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0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0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0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0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0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0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0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0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0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0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0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0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0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0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0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0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0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0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0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0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0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0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0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0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0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0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0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0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0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0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0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0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0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0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0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0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0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0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0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0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0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0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0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0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0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0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0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0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0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0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0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0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0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0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0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0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0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0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0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0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0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0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0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0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0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0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0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0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0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0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0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0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0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0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0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0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0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0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0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0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0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0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0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0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0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0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0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0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0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0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0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0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0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0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0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0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0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0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0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0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0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0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0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0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0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0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0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0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0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0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0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0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0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0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0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0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0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0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0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0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0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0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0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0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0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0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0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0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0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0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0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0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0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0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0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0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0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0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0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0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0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0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0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0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0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0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0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0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0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0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0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0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0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0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0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0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0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0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0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0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0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0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0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0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0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0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0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0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0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0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0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0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0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0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0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0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0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0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0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0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0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0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0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0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6">
      <c r="B576" s="13" t="inlineStr">
        <is>
          <t>tblTreatmentProfileMap — Treatment Profile → Tax Classification Mapping</t>
        </is>
      </c>
    </row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  <row r="615">
      <c r="B615" s="161" t="inlineStr">
        <is>
          <t>STATE TAX RATES + PTET ELIGIBILITY (2024)</t>
        </is>
      </c>
    </row>
    <row r="616">
      <c r="B616" s="192" t="inlineStr">
        <is>
          <t>Top marginal rate by state + whether PTET (pass-through entity tax) election is available. Update annually as PTET landscape changes.</t>
        </is>
      </c>
    </row>
    <row r="618">
      <c r="B618" s="145" t="inlineStr">
        <is>
          <t>State</t>
        </is>
      </c>
      <c r="C618" s="145" t="inlineStr">
        <is>
          <t>Top_Marginal_Rate</t>
        </is>
      </c>
      <c r="D618" s="145" t="inlineStr">
        <is>
          <t>Has_PTET</t>
        </is>
      </c>
      <c r="E618" s="145" t="inlineStr">
        <is>
          <t>PTET_Rate</t>
        </is>
      </c>
      <c r="F618" s="145" t="inlineStr">
        <is>
          <t>Notes</t>
        </is>
      </c>
    </row>
    <row r="619">
      <c r="B619" s="158" t="inlineStr">
        <is>
          <t>AL</t>
        </is>
      </c>
      <c r="C619" s="193" t="n">
        <v>0.05</v>
      </c>
      <c r="D619" s="158" t="inlineStr">
        <is>
          <t>Yes</t>
        </is>
      </c>
      <c r="E619" s="193" t="n">
        <v>0.05</v>
      </c>
      <c r="F619" s="194" t="inlineStr">
        <is>
          <t>PTET election available</t>
        </is>
      </c>
    </row>
    <row r="620">
      <c r="B620" s="158" t="inlineStr">
        <is>
          <t>AK</t>
        </is>
      </c>
      <c r="C620" s="193" t="n">
        <v>0</v>
      </c>
      <c r="D620" s="158" t="inlineStr">
        <is>
          <t>No</t>
        </is>
      </c>
      <c r="E620" s="195" t="n"/>
      <c r="F620" s="194" t="inlineStr">
        <is>
          <t>No state income tax</t>
        </is>
      </c>
    </row>
    <row r="621">
      <c r="B621" s="158" t="inlineStr">
        <is>
          <t>AZ</t>
        </is>
      </c>
      <c r="C621" s="193" t="n">
        <v>0.025</v>
      </c>
      <c r="D621" s="158" t="inlineStr">
        <is>
          <t>Yes</t>
        </is>
      </c>
      <c r="E621" s="193" t="n">
        <v>0.025</v>
      </c>
      <c r="F621" s="194" t="inlineStr">
        <is>
          <t>Flat 2.5%; PTET election available</t>
        </is>
      </c>
    </row>
    <row r="622">
      <c r="B622" s="158" t="inlineStr">
        <is>
          <t>AR</t>
        </is>
      </c>
      <c r="C622" s="193" t="n">
        <v>0.044</v>
      </c>
      <c r="D622" s="158" t="inlineStr">
        <is>
          <t>Yes</t>
        </is>
      </c>
      <c r="E622" s="193" t="n">
        <v>0.044</v>
      </c>
      <c r="F622" s="194" t="inlineStr">
        <is>
          <t>PTET election available</t>
        </is>
      </c>
    </row>
    <row r="623">
      <c r="B623" s="158" t="inlineStr">
        <is>
          <t>CA</t>
        </is>
      </c>
      <c r="C623" s="193" t="n">
        <v>0.133</v>
      </c>
      <c r="D623" s="158" t="inlineStr">
        <is>
          <t>Yes</t>
        </is>
      </c>
      <c r="E623" s="193" t="n">
        <v>0.093</v>
      </c>
      <c r="F623" s="194" t="inlineStr">
        <is>
          <t>13.3% top rate (12.3% + 1% mental health surtax over $1M); PTET 9.3%</t>
        </is>
      </c>
    </row>
    <row r="624">
      <c r="B624" s="158" t="inlineStr">
        <is>
          <t>CO</t>
        </is>
      </c>
      <c r="C624" s="193" t="n">
        <v>0.044</v>
      </c>
      <c r="D624" s="158" t="inlineStr">
        <is>
          <t>Yes</t>
        </is>
      </c>
      <c r="E624" s="193" t="n">
        <v>0.044</v>
      </c>
      <c r="F624" s="194" t="inlineStr">
        <is>
          <t>Flat 4.4%; PTET election available</t>
        </is>
      </c>
    </row>
    <row r="625">
      <c r="B625" s="158" t="inlineStr">
        <is>
          <t>CT</t>
        </is>
      </c>
      <c r="C625" s="193" t="n">
        <v>0.0699</v>
      </c>
      <c r="D625" s="158" t="inlineStr">
        <is>
          <t>Yes</t>
        </is>
      </c>
      <c r="E625" s="193" t="n">
        <v>0.0699</v>
      </c>
      <c r="F625" s="194" t="inlineStr">
        <is>
          <t>PTET mandatory; election to opt out as of 2024</t>
        </is>
      </c>
    </row>
    <row r="626">
      <c r="B626" s="158" t="inlineStr">
        <is>
          <t>DE</t>
        </is>
      </c>
      <c r="C626" s="193" t="n">
        <v>0.066</v>
      </c>
      <c r="D626" s="158" t="inlineStr">
        <is>
          <t>Yes</t>
        </is>
      </c>
      <c r="E626" s="193" t="n">
        <v>0.066</v>
      </c>
      <c r="F626" s="194" t="inlineStr">
        <is>
          <t>PTET election available</t>
        </is>
      </c>
    </row>
    <row r="627">
      <c r="B627" s="158" t="inlineStr">
        <is>
          <t>DC</t>
        </is>
      </c>
      <c r="C627" s="193" t="n">
        <v>0.1075</v>
      </c>
      <c r="D627" s="158" t="inlineStr">
        <is>
          <t>No</t>
        </is>
      </c>
      <c r="E627" s="195" t="n"/>
      <c r="F627" s="194" t="inlineStr">
        <is>
          <t>No PTET as of 2024</t>
        </is>
      </c>
    </row>
    <row r="628">
      <c r="B628" s="158" t="inlineStr">
        <is>
          <t>FL</t>
        </is>
      </c>
      <c r="C628" s="193" t="n">
        <v>0</v>
      </c>
      <c r="D628" s="158" t="inlineStr">
        <is>
          <t>No</t>
        </is>
      </c>
      <c r="E628" s="195" t="n"/>
      <c r="F628" s="194" t="inlineStr">
        <is>
          <t>No state personal income tax</t>
        </is>
      </c>
    </row>
    <row r="629">
      <c r="B629" s="158" t="inlineStr">
        <is>
          <t>GA</t>
        </is>
      </c>
      <c r="C629" s="193" t="n">
        <v>0.0539</v>
      </c>
      <c r="D629" s="158" t="inlineStr">
        <is>
          <t>Yes</t>
        </is>
      </c>
      <c r="E629" s="193" t="n">
        <v>0.0539</v>
      </c>
      <c r="F629" s="194" t="inlineStr">
        <is>
          <t>PTET election available</t>
        </is>
      </c>
    </row>
    <row r="630">
      <c r="B630" s="158" t="inlineStr">
        <is>
          <t>HI</t>
        </is>
      </c>
      <c r="C630" s="193" t="n">
        <v>0.11</v>
      </c>
      <c r="D630" s="158" t="inlineStr">
        <is>
          <t>Yes</t>
        </is>
      </c>
      <c r="E630" s="193" t="n">
        <v>0.11</v>
      </c>
      <c r="F630" s="194" t="inlineStr">
        <is>
          <t>PTET election available</t>
        </is>
      </c>
    </row>
    <row r="631">
      <c r="B631" s="158" t="inlineStr">
        <is>
          <t>ID</t>
        </is>
      </c>
      <c r="C631" s="193" t="n">
        <v>0.058</v>
      </c>
      <c r="D631" s="158" t="inlineStr">
        <is>
          <t>Yes</t>
        </is>
      </c>
      <c r="E631" s="193" t="n">
        <v>0.058</v>
      </c>
      <c r="F631" s="194" t="inlineStr">
        <is>
          <t>Flat 5.8%; PTET election available</t>
        </is>
      </c>
    </row>
    <row r="632">
      <c r="B632" s="158" t="inlineStr">
        <is>
          <t>IL</t>
        </is>
      </c>
      <c r="C632" s="193" t="n">
        <v>0.0495</v>
      </c>
      <c r="D632" s="158" t="inlineStr">
        <is>
          <t>Yes</t>
        </is>
      </c>
      <c r="E632" s="193" t="n">
        <v>0.0495</v>
      </c>
      <c r="F632" s="194" t="inlineStr">
        <is>
          <t>PTET election available</t>
        </is>
      </c>
    </row>
    <row r="633">
      <c r="B633" s="158" t="inlineStr">
        <is>
          <t>IN</t>
        </is>
      </c>
      <c r="C633" s="193" t="n">
        <v>0.0315</v>
      </c>
      <c r="D633" s="158" t="inlineStr">
        <is>
          <t>Yes</t>
        </is>
      </c>
      <c r="E633" s="193" t="n">
        <v>0.0315</v>
      </c>
      <c r="F633" s="194" t="inlineStr">
        <is>
          <t>PTET election available</t>
        </is>
      </c>
    </row>
    <row r="634">
      <c r="B634" s="158" t="inlineStr">
        <is>
          <t>IA</t>
        </is>
      </c>
      <c r="C634" s="193" t="n">
        <v>0.059</v>
      </c>
      <c r="D634" s="158" t="inlineStr">
        <is>
          <t>Yes</t>
        </is>
      </c>
      <c r="E634" s="193" t="n">
        <v>0.059</v>
      </c>
      <c r="F634" s="194" t="inlineStr">
        <is>
          <t>PTET election available</t>
        </is>
      </c>
    </row>
    <row r="635">
      <c r="B635" s="158" t="inlineStr">
        <is>
          <t>KS</t>
        </is>
      </c>
      <c r="C635" s="193" t="n">
        <v>0.057</v>
      </c>
      <c r="D635" s="158" t="inlineStr">
        <is>
          <t>Yes</t>
        </is>
      </c>
      <c r="E635" s="193" t="n">
        <v>0.057</v>
      </c>
      <c r="F635" s="194" t="inlineStr">
        <is>
          <t>PTET election available</t>
        </is>
      </c>
    </row>
    <row r="636">
      <c r="B636" s="158" t="inlineStr">
        <is>
          <t>KY</t>
        </is>
      </c>
      <c r="C636" s="193" t="n">
        <v>0.04</v>
      </c>
      <c r="D636" s="158" t="inlineStr">
        <is>
          <t>Yes</t>
        </is>
      </c>
      <c r="E636" s="193" t="n">
        <v>0.04</v>
      </c>
      <c r="F636" s="194" t="inlineStr">
        <is>
          <t>PTET election available</t>
        </is>
      </c>
    </row>
    <row r="637">
      <c r="B637" s="158" t="inlineStr">
        <is>
          <t>LA</t>
        </is>
      </c>
      <c r="C637" s="193" t="n">
        <v>0.0425</v>
      </c>
      <c r="D637" s="158" t="inlineStr">
        <is>
          <t>Yes</t>
        </is>
      </c>
      <c r="E637" s="193" t="n">
        <v>0.0425</v>
      </c>
      <c r="F637" s="194" t="inlineStr">
        <is>
          <t>PTET election available</t>
        </is>
      </c>
    </row>
    <row r="638">
      <c r="B638" s="158" t="inlineStr">
        <is>
          <t>ME</t>
        </is>
      </c>
      <c r="C638" s="193" t="n">
        <v>0.07149999999999999</v>
      </c>
      <c r="D638" s="158" t="inlineStr">
        <is>
          <t>No</t>
        </is>
      </c>
      <c r="E638" s="195" t="n"/>
      <c r="F638" s="194" t="inlineStr">
        <is>
          <t>No PTET as of 2024</t>
        </is>
      </c>
    </row>
    <row r="639">
      <c r="B639" s="158" t="inlineStr">
        <is>
          <t>MD</t>
        </is>
      </c>
      <c r="C639" s="193" t="n">
        <v>0.0575</v>
      </c>
      <c r="D639" s="158" t="inlineStr">
        <is>
          <t>Yes</t>
        </is>
      </c>
      <c r="E639" s="193" t="n">
        <v>0.08</v>
      </c>
      <c r="F639" s="194" t="inlineStr">
        <is>
          <t>PTET 8% (includes county add-back)</t>
        </is>
      </c>
    </row>
    <row r="640">
      <c r="B640" s="158" t="inlineStr">
        <is>
          <t>MA</t>
        </is>
      </c>
      <c r="C640" s="193" t="n">
        <v>0.09</v>
      </c>
      <c r="D640" s="158" t="inlineStr">
        <is>
          <t>Yes</t>
        </is>
      </c>
      <c r="E640" s="193" t="n">
        <v>0.05</v>
      </c>
      <c r="F640" s="194" t="inlineStr">
        <is>
          <t>Top rate 9% (5% + 4% millionaires tax); PTET 5%</t>
        </is>
      </c>
    </row>
    <row r="641">
      <c r="B641" s="158" t="inlineStr">
        <is>
          <t>MI</t>
        </is>
      </c>
      <c r="C641" s="193" t="n">
        <v>0.0425</v>
      </c>
      <c r="D641" s="158" t="inlineStr">
        <is>
          <t>Yes</t>
        </is>
      </c>
      <c r="E641" s="193" t="n">
        <v>0.0425</v>
      </c>
      <c r="F641" s="194" t="inlineStr">
        <is>
          <t>PTET election available</t>
        </is>
      </c>
    </row>
    <row r="642">
      <c r="B642" s="158" t="inlineStr">
        <is>
          <t>MN</t>
        </is>
      </c>
      <c r="C642" s="193" t="n">
        <v>0.0985</v>
      </c>
      <c r="D642" s="158" t="inlineStr">
        <is>
          <t>Yes</t>
        </is>
      </c>
      <c r="E642" s="193" t="n">
        <v>0.0985</v>
      </c>
      <c r="F642" s="194" t="inlineStr">
        <is>
          <t>PTET election available</t>
        </is>
      </c>
    </row>
    <row r="643">
      <c r="B643" s="158" t="inlineStr">
        <is>
          <t>MS</t>
        </is>
      </c>
      <c r="C643" s="193" t="n">
        <v>0.044</v>
      </c>
      <c r="D643" s="158" t="inlineStr">
        <is>
          <t>Yes</t>
        </is>
      </c>
      <c r="E643" s="193" t="n">
        <v>0.05</v>
      </c>
      <c r="F643" s="194" t="inlineStr">
        <is>
          <t>PTET election available</t>
        </is>
      </c>
    </row>
    <row r="644">
      <c r="B644" s="158" t="inlineStr">
        <is>
          <t>MO</t>
        </is>
      </c>
      <c r="C644" s="193" t="n">
        <v>0.048</v>
      </c>
      <c r="D644" s="158" t="inlineStr">
        <is>
          <t>Yes</t>
        </is>
      </c>
      <c r="E644" s="193" t="n">
        <v>0.048</v>
      </c>
      <c r="F644" s="194" t="inlineStr">
        <is>
          <t>PTET election available</t>
        </is>
      </c>
    </row>
    <row r="645">
      <c r="B645" s="158" t="inlineStr">
        <is>
          <t>MT</t>
        </is>
      </c>
      <c r="C645" s="193" t="n">
        <v>0.059</v>
      </c>
      <c r="D645" s="158" t="inlineStr">
        <is>
          <t>Yes</t>
        </is>
      </c>
      <c r="E645" s="193" t="n">
        <v>0.059</v>
      </c>
      <c r="F645" s="194" t="inlineStr">
        <is>
          <t>PTET election available</t>
        </is>
      </c>
    </row>
    <row r="646">
      <c r="B646" s="158" t="inlineStr">
        <is>
          <t>NE</t>
        </is>
      </c>
      <c r="C646" s="193" t="n">
        <v>0.0524</v>
      </c>
      <c r="D646" s="158" t="inlineStr">
        <is>
          <t>Yes</t>
        </is>
      </c>
      <c r="E646" s="193" t="n">
        <v>0.0524</v>
      </c>
      <c r="F646" s="194" t="inlineStr">
        <is>
          <t>PTET election available</t>
        </is>
      </c>
    </row>
    <row r="647">
      <c r="B647" s="158" t="inlineStr">
        <is>
          <t>NV</t>
        </is>
      </c>
      <c r="C647" s="193" t="n">
        <v>0</v>
      </c>
      <c r="D647" s="158" t="inlineStr">
        <is>
          <t>No</t>
        </is>
      </c>
      <c r="E647" s="195" t="n"/>
      <c r="F647" s="194" t="inlineStr">
        <is>
          <t>No state personal income tax</t>
        </is>
      </c>
    </row>
    <row r="648">
      <c r="B648" s="158" t="inlineStr">
        <is>
          <t>NH</t>
        </is>
      </c>
      <c r="C648" s="193" t="n">
        <v>0</v>
      </c>
      <c r="D648" s="158" t="inlineStr">
        <is>
          <t>No</t>
        </is>
      </c>
      <c r="E648" s="195" t="n"/>
      <c r="F648" s="194" t="inlineStr">
        <is>
          <t>No income tax on wages (interest/dividends only — repealed 2025)</t>
        </is>
      </c>
    </row>
    <row r="649">
      <c r="B649" s="158" t="inlineStr">
        <is>
          <t>NJ</t>
        </is>
      </c>
      <c r="C649" s="193" t="n">
        <v>0.1075</v>
      </c>
      <c r="D649" s="158" t="inlineStr">
        <is>
          <t>Yes</t>
        </is>
      </c>
      <c r="E649" s="193" t="n">
        <v>0.1075</v>
      </c>
      <c r="F649" s="194" t="inlineStr">
        <is>
          <t>PTET (BAIT) election available</t>
        </is>
      </c>
    </row>
    <row r="650">
      <c r="B650" s="158" t="inlineStr">
        <is>
          <t>NM</t>
        </is>
      </c>
      <c r="C650" s="193" t="n">
        <v>0.059</v>
      </c>
      <c r="D650" s="158" t="inlineStr">
        <is>
          <t>Yes</t>
        </is>
      </c>
      <c r="E650" s="193" t="n">
        <v>0.059</v>
      </c>
      <c r="F650" s="194" t="inlineStr">
        <is>
          <t>PTET election available</t>
        </is>
      </c>
    </row>
    <row r="651">
      <c r="B651" s="158" t="inlineStr">
        <is>
          <t>NY</t>
        </is>
      </c>
      <c r="C651" s="193" t="n">
        <v>0.109</v>
      </c>
      <c r="D651" s="158" t="inlineStr">
        <is>
          <t>Yes</t>
        </is>
      </c>
      <c r="E651" s="193" t="n">
        <v>0.06850000000000001</v>
      </c>
      <c r="F651" s="194" t="inlineStr">
        <is>
          <t>PTET 6.85% on income up to $2M; higher above</t>
        </is>
      </c>
    </row>
    <row r="652">
      <c r="B652" s="158" t="inlineStr">
        <is>
          <t>NC</t>
        </is>
      </c>
      <c r="C652" s="193" t="n">
        <v>0.045</v>
      </c>
      <c r="D652" s="158" t="inlineStr">
        <is>
          <t>Yes</t>
        </is>
      </c>
      <c r="E652" s="193" t="n">
        <v>0.045</v>
      </c>
      <c r="F652" s="194" t="inlineStr">
        <is>
          <t>PTET election available</t>
        </is>
      </c>
    </row>
    <row r="653">
      <c r="B653" s="158" t="inlineStr">
        <is>
          <t>ND</t>
        </is>
      </c>
      <c r="C653" s="193" t="n">
        <v>0.025</v>
      </c>
      <c r="D653" s="158" t="inlineStr">
        <is>
          <t>No</t>
        </is>
      </c>
      <c r="E653" s="195" t="n"/>
      <c r="F653" s="194" t="inlineStr">
        <is>
          <t>Top 2.5%; no PTET</t>
        </is>
      </c>
    </row>
    <row r="654">
      <c r="B654" s="158" t="inlineStr">
        <is>
          <t>OH</t>
        </is>
      </c>
      <c r="C654" s="193" t="n">
        <v>0.0399</v>
      </c>
      <c r="D654" s="158" t="inlineStr">
        <is>
          <t>Yes</t>
        </is>
      </c>
      <c r="E654" s="193" t="n">
        <v>0.0399</v>
      </c>
      <c r="F654" s="194" t="inlineStr">
        <is>
          <t>PTET election available</t>
        </is>
      </c>
    </row>
    <row r="655">
      <c r="B655" s="158" t="inlineStr">
        <is>
          <t>OK</t>
        </is>
      </c>
      <c r="C655" s="193" t="n">
        <v>0.0475</v>
      </c>
      <c r="D655" s="158" t="inlineStr">
        <is>
          <t>Yes</t>
        </is>
      </c>
      <c r="E655" s="193" t="n">
        <v>0.0475</v>
      </c>
      <c r="F655" s="194" t="inlineStr">
        <is>
          <t>PTET election available</t>
        </is>
      </c>
    </row>
    <row r="656">
      <c r="B656" s="158" t="inlineStr">
        <is>
          <t>OR</t>
        </is>
      </c>
      <c r="C656" s="193" t="n">
        <v>0.099</v>
      </c>
      <c r="D656" s="158" t="inlineStr">
        <is>
          <t>Yes</t>
        </is>
      </c>
      <c r="E656" s="193" t="n">
        <v>0.099</v>
      </c>
      <c r="F656" s="194" t="inlineStr">
        <is>
          <t>PTET election available</t>
        </is>
      </c>
    </row>
    <row r="657">
      <c r="B657" s="158" t="inlineStr">
        <is>
          <t>PA</t>
        </is>
      </c>
      <c r="C657" s="193" t="n">
        <v>0.0307</v>
      </c>
      <c r="D657" s="158" t="inlineStr">
        <is>
          <t>No</t>
        </is>
      </c>
      <c r="E657" s="195" t="n"/>
      <c r="F657" s="194" t="inlineStr">
        <is>
          <t>Flat 3.07%; no PTET</t>
        </is>
      </c>
    </row>
    <row r="658">
      <c r="B658" s="158" t="inlineStr">
        <is>
          <t>RI</t>
        </is>
      </c>
      <c r="C658" s="193" t="n">
        <v>0.0599</v>
      </c>
      <c r="D658" s="158" t="inlineStr">
        <is>
          <t>Yes</t>
        </is>
      </c>
      <c r="E658" s="193" t="n">
        <v>0.0599</v>
      </c>
      <c r="F658" s="194" t="inlineStr">
        <is>
          <t>PTET election available</t>
        </is>
      </c>
    </row>
    <row r="659">
      <c r="B659" s="158" t="inlineStr">
        <is>
          <t>SC</t>
        </is>
      </c>
      <c r="C659" s="193" t="n">
        <v>0.064</v>
      </c>
      <c r="D659" s="158" t="inlineStr">
        <is>
          <t>Yes</t>
        </is>
      </c>
      <c r="E659" s="193" t="n">
        <v>0.03</v>
      </c>
      <c r="F659" s="194" t="inlineStr">
        <is>
          <t>PTET 3%</t>
        </is>
      </c>
    </row>
    <row r="660">
      <c r="B660" s="158" t="inlineStr">
        <is>
          <t>SD</t>
        </is>
      </c>
      <c r="C660" s="193" t="n">
        <v>0</v>
      </c>
      <c r="D660" s="158" t="inlineStr">
        <is>
          <t>No</t>
        </is>
      </c>
      <c r="E660" s="195" t="n"/>
      <c r="F660" s="194" t="inlineStr">
        <is>
          <t>No state personal income tax</t>
        </is>
      </c>
    </row>
    <row r="661">
      <c r="B661" s="158" t="inlineStr">
        <is>
          <t>TN</t>
        </is>
      </c>
      <c r="C661" s="193" t="n">
        <v>0</v>
      </c>
      <c r="D661" s="158" t="inlineStr">
        <is>
          <t>No</t>
        </is>
      </c>
      <c r="E661" s="195" t="n"/>
      <c r="F661" s="194" t="inlineStr">
        <is>
          <t>No state income tax (Hall tax repealed 2021)</t>
        </is>
      </c>
    </row>
    <row r="662">
      <c r="B662" s="158" t="inlineStr">
        <is>
          <t>TX</t>
        </is>
      </c>
      <c r="C662" s="193" t="n">
        <v>0</v>
      </c>
      <c r="D662" s="158" t="inlineStr">
        <is>
          <t>No</t>
        </is>
      </c>
      <c r="E662" s="195" t="n"/>
      <c r="F662" s="194" t="inlineStr">
        <is>
          <t>No state personal income tax</t>
        </is>
      </c>
    </row>
    <row r="663">
      <c r="B663" s="158" t="inlineStr">
        <is>
          <t>UT</t>
        </is>
      </c>
      <c r="C663" s="193" t="n">
        <v>0.0465</v>
      </c>
      <c r="D663" s="158" t="inlineStr">
        <is>
          <t>Yes</t>
        </is>
      </c>
      <c r="E663" s="193" t="n">
        <v>0.0465</v>
      </c>
      <c r="F663" s="194" t="inlineStr">
        <is>
          <t>Flat 4.65%; PTET election available</t>
        </is>
      </c>
    </row>
    <row r="664">
      <c r="B664" s="158" t="inlineStr">
        <is>
          <t>VT</t>
        </is>
      </c>
      <c r="C664" s="193" t="n">
        <v>0.08749999999999999</v>
      </c>
      <c r="D664" s="158" t="inlineStr">
        <is>
          <t>No</t>
        </is>
      </c>
      <c r="E664" s="195" t="n"/>
      <c r="F664" s="194" t="inlineStr">
        <is>
          <t>No PTET</t>
        </is>
      </c>
    </row>
    <row r="665">
      <c r="B665" s="158" t="inlineStr">
        <is>
          <t>VA</t>
        </is>
      </c>
      <c r="C665" s="193" t="n">
        <v>0.0575</v>
      </c>
      <c r="D665" s="158" t="inlineStr">
        <is>
          <t>Yes</t>
        </is>
      </c>
      <c r="E665" s="193" t="n">
        <v>0.0575</v>
      </c>
      <c r="F665" s="194" t="inlineStr">
        <is>
          <t>PTET election available</t>
        </is>
      </c>
    </row>
    <row r="666">
      <c r="B666" s="158" t="inlineStr">
        <is>
          <t>WA</t>
        </is>
      </c>
      <c r="C666" s="193" t="n">
        <v>0</v>
      </c>
      <c r="D666" s="158" t="inlineStr">
        <is>
          <t>No</t>
        </is>
      </c>
      <c r="E666" s="195" t="n"/>
      <c r="F666" s="194" t="inlineStr">
        <is>
          <t>No state personal income tax (7% capital gains tax)</t>
        </is>
      </c>
    </row>
    <row r="667">
      <c r="B667" s="158" t="inlineStr">
        <is>
          <t>WV</t>
        </is>
      </c>
      <c r="C667" s="193" t="n">
        <v>0.0512</v>
      </c>
      <c r="D667" s="158" t="inlineStr">
        <is>
          <t>Yes</t>
        </is>
      </c>
      <c r="E667" s="193" t="n">
        <v>0.0512</v>
      </c>
      <c r="F667" s="194" t="inlineStr">
        <is>
          <t>PTET election available</t>
        </is>
      </c>
    </row>
    <row r="668">
      <c r="B668" s="158" t="inlineStr">
        <is>
          <t>WI</t>
        </is>
      </c>
      <c r="C668" s="193" t="n">
        <v>0.0765</v>
      </c>
      <c r="D668" s="158" t="inlineStr">
        <is>
          <t>Yes</t>
        </is>
      </c>
      <c r="E668" s="193" t="n">
        <v>0.079</v>
      </c>
      <c r="F668" s="194" t="inlineStr">
        <is>
          <t>PTET 7.9%</t>
        </is>
      </c>
    </row>
    <row r="669">
      <c r="B669" s="158" t="inlineStr">
        <is>
          <t>WY</t>
        </is>
      </c>
      <c r="C669" s="193" t="n">
        <v>0</v>
      </c>
      <c r="D669" s="158" t="inlineStr">
        <is>
          <t>No</t>
        </is>
      </c>
      <c r="E669" s="195" t="n"/>
      <c r="F669" s="194" t="inlineStr">
        <is>
          <t>No state personal income tax</t>
        </is>
      </c>
    </row>
  </sheetData>
  <mergeCells count="2">
    <mergeCell ref="B616:I616"/>
    <mergeCell ref="B615:I615"/>
  </mergeCells>
  <pageMargins left="0.7" right="0.7" top="0.75" bottom="0.75" header="0.3" footer="0.3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3.xml><?xml version="1.0" encoding="utf-8"?>
<worksheet xmlns="http://schemas.openxmlformats.org/spreadsheetml/2006/main">
  <sheetPr>
    <tabColor rgb="FFC00000"/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4.5"/>
  <cols>
    <col width="22" customWidth="1" style="99" min="1" max="12"/>
  </cols>
  <sheetData>
    <row r="1" ht="18.5" customHeight="1" s="99">
      <c r="A1" s="1" t="inlineStr">
        <is>
          <t>DROPDOWN LISTS — top-level + per-bucket cascade named ranges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  <c r="G3" s="10" t="inlineStr">
        <is>
          <t>Activity_Type</t>
        </is>
      </c>
      <c r="I3" s="196" t="inlineStr">
        <is>
          <t>States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  <c r="I4" s="197" t="inlineStr">
        <is>
          <t>AL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  <c r="I5" s="197" t="inlineStr">
        <is>
          <t>AK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  <c r="I6" s="197" t="inlineStr">
        <is>
          <t>AZ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  <c r="I7" s="197" t="inlineStr">
        <is>
          <t>AR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  <c r="I8" s="197" t="inlineStr">
        <is>
          <t>CA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  <c r="I9" s="197" t="inlineStr">
        <is>
          <t>CO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  <c r="I10" s="197" t="inlineStr">
        <is>
          <t>CT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  <c r="I11" s="197" t="inlineStr">
        <is>
          <t>DE</t>
        </is>
      </c>
    </row>
    <row r="12">
      <c r="D12" t="inlineStr">
        <is>
          <t>Extraction - Tied</t>
        </is>
      </c>
      <c r="F12" t="inlineStr">
        <is>
          <t>12</t>
        </is>
      </c>
      <c r="I12" s="197" t="inlineStr">
        <is>
          <t>DC</t>
        </is>
      </c>
    </row>
    <row r="13">
      <c r="D13" t="inlineStr">
        <is>
          <t>System Calculated</t>
        </is>
      </c>
      <c r="F13" t="inlineStr">
        <is>
          <t>13</t>
        </is>
      </c>
      <c r="I13" s="197" t="inlineStr">
        <is>
          <t>FL</t>
        </is>
      </c>
    </row>
    <row r="14">
      <c r="I14" s="197" t="inlineStr">
        <is>
          <t>GA</t>
        </is>
      </c>
    </row>
    <row r="15">
      <c r="I15" s="197" t="inlineStr">
        <is>
          <t>HI</t>
        </is>
      </c>
    </row>
    <row r="16">
      <c r="I16" s="197" t="inlineStr">
        <is>
          <t>ID</t>
        </is>
      </c>
    </row>
    <row r="17">
      <c r="A17" s="7" t="inlineStr">
        <is>
          <t>▸ PER-BUCKET TREATMENT_PROFILE LISTS</t>
        </is>
      </c>
      <c r="I17" s="197" t="inlineStr">
        <is>
          <t>IL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  <c r="I18" s="197" t="inlineStr">
        <is>
          <t>IN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  <c r="I19" s="197" t="inlineStr">
        <is>
          <t>IA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  <c r="I20" s="197" t="inlineStr">
        <is>
          <t>KS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  <c r="I21" s="197" t="inlineStr">
        <is>
          <t>KY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  <c r="I22" s="197" t="inlineStr">
        <is>
          <t>LA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  <c r="I23" s="197" t="inlineStr">
        <is>
          <t>ME</t>
        </is>
      </c>
    </row>
    <row r="24">
      <c r="A24" t="inlineStr">
        <is>
          <t>K1_PTP_Passive</t>
        </is>
      </c>
      <c r="I24" s="197" t="inlineStr">
        <is>
          <t>MD</t>
        </is>
      </c>
    </row>
    <row r="25">
      <c r="A25" t="inlineStr">
        <is>
          <t>K1_SCorp_Active</t>
        </is>
      </c>
      <c r="I25" s="197" t="inlineStr">
        <is>
          <t>MA</t>
        </is>
      </c>
    </row>
    <row r="26">
      <c r="A26" t="inlineStr">
        <is>
          <t>K1_SCorp_Passive</t>
        </is>
      </c>
      <c r="I26" s="197" t="inlineStr">
        <is>
          <t>MI</t>
        </is>
      </c>
    </row>
    <row r="27">
      <c r="A27" t="inlineStr">
        <is>
          <t>Trust_K1</t>
        </is>
      </c>
      <c r="I27" s="197" t="inlineStr">
        <is>
          <t>MN</t>
        </is>
      </c>
    </row>
    <row r="28">
      <c r="I28" s="197" t="inlineStr">
        <is>
          <t>MS</t>
        </is>
      </c>
    </row>
    <row r="29">
      <c r="I29" s="197" t="inlineStr">
        <is>
          <t>MO</t>
        </is>
      </c>
    </row>
    <row r="30">
      <c r="I30" s="197" t="inlineStr">
        <is>
          <t>MT</t>
        </is>
      </c>
    </row>
    <row r="31">
      <c r="I31" s="197" t="inlineStr">
        <is>
          <t>NE</t>
        </is>
      </c>
    </row>
    <row r="32">
      <c r="I32" s="197" t="inlineStr">
        <is>
          <t>NV</t>
        </is>
      </c>
    </row>
    <row r="33">
      <c r="A33" s="7" t="inlineStr">
        <is>
          <t>▸ PER-BUCKET SOURCE_DOCUMENT LISTS</t>
        </is>
      </c>
      <c r="I33" s="197" t="inlineStr">
        <is>
          <t>NH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  <c r="I34" s="197" t="inlineStr">
        <is>
          <t>NJ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  <c r="I35" s="197" t="inlineStr">
        <is>
          <t>NM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  <c r="I36" s="197" t="inlineStr">
        <is>
          <t>NY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  <c r="I37" s="197" t="inlineStr">
        <is>
          <t>NC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  <c r="I38" s="197" t="inlineStr">
        <is>
          <t>ND</t>
        </is>
      </c>
    </row>
    <row r="39">
      <c r="A39" t="inlineStr">
        <is>
          <t>Sch E Workpaper</t>
        </is>
      </c>
      <c r="E39" t="inlineStr">
        <is>
          <t>SE Health Premium</t>
        </is>
      </c>
      <c r="I39" s="197" t="inlineStr">
        <is>
          <t>OH</t>
        </is>
      </c>
    </row>
    <row r="40">
      <c r="A40" t="inlineStr">
        <is>
          <t>Sch F Workpaper</t>
        </is>
      </c>
      <c r="I40" s="197" t="inlineStr">
        <is>
          <t>OK</t>
        </is>
      </c>
    </row>
    <row r="41">
      <c r="A41" t="inlineStr">
        <is>
          <t>PY Return</t>
        </is>
      </c>
      <c r="I41" s="197" t="inlineStr">
        <is>
          <t>OR</t>
        </is>
      </c>
    </row>
    <row r="42">
      <c r="I42" s="197" t="inlineStr">
        <is>
          <t>PA</t>
        </is>
      </c>
    </row>
    <row r="43">
      <c r="I43" s="197" t="inlineStr">
        <is>
          <t>RI</t>
        </is>
      </c>
    </row>
    <row r="44">
      <c r="I44" s="197" t="inlineStr">
        <is>
          <t>SC</t>
        </is>
      </c>
    </row>
    <row r="45">
      <c r="I45" s="197" t="inlineStr">
        <is>
          <t>SD</t>
        </is>
      </c>
    </row>
    <row r="46">
      <c r="I46" s="197" t="inlineStr">
        <is>
          <t>TN</t>
        </is>
      </c>
    </row>
    <row r="47">
      <c r="I47" s="197" t="inlineStr">
        <is>
          <t>TX</t>
        </is>
      </c>
    </row>
    <row r="48">
      <c r="I48" s="197" t="inlineStr">
        <is>
          <t>UT</t>
        </is>
      </c>
    </row>
    <row r="49">
      <c r="I49" s="197" t="inlineStr">
        <is>
          <t>VT</t>
        </is>
      </c>
    </row>
    <row r="50">
      <c r="I50" s="197" t="inlineStr">
        <is>
          <t>VA</t>
        </is>
      </c>
    </row>
    <row r="51">
      <c r="I51" s="197" t="inlineStr">
        <is>
          <t>WA</t>
        </is>
      </c>
    </row>
    <row r="52">
      <c r="I52" s="197" t="inlineStr">
        <is>
          <t>WV</t>
        </is>
      </c>
    </row>
    <row r="53">
      <c r="I53" s="197" t="inlineStr">
        <is>
          <t>WI</t>
        </is>
      </c>
    </row>
    <row r="54">
      <c r="I54" s="197" t="inlineStr">
        <is>
          <t>WY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C00000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4.5"/>
  <cols>
    <col width="12" customWidth="1" style="99" min="6" max="6"/>
    <col width="12" customWidth="1" style="99" min="7" max="7"/>
    <col width="50" customWidth="1" style="99" min="8" max="8"/>
  </cols>
  <sheetData>
    <row r="1" ht="15.5" customHeight="1" s="99">
      <c r="A1" s="29" t="inlineStr">
        <is>
          <t>FRAMEWORK REFERENCE</t>
        </is>
      </c>
      <c r="B1" s="29" t="n"/>
      <c r="C1" s="29" t="n"/>
      <c r="D1" s="29" t="n"/>
      <c r="E1" s="29" t="n"/>
    </row>
    <row r="2">
      <c r="A2" t="inlineStr">
        <is>
          <t>Canon §3 (Wealth Architecture) · §4 (5 Core Strategies) · §5 (7 Supplemental) · §9 (Principles &amp; Guardrails)</t>
        </is>
      </c>
    </row>
    <row r="4">
      <c r="A4" t="inlineStr">
        <is>
          <t>SECTION A — THE WEALTH ARCHITECTURE PRINCIPLE</t>
        </is>
      </c>
    </row>
    <row r="6">
      <c r="A6" t="inlineStr">
        <is>
          <t>"Real estate is the thread."</t>
        </is>
      </c>
    </row>
    <row r="7">
      <c r="A7" t="inlineStr">
        <is>
          <t>Tax planning is offensive capital allocation, not defensive minimization. The framework aligns tax strategy with wealth strategy.</t>
        </is>
      </c>
    </row>
    <row r="9">
      <c r="A9" t="inlineStr">
        <is>
          <t>Direction A — Already investing in RE:</t>
        </is>
      </c>
    </row>
    <row r="10">
      <c r="A10" t="inlineStr">
        <is>
          <t>Tax strategy aligns with the wealth strategy the client is already executing.</t>
        </is>
      </c>
    </row>
    <row r="12">
      <c r="A12" t="inlineStr">
        <is>
          <t>Direction B — Not yet investing, but should be:</t>
        </is>
      </c>
    </row>
    <row r="13">
      <c r="A13" t="inlineStr">
        <is>
          <t>The operating business already supports holding properties with near-zero transactional friction. Framework points the way.</t>
        </is>
      </c>
    </row>
    <row r="16">
      <c r="A16" t="inlineStr">
        <is>
          <t>SECTION B — THE FIVE CORE STRATEGIES (Bucket A)</t>
        </is>
      </c>
    </row>
    <row r="17">
      <c r="A17" t="inlineStr">
        <is>
          <t>Dependency-ordered. #1 enables #2 (wage). #2 enables #3 (retirement caps). #4 and #5 parallel.</t>
        </is>
      </c>
    </row>
    <row r="19">
      <c r="A19" t="inlineStr">
        <is>
          <t>Strategy</t>
        </is>
      </c>
      <c r="B19" t="inlineStr">
        <is>
          <t>Why this strategy</t>
        </is>
      </c>
      <c r="C19" t="inlineStr">
        <is>
          <t>Mechanics</t>
        </is>
      </c>
      <c r="D19" t="inlineStr">
        <is>
          <t>Output</t>
        </is>
      </c>
      <c r="E19" t="inlineStr">
        <is>
          <t>Referral Trigger</t>
        </is>
      </c>
      <c r="F19" s="145" t="inlineStr">
        <is>
          <t>Our STR-ID</t>
        </is>
      </c>
      <c r="G19" s="145" t="inlineStr">
        <is>
          <t>Jeff STD-ID</t>
        </is>
      </c>
      <c r="H19" s="145" t="inlineStr">
        <is>
          <t>Cross-Ref Notes</t>
        </is>
      </c>
    </row>
    <row r="20">
      <c r="A20" t="inlineStr">
        <is>
          <t>#1 — Entity Structuring Optimization</t>
        </is>
      </c>
      <c r="B20" t="inlineStr">
        <is>
          <t>Foundation. Every downstream strategy depends on entity form. Can't optimize wages without an S-Corp; can't optimize retirement caps without wage placement.</t>
        </is>
      </c>
      <c r="C20" t="inlineStr">
        <is>
          <t>S-Corp placement (operating vs HoldCo over OpCo); QBI eligibility; §199A aggregation; §1.469-4 grouping for multi-property REPS.</t>
        </is>
      </c>
      <c r="D20" t="inlineStr">
        <is>
          <t>Org chart (current → target); Form 2553 plan; QBI calc; aggregation/grouping elections.</t>
        </is>
      </c>
      <c r="E20" t="inlineStr">
        <is>
          <t>FileForms (entity compliance)</t>
        </is>
      </c>
      <c r="F20" s="158" t="inlineStr">
        <is>
          <t>STR-001</t>
        </is>
      </c>
      <c r="G20" s="158" t="inlineStr">
        <is>
          <t>STD-001?</t>
        </is>
      </c>
      <c r="H20" s="159" t="inlineStr">
        <is>
          <t>Entity structuring — verify against Jeff Tab 1</t>
        </is>
      </c>
    </row>
    <row r="21">
      <c r="A21" t="inlineStr">
        <is>
          <t>#2 — Wage Optimization</t>
        </is>
      </c>
      <c r="B21" t="inlineStr">
        <is>
          <t>Level decision dependent on #1's placement. Wage drives #3 contribution caps and §199A wage-limit test.</t>
        </is>
      </c>
      <c r="C21" t="inlineStr">
        <is>
          <t>Soft FLOOR: 33% of total active income subject to SE tax. Soft CEILING: $150K per-business. Canon §4 v1.4.</t>
        </is>
      </c>
      <c r="D21" t="inlineStr">
        <is>
          <t>Recommended annual wage per business + aggregate; SE tax savings calc; wage capacity for retirement.</t>
        </is>
      </c>
      <c r="E21" t="inlineStr">
        <is>
          <t>—</t>
        </is>
      </c>
      <c r="F21" s="158" t="inlineStr">
        <is>
          <t>STR-002</t>
        </is>
      </c>
      <c r="G21" s="158" t="inlineStr">
        <is>
          <t>STD-002?</t>
        </is>
      </c>
      <c r="H21" s="159" t="inlineStr">
        <is>
          <t>Wage optimization — likely Jeff #1 in his ordering</t>
        </is>
      </c>
    </row>
    <row r="22">
      <c r="A22" t="inlineStr">
        <is>
          <t>#3 — Retirement Contribution Optimization</t>
        </is>
      </c>
      <c r="B22" t="inlineStr">
        <is>
          <t>Contribution caps are function of #2's wage. Solo 401(k) employer cap = 25% of W-2 wage.</t>
        </is>
      </c>
      <c r="C22" t="inlineStr">
        <is>
          <t>Default vehicle: Self-Directed Solo 401(k). Pre-tax employee deferral + 25% employer. HSA Family layer + age catch-ups.</t>
        </is>
      </c>
      <c r="D22" t="inlineStr">
        <is>
          <t>Recommended plan type; annual contribution plan; HSA tie-in; age-band catch-up surfacing.</t>
        </is>
      </c>
      <c r="E22" t="inlineStr">
        <is>
          <t>Self-Directed Solo 401(k) provider (Q3 2026 productization)</t>
        </is>
      </c>
      <c r="F22" s="158" t="inlineStr">
        <is>
          <t>STR-003</t>
        </is>
      </c>
      <c r="G22" s="158" t="inlineStr">
        <is>
          <t>STD-003?</t>
        </is>
      </c>
      <c r="H22" s="159" t="inlineStr">
        <is>
          <t>Retirement contributions</t>
        </is>
      </c>
    </row>
    <row r="23">
      <c r="A23" t="inlineStr">
        <is>
          <t>#4 — Bonus Depreciation Optimization</t>
        </is>
      </c>
      <c r="B23" t="inlineStr">
        <is>
          <t>Parallel to #2-#3. Primary lever for converting RE wealth into active loss offsets.</t>
        </is>
      </c>
      <c r="C23" t="inlineStr">
        <is>
          <t>REPS qualification (TP / Spouse / Both) + Cost Seg study. Canon §4 v1.4 default: 25% Y1 acceleration of total basis.</t>
        </is>
      </c>
      <c r="D23" t="inlineStr">
        <is>
          <t>Property-by-property cost seg recommendation; annual depreciation projection; absorption-sized property basis.</t>
        </is>
      </c>
      <c r="E23" t="inlineStr">
        <is>
          <t>Cost Seg partner</t>
        </is>
      </c>
      <c r="F23" s="158" t="inlineStr">
        <is>
          <t>STR-004</t>
        </is>
      </c>
      <c r="G23" s="158" t="inlineStr">
        <is>
          <t>STD-004?</t>
        </is>
      </c>
      <c r="H23" s="159" t="inlineStr">
        <is>
          <t>Cost segregation / bonus depreciation</t>
        </is>
      </c>
    </row>
    <row r="24">
      <c r="A24" t="inlineStr">
        <is>
          <t>#5 — Low Hanging Fruit Optimization</t>
        </is>
      </c>
      <c r="B24" t="inlineStr">
        <is>
          <t>Parallel to #4. Operates independently of architectural decisions; absorbs ordinary business expense.</t>
        </is>
      </c>
      <c r="C24" t="inlineStr">
        <is>
          <t>Accountable Plan reimbursements + Augusta Rule (≤14 days) + Children Employment (kiddie standard deduction).</t>
        </is>
      </c>
      <c r="D24" t="inlineStr">
        <is>
          <t>LHF checklist with implementation deadlines; required documentation templates.</t>
        </is>
      </c>
      <c r="E24" t="inlineStr">
        <is>
          <t>—</t>
        </is>
      </c>
      <c r="F24" s="158" t="inlineStr">
        <is>
          <t>STR-005</t>
        </is>
      </c>
      <c r="G24" s="158" t="inlineStr">
        <is>
          <t>STD-005?</t>
        </is>
      </c>
      <c r="H24" s="159" t="inlineStr">
        <is>
          <t>Low-hanging fruit (Augusta, accountable plan, MERP)</t>
        </is>
      </c>
    </row>
    <row r="27">
      <c r="A27" t="inlineStr">
        <is>
          <t>SECTION C — SEVEN SUPPLEMENTAL STRATEGIES (Bucket B)</t>
        </is>
      </c>
    </row>
    <row r="28">
      <c r="A28" t="inlineStr">
        <is>
          <t>Code</t>
        </is>
      </c>
      <c r="B28" t="inlineStr">
        <is>
          <t>Strategy</t>
        </is>
      </c>
      <c r="C28" t="inlineStr">
        <is>
          <t>When It Applies</t>
        </is>
      </c>
      <c r="D28" t="inlineStr">
        <is>
          <t>Cadence</t>
        </is>
      </c>
      <c r="E28" t="inlineStr">
        <is>
          <t>Avatar Frequency</t>
        </is>
      </c>
      <c r="F28" s="145" t="inlineStr">
        <is>
          <t>Our STR-ID</t>
        </is>
      </c>
      <c r="G28" s="145" t="inlineStr">
        <is>
          <t>Jeff STD-ID</t>
        </is>
      </c>
      <c r="H28" s="145" t="inlineStr">
        <is>
          <t>Cross-Ref Notes</t>
        </is>
      </c>
    </row>
    <row r="29">
      <c r="A29" t="inlineStr">
        <is>
          <t>B1</t>
        </is>
      </c>
      <c r="B29" t="inlineStr">
        <is>
          <t>PTET (Pass-Through Entity Tax)</t>
        </is>
      </c>
      <c r="C29" t="inlineStr">
        <is>
          <t>Client lives/operates in PTET-enabled state with active business</t>
        </is>
      </c>
      <c r="D29" t="inlineStr">
        <is>
          <t>Annual election</t>
        </is>
      </c>
      <c r="E29" t="inlineStr">
        <is>
          <t>High in graduated states (CA, NY, NJ, MA, OR, MN, HI) — see GLOSSARY Section C</t>
        </is>
      </c>
      <c r="F29" s="158" t="inlineStr">
        <is>
          <t>STR-006</t>
        </is>
      </c>
      <c r="G29" s="158" t="inlineStr">
        <is>
          <t>STD-006?</t>
        </is>
      </c>
      <c r="H29" s="170" t="inlineStr">
        <is>
          <t>PTET — typically Jeff #6 supplemental</t>
        </is>
      </c>
    </row>
    <row r="30">
      <c r="A30" t="inlineStr">
        <is>
          <t>B2</t>
        </is>
      </c>
      <c r="B30" t="inlineStr">
        <is>
          <t>TAXLOSS (Tax Loss Harvesting)</t>
        </is>
      </c>
      <c r="C30" t="inlineStr">
        <is>
          <t>Client has taxable brokerage account</t>
        </is>
      </c>
      <c r="D30" t="inlineStr">
        <is>
          <t>Recurring annual (year-end)</t>
        </is>
      </c>
      <c r="E30" t="inlineStr">
        <is>
          <t>Moderate — most avatars have brokerage exposure</t>
        </is>
      </c>
      <c r="F30" s="158" t="inlineStr">
        <is>
          <t>STR-007</t>
        </is>
      </c>
      <c r="G30" s="158" t="inlineStr">
        <is>
          <t>STD-007?</t>
        </is>
      </c>
      <c r="H30" s="170" t="inlineStr">
        <is>
          <t>Tax loss harvesting — universal year-end</t>
        </is>
      </c>
    </row>
    <row r="31">
      <c r="A31" t="inlineStr">
        <is>
          <t>B3</t>
        </is>
      </c>
      <c r="B31" t="inlineStr">
        <is>
          <t>INCSHIFT (Income/Expense Shifting)</t>
        </is>
      </c>
      <c r="C31" t="inlineStr">
        <is>
          <t>Universal timing lever</t>
        </is>
      </c>
      <c r="D31" t="inlineStr">
        <is>
          <t>Year-end execution</t>
        </is>
      </c>
      <c r="E31" t="inlineStr">
        <is>
          <t>Universal — every active client</t>
        </is>
      </c>
      <c r="F31" s="158" t="inlineStr">
        <is>
          <t>STR-008</t>
        </is>
      </c>
      <c r="G31" s="158" t="inlineStr">
        <is>
          <t>STD-008?</t>
        </is>
      </c>
      <c r="H31" s="170" t="inlineStr">
        <is>
          <t>Income/expense shifting — universal timing lever</t>
        </is>
      </c>
    </row>
    <row r="32">
      <c r="A32" t="inlineStr">
        <is>
          <t>B4</t>
        </is>
      </c>
      <c r="B32" t="inlineStr">
        <is>
          <t>ROTH (Roth Conversions)</t>
        </is>
      </c>
      <c r="C32" t="inlineStr">
        <is>
          <t>Bracket-management (low-income year OR expected higher rates)</t>
        </is>
      </c>
      <c r="D32" t="inlineStr">
        <is>
          <t>As opportunities arise</t>
        </is>
      </c>
      <c r="E32" t="inlineStr">
        <is>
          <t>Situational — Year 1 transitions, NOL years</t>
        </is>
      </c>
      <c r="F32" s="158" t="inlineStr">
        <is>
          <t>STR-009</t>
        </is>
      </c>
      <c r="G32" s="158" t="inlineStr">
        <is>
          <t>STD-009?</t>
        </is>
      </c>
      <c r="H32" s="170" t="inlineStr">
        <is>
          <t>Roth conversions — bracket management</t>
        </is>
      </c>
    </row>
    <row r="33">
      <c r="A33" t="inlineStr">
        <is>
          <t>B5</t>
        </is>
      </c>
      <c r="B33" t="inlineStr">
        <is>
          <t>DAF (Donor-Advised Fund)</t>
        </is>
      </c>
      <c r="C33" t="inlineStr">
        <is>
          <t>Meaningful charitable contributions; bunching opportunity</t>
        </is>
      </c>
      <c r="D33" t="inlineStr">
        <is>
          <t>Recurring annual</t>
        </is>
      </c>
      <c r="E33" t="inlineStr">
        <is>
          <t>Moderate — typically $25K+ annual giving</t>
        </is>
      </c>
      <c r="F33" s="158" t="inlineStr">
        <is>
          <t>STR-010</t>
        </is>
      </c>
      <c r="G33" s="158" t="inlineStr">
        <is>
          <t>STD-010?</t>
        </is>
      </c>
      <c r="H33" s="170" t="inlineStr">
        <is>
          <t>DAF — bunching</t>
        </is>
      </c>
    </row>
    <row r="34">
      <c r="A34" t="inlineStr">
        <is>
          <t>B6</t>
        </is>
      </c>
      <c r="B34" t="inlineStr">
        <is>
          <t>EXCH1031 (1031 Exchange)</t>
        </is>
      </c>
      <c r="C34" t="inlineStr">
        <is>
          <t>Property sale transaction pending</t>
        </is>
      </c>
      <c r="D34" t="inlineStr">
        <is>
          <t>Transaction-triggered</t>
        </is>
      </c>
      <c r="E34" t="inlineStr">
        <is>
          <t>High for active RE — every disposition is a candidate</t>
        </is>
      </c>
      <c r="F34" s="158" t="inlineStr">
        <is>
          <t>STR-011</t>
        </is>
      </c>
      <c r="G34" s="158" t="inlineStr">
        <is>
          <t>STD-011?</t>
        </is>
      </c>
      <c r="H34" s="170" t="inlineStr">
        <is>
          <t>1031 exchange — RE transaction-triggered</t>
        </is>
      </c>
    </row>
    <row r="35">
      <c r="A35" t="inlineStr">
        <is>
          <t>B7</t>
        </is>
      </c>
      <c r="B35" t="inlineStr">
        <is>
          <t>OPPZONE (Opportunity Zones)</t>
        </is>
      </c>
      <c r="C35" t="inlineStr">
        <is>
          <t>Capital gain event in 180-day window</t>
        </is>
      </c>
      <c r="D35" t="inlineStr">
        <is>
          <t>Gain-event triggered</t>
        </is>
      </c>
      <c r="E35" t="inlineStr">
        <is>
          <t>Low — gain-event-dependent</t>
        </is>
      </c>
      <c r="F35" s="158" t="inlineStr">
        <is>
          <t>STR-012</t>
        </is>
      </c>
      <c r="G35" s="158" t="inlineStr">
        <is>
          <t>STD-012?</t>
        </is>
      </c>
      <c r="H35" s="170" t="inlineStr">
        <is>
          <t>Opportunity Zones — capital gain rollover</t>
        </is>
      </c>
    </row>
    <row r="38">
      <c r="A38" t="inlineStr">
        <is>
          <t>SECTION D — PRINCIPLES &amp; GUARDRAILS (Canon §9)</t>
        </is>
      </c>
    </row>
    <row r="40">
      <c r="A40" t="inlineStr">
        <is>
          <t>One framework, one ordering</t>
        </is>
      </c>
      <c r="B40" t="inlineStr">
        <is>
          <t>Dependency = engagement = canonical. Don't introduce alternative orderings.</t>
        </is>
      </c>
    </row>
    <row r="41">
      <c r="A41" t="inlineStr">
        <is>
          <t>Real estate is the thread</t>
        </is>
      </c>
      <c r="B41" t="inlineStr">
        <is>
          <t>Framework is real-estate-native. Direction A or Direction B; external articulation may vary but framework execution does not.</t>
        </is>
      </c>
    </row>
    <row r="42">
      <c r="A42" t="inlineStr">
        <is>
          <t>Plan Maturity is data-quality-driven, not calendar-driven</t>
        </is>
      </c>
      <c r="B42" t="inlineStr">
        <is>
          <t>Nov-signed client stays Standard Assumptions through mid-Q2. Normal.</t>
        </is>
      </c>
    </row>
    <row r="43">
      <c r="A43" t="inlineStr">
        <is>
          <t>Tax Plan asset is the recurring deliverable</t>
        </is>
      </c>
      <c r="B43" t="inlineStr">
        <is>
          <t>Same document Day 1 (Insights) → Day 365+ (Monitoring). Progressively sharpens.</t>
        </is>
      </c>
    </row>
    <row r="44">
      <c r="A44" t="inlineStr">
        <is>
          <t>Three-Number Headline</t>
        </is>
      </c>
      <c r="B44" t="inlineStr">
        <is>
          <t>Tax Without, Tax With, Take-Home Cash With. Third number is the family-alignment metric.</t>
        </is>
      </c>
    </row>
    <row r="45">
      <c r="A45" t="inlineStr">
        <is>
          <t>Strategy #2 has operating defaults, not absolutes</t>
        </is>
      </c>
      <c r="B45" t="inlineStr">
        <is>
          <t>33% SE wage floor; $150K per-business ceiling. Planner Advisory makes overrides explicit.</t>
        </is>
      </c>
    </row>
    <row r="46">
      <c r="A46" t="inlineStr">
        <is>
          <t>Strategy #1 stops at the recommendation</t>
        </is>
      </c>
      <c r="B46" t="inlineStr">
        <is>
          <t>Operating the entity = Back Office scope, not Tax Planning. Separate engagement.</t>
        </is>
      </c>
    </row>
    <row r="47">
      <c r="A47" t="inlineStr">
        <is>
          <t>Take-Home Cash Floor</t>
        </is>
      </c>
      <c r="B47" t="inlineStr">
        <is>
          <t>When plan's W/ take-home drops below ~60-70% of W/O baseline, flag for family alignment review.</t>
        </is>
      </c>
    </row>
    <row r="48">
      <c r="A48" t="inlineStr">
        <is>
          <t>§9 INTERNAL Flags Discipline</t>
        </is>
      </c>
      <c r="B48" t="inlineStr">
        <is>
          <t>Every plan ships with Strategist's internal flag list. Excluded from client deliverable, retained for plan review.</t>
        </is>
      </c>
    </row>
    <row r="49">
      <c r="A49" t="inlineStr">
        <is>
          <t>Cascade methodology</t>
        </is>
      </c>
      <c r="B49" t="inlineStr">
        <is>
          <t>Each strategy's marginal value computed by switching it OFF and recomputing. Plan Synergy captures interaction effects.</t>
        </is>
      </c>
    </row>
    <row r="50">
      <c r="A50" t="inlineStr">
        <is>
          <t>Plan Synergy line is mandatory</t>
        </is>
      </c>
      <c r="B50" t="inlineStr">
        <is>
          <t>Every artifact decomposing strategy savings must show Plan Synergy. Cannot collapse to single strategy.</t>
        </is>
      </c>
    </row>
    <row r="51">
      <c r="A51" t="inlineStr">
        <is>
          <t>Absorption Principle — Property basis is OUTPUT, not input</t>
        </is>
      </c>
      <c r="B51" t="inlineStr">
        <is>
          <t>Residual Capacity = AGI − Standard Deduction in S4-OFF scenario. Drives recommended property basis.</t>
        </is>
      </c>
    </row>
    <row r="52">
      <c r="A52" t="inlineStr">
        <is>
          <t>Scaling Test — Two-rule deal qualifier</t>
        </is>
      </c>
      <c r="B52" t="inlineStr">
        <is>
          <t>Deal qualifies only if: (1) DSCR ≥ 1.20 on stabilized debt service; (2) basis fits absorption capacity ±10%.</t>
        </is>
      </c>
    </row>
    <row r="55">
      <c r="A55" t="inlineStr">
        <is>
          <t>═══════════════════════════════════════════════════════</t>
        </is>
      </c>
    </row>
    <row r="56" ht="18.5" customHeight="1" s="99">
      <c r="A56" s="15" t="inlineStr">
        <is>
          <t>TAX COMPUTATION PECKING ORDER</t>
        </is>
      </c>
    </row>
    <row r="57">
      <c r="A57" t="inlineStr">
        <is>
          <t>The correct sequence for computing federal taxes</t>
        </is>
      </c>
    </row>
    <row r="59" ht="409.5" customHeight="1" s="99">
      <c r="A59" t="n">
        <v>1</v>
      </c>
      <c r="B59" t="inlineStr">
        <is>
          <t>CLASSIFY ALL INCOME</t>
        </is>
      </c>
      <c r="C59" s="57" t="inlineStr">
        <is>
          <t>Before computing anything, tag every dollar with:
- Character bucket: Ordinary, QD, LTCG, STCG, 1250, Collectibles, 1231
- NIIT/Activity bucket: Active, Passive, Portfolio, Exempt
This drives everything downstream.</t>
        </is>
      </c>
    </row>
    <row r="60" ht="275.5" customHeight="1" s="99">
      <c r="A60" t="n">
        <v>2</v>
      </c>
      <c r="B60" t="inlineStr">
        <is>
          <t>COMPUTE SE TAX EARLY</t>
        </is>
      </c>
      <c r="C60" s="57" t="inlineStr">
        <is>
          <t>SE tax is computed on net SE earnings × 92.35%
The 1/2 SE tax deduction reduces AGI
This affects MAGI for NIIT and many phaseouts</t>
        </is>
      </c>
    </row>
    <row r="61" ht="348" customHeight="1" s="99">
      <c r="A61" t="n">
        <v>3</v>
      </c>
      <c r="B61" t="inlineStr">
        <is>
          <t>BUILD AGI</t>
        </is>
      </c>
      <c r="C61" s="57" t="inlineStr">
        <is>
          <t>AGI = All taxable income - Above-the-line deductions
Includes: Wages, SE income, capital gains, dividends, interest
Minus: 1/2 SE tax, retirement contributions, HSA, etc.</t>
        </is>
      </c>
    </row>
    <row r="62" ht="159.5" customHeight="1" s="99">
      <c r="A62" t="n">
        <v>4</v>
      </c>
      <c r="B62" t="inlineStr">
        <is>
          <t>BUILD MAGI</t>
        </is>
      </c>
      <c r="C62" s="57" t="inlineStr">
        <is>
          <t>For NIIT: MAGI = AGI (for most people)
Note: QBI does NOT reduce AGI or MAGI</t>
        </is>
      </c>
    </row>
    <row r="63" ht="217.5" customHeight="1" s="99">
      <c r="A63" t="n">
        <v>5</v>
      </c>
      <c r="B63" t="inlineStr">
        <is>
          <t>BUILD TAXABLE INCOME (pre-QBI)</t>
        </is>
      </c>
      <c r="C63" s="57" t="inlineStr">
        <is>
          <t>Taxable Income = AGI - Standard/Itemized deduction
Compare: Standard vs Itemized, take the greater</t>
        </is>
      </c>
    </row>
    <row r="64" ht="275.5" customHeight="1" s="99">
      <c r="A64" t="n">
        <v>6</v>
      </c>
      <c r="B64" t="inlineStr">
        <is>
          <t>COMPUTE QBI DEDUCTION</t>
        </is>
      </c>
      <c r="C64" s="57" t="inlineStr">
        <is>
          <t>QBI deduction keys off taxable income (pre-QBI)
Needs: QBI amount, SSTB status, W-2 wages, UBIA
Limited to 20% of QBI or taxable income</t>
        </is>
      </c>
    </row>
    <row r="65" ht="246.5" customHeight="1" s="99">
      <c r="A65" t="n">
        <v>7</v>
      </c>
      <c r="B65" t="inlineStr">
        <is>
          <t>COMPUTE ORDINARY INCOME TAX</t>
        </is>
      </c>
      <c r="C65" s="57" t="inlineStr">
        <is>
          <t>Uses stacking: Ordinary income fills brackets first
Taxable Ordinary = Taxable Income - LTCG - QD
Apply progressive tax rates</t>
        </is>
      </c>
    </row>
    <row r="66" ht="319" customHeight="1" s="99">
      <c r="A66" t="n">
        <v>8</v>
      </c>
      <c r="B66" t="inlineStr">
        <is>
          <t>COMPUTE CAPITAL GAINS TAX</t>
        </is>
      </c>
      <c r="C66" s="57" t="inlineStr">
        <is>
          <t>LTCG + QD stack ON TOP of ordinary income
Apply 0%/15%/20% rates based on total taxable income
Special buckets: 1250 (25% max), Collectibles (28% max)</t>
        </is>
      </c>
    </row>
    <row r="67" ht="290" customHeight="1" s="99">
      <c r="A67" t="n">
        <v>9</v>
      </c>
      <c r="B67" t="inlineStr">
        <is>
          <t>COMPUTE NIIT</t>
        </is>
      </c>
      <c r="C67" s="57" t="inlineStr">
        <is>
          <t>NIIT = 3.8% × MIN(NII, MAGI - threshold)
NII includes: Interest, dividends, cap gains, passive income
Excludes: W-2 wages, active business income</t>
        </is>
      </c>
    </row>
    <row r="68" ht="246.5" customHeight="1" s="99">
      <c r="A68" t="n">
        <v>10</v>
      </c>
      <c r="B68" t="inlineStr">
        <is>
          <t>FINAL OVERLAYS</t>
        </is>
      </c>
      <c r="C68" s="57" t="inlineStr">
        <is>
          <t>Additional Medicare Tax (0.9%) on wages + SE over threshold
AMT if applicable
Credits, penalties, withholding</t>
        </is>
      </c>
    </row>
    <row r="72">
      <c r="A72" t="inlineStr">
        <is>
          <t>═══════════════════════════════════════════════════════</t>
        </is>
      </c>
    </row>
    <row r="73" ht="18.5" customHeight="1" s="99">
      <c r="A73" s="15" t="inlineStr">
        <is>
          <t>STRATEGY CATALOG</t>
        </is>
      </c>
    </row>
    <row r="74">
      <c r="A74" t="inlineStr">
        <is>
          <t>TAX PLANNING STRATEGIES</t>
        </is>
      </c>
    </row>
    <row r="76">
      <c r="A76" t="inlineStr">
        <is>
          <t>ID</t>
        </is>
      </c>
      <c r="B76" t="inlineStr">
        <is>
          <t>Group</t>
        </is>
      </c>
      <c r="C76" t="inlineStr">
        <is>
          <t>Strategy Name</t>
        </is>
      </c>
      <c r="D76" t="inlineStr">
        <is>
          <t>Description</t>
        </is>
      </c>
      <c r="E76" t="inlineStr">
        <is>
          <t>Impact Type</t>
        </is>
      </c>
      <c r="F76" t="inlineStr">
        <is>
          <t>Complexity</t>
        </is>
      </c>
      <c r="G76" t="inlineStr">
        <is>
          <t>Tax Lines Affected</t>
        </is>
      </c>
      <c r="H76" t="inlineStr">
        <is>
          <t>Est. Savings</t>
        </is>
      </c>
      <c r="I76" t="inlineStr">
        <is>
          <t>Status</t>
        </is>
      </c>
      <c r="J76" t="inlineStr">
        <is>
          <t>Notes</t>
        </is>
      </c>
    </row>
    <row r="77">
      <c r="A77" t="inlineStr">
        <is>
          <t>STD-001</t>
        </is>
      </c>
      <c r="B77" t="inlineStr">
        <is>
          <t>Low Hanging Fruit</t>
        </is>
      </c>
      <c r="C77" t="inlineStr">
        <is>
          <t>Retirement Plan Contributions</t>
        </is>
      </c>
      <c r="D77" t="inlineStr">
        <is>
          <t>Solo 401k, SEP IRA, or Cash Balance plan contributions reduce SE/business income</t>
        </is>
      </c>
      <c r="E77" t="inlineStr">
        <is>
          <t>Single</t>
        </is>
      </c>
      <c r="F77" t="inlineStr">
        <is>
          <t>Low</t>
        </is>
      </c>
      <c r="G77" t="inlineStr">
        <is>
          <t>Line 10 (Non-SE) ↓</t>
        </is>
      </c>
    </row>
    <row r="78">
      <c r="A78" t="inlineStr">
        <is>
          <t>STD-002</t>
        </is>
      </c>
      <c r="B78" t="inlineStr">
        <is>
          <t>Low Hanging Fruit</t>
        </is>
      </c>
      <c r="C78" t="inlineStr">
        <is>
          <t>Augusta Rule</t>
        </is>
      </c>
      <c r="D78" t="inlineStr">
        <is>
          <t>Rent home to business up to 14 days tax-free</t>
        </is>
      </c>
      <c r="E78" t="inlineStr">
        <is>
          <t>Single</t>
        </is>
      </c>
      <c r="F78" t="inlineStr">
        <is>
          <t>Low</t>
        </is>
      </c>
      <c r="G78" t="inlineStr">
        <is>
          <t>Line 10 (Non-SE) ↑</t>
        </is>
      </c>
    </row>
    <row r="79">
      <c r="A79" t="inlineStr">
        <is>
          <t>STD-003</t>
        </is>
      </c>
      <c r="B79" t="inlineStr">
        <is>
          <t>Low Hanging Fruit</t>
        </is>
      </c>
      <c r="C79" t="inlineStr">
        <is>
          <t>Accountable Plan</t>
        </is>
      </c>
      <c r="D79" t="inlineStr">
        <is>
          <t>Reimburse business expenses tax-free</t>
        </is>
      </c>
      <c r="E79" t="inlineStr">
        <is>
          <t>Single</t>
        </is>
      </c>
      <c r="F79" t="inlineStr">
        <is>
          <t>Low</t>
        </is>
      </c>
      <c r="G79" t="inlineStr">
        <is>
          <t>Line 10 (Non-SE) ↑</t>
        </is>
      </c>
    </row>
    <row r="80">
      <c r="A80" t="inlineStr">
        <is>
          <t>STD-004</t>
        </is>
      </c>
      <c r="B80" t="inlineStr">
        <is>
          <t>Low Hanging Fruit</t>
        </is>
      </c>
      <c r="C80" t="inlineStr">
        <is>
          <t>Employee Health/Fringe Benefits</t>
        </is>
      </c>
      <c r="D80" t="inlineStr">
        <is>
          <t>Health insurance and fringe benefits through business</t>
        </is>
      </c>
      <c r="E80" t="inlineStr">
        <is>
          <t>Single</t>
        </is>
      </c>
      <c r="F80" t="inlineStr">
        <is>
          <t>Low</t>
        </is>
      </c>
      <c r="G80" t="inlineStr">
        <is>
          <t>Line 10 (Non-SE) ↑</t>
        </is>
      </c>
    </row>
    <row r="81">
      <c r="A81" t="inlineStr">
        <is>
          <t>STD-005</t>
        </is>
      </c>
      <c r="B81" t="inlineStr">
        <is>
          <t>Low Hanging Fruit</t>
        </is>
      </c>
      <c r="C81" t="inlineStr">
        <is>
          <t>Hiring Children</t>
        </is>
      </c>
      <c r="D81" t="inlineStr">
        <is>
          <t>Pay children for legitimate work in business</t>
        </is>
      </c>
      <c r="E81" t="inlineStr">
        <is>
          <t>Single</t>
        </is>
      </c>
      <c r="F81" t="inlineStr">
        <is>
          <t>Medium</t>
        </is>
      </c>
      <c r="G81" t="inlineStr">
        <is>
          <t>Line 10 (Non-SE) ↑, Line 1 ↑</t>
        </is>
      </c>
    </row>
    <row r="82">
      <c r="A82" t="inlineStr">
        <is>
          <t>STD-006</t>
        </is>
      </c>
      <c r="B82" t="inlineStr">
        <is>
          <t>Low Hanging Fruit</t>
        </is>
      </c>
      <c r="C82" t="inlineStr">
        <is>
          <t>Income Timing</t>
        </is>
      </c>
      <c r="D82" t="inlineStr">
        <is>
          <t>Defer/accelerate income between tax years</t>
        </is>
      </c>
      <c r="E82" t="inlineStr">
        <is>
          <t>Single</t>
        </is>
      </c>
      <c r="F82" t="inlineStr">
        <is>
          <t>Low</t>
        </is>
      </c>
      <c r="G82" t="inlineStr">
        <is>
          <t>Various</t>
        </is>
      </c>
    </row>
    <row r="83">
      <c r="A83" t="inlineStr">
        <is>
          <t>STD-007</t>
        </is>
      </c>
      <c r="B83" t="inlineStr">
        <is>
          <t>SE Tax</t>
        </is>
      </c>
      <c r="C83" t="inlineStr">
        <is>
          <t>Entity Restructure (S-Corp)</t>
        </is>
      </c>
      <c r="D83" t="inlineStr">
        <is>
          <t>Convert Schedule C to S-Corp for wage/distribution split</t>
        </is>
      </c>
      <c r="E83" t="inlineStr">
        <is>
          <t>Multi</t>
        </is>
      </c>
      <c r="F83" t="inlineStr">
        <is>
          <t>High</t>
        </is>
      </c>
      <c r="G83" t="inlineStr">
        <is>
          <t>Line 9 ↓, Line 10 ↑, Line 1 ↑</t>
        </is>
      </c>
    </row>
    <row r="84">
      <c r="A84" t="inlineStr">
        <is>
          <t>STD-008</t>
        </is>
      </c>
      <c r="B84" t="inlineStr">
        <is>
          <t>SE Tax</t>
        </is>
      </c>
      <c r="C84" t="inlineStr">
        <is>
          <t>Wage Optimization</t>
        </is>
      </c>
      <c r="D84" t="inlineStr">
        <is>
          <t>Optimize S-Corp salary for SE tax vs QBI</t>
        </is>
      </c>
      <c r="E84" t="inlineStr">
        <is>
          <t>Multi</t>
        </is>
      </c>
      <c r="F84" t="inlineStr">
        <is>
          <t>Medium</t>
        </is>
      </c>
      <c r="G84" t="inlineStr">
        <is>
          <t>Line 1, Line 10</t>
        </is>
      </c>
    </row>
    <row r="85">
      <c r="A85" t="inlineStr">
        <is>
          <t>STD-009</t>
        </is>
      </c>
      <c r="B85" t="inlineStr">
        <is>
          <t>Cap Gain</t>
        </is>
      </c>
      <c r="C85" t="inlineStr">
        <is>
          <t>1031 Exchange</t>
        </is>
      </c>
      <c r="D85" t="inlineStr">
        <is>
          <t>Defer gains on real estate sale</t>
        </is>
      </c>
      <c r="E85" t="inlineStr">
        <is>
          <t>Single</t>
        </is>
      </c>
      <c r="F85" t="inlineStr">
        <is>
          <t>High</t>
        </is>
      </c>
      <c r="G85" t="inlineStr">
        <is>
          <t>Line 7 (LTCG) ↓</t>
        </is>
      </c>
    </row>
    <row r="86">
      <c r="A86" t="inlineStr">
        <is>
          <t>STD-010</t>
        </is>
      </c>
      <c r="B86" t="inlineStr">
        <is>
          <t>Cap Gain</t>
        </is>
      </c>
      <c r="C86" t="inlineStr">
        <is>
          <t>Opportunity Zone</t>
        </is>
      </c>
      <c r="D86" t="inlineStr">
        <is>
          <t>Invest gains in OZ for deferral/exclusion</t>
        </is>
      </c>
      <c r="E86" t="inlineStr">
        <is>
          <t>Single</t>
        </is>
      </c>
      <c r="F86" t="inlineStr">
        <is>
          <t>High</t>
        </is>
      </c>
      <c r="G86" t="inlineStr">
        <is>
          <t>Line 7 (LTCG) ↓</t>
        </is>
      </c>
    </row>
    <row r="87">
      <c r="A87" t="inlineStr">
        <is>
          <t>STD-011</t>
        </is>
      </c>
      <c r="B87" t="inlineStr">
        <is>
          <t>Cap Gain</t>
        </is>
      </c>
      <c r="C87" t="inlineStr">
        <is>
          <t>Tax Loss Harvesting</t>
        </is>
      </c>
      <c r="D87" t="inlineStr">
        <is>
          <t>Sell losers to offset gains</t>
        </is>
      </c>
      <c r="E87" t="inlineStr">
        <is>
          <t>Single</t>
        </is>
      </c>
      <c r="F87" t="inlineStr">
        <is>
          <t>Medium</t>
        </is>
      </c>
      <c r="G87" t="inlineStr">
        <is>
          <t>Line 7 ↓</t>
        </is>
      </c>
    </row>
    <row r="88">
      <c r="A88" t="inlineStr">
        <is>
          <t>STD-012</t>
        </is>
      </c>
      <c r="B88" t="inlineStr">
        <is>
          <t>CRE</t>
        </is>
      </c>
      <c r="C88" t="inlineStr">
        <is>
          <t>Cost Segregation</t>
        </is>
      </c>
      <c r="D88" t="inlineStr">
        <is>
          <t>Accelerate depreciation via cost seg study</t>
        </is>
      </c>
      <c r="E88" t="inlineStr">
        <is>
          <t>Single</t>
        </is>
      </c>
      <c r="F88" t="inlineStr">
        <is>
          <t>High</t>
        </is>
      </c>
      <c r="G88" t="inlineStr">
        <is>
          <t>Line 10 (Non-SE) ↓</t>
        </is>
      </c>
    </row>
    <row r="89">
      <c r="A89" t="inlineStr">
        <is>
          <t>STD-013</t>
        </is>
      </c>
      <c r="B89" t="inlineStr">
        <is>
          <t>CRE</t>
        </is>
      </c>
      <c r="C89" t="inlineStr">
        <is>
          <t>RE Professional Election</t>
        </is>
      </c>
      <c r="D89" t="inlineStr">
        <is>
          <t>Convert passive to active for loss utilization</t>
        </is>
      </c>
      <c r="E89" t="inlineStr">
        <is>
          <t>Multi</t>
        </is>
      </c>
      <c r="F89" t="inlineStr">
        <is>
          <t>High</t>
        </is>
      </c>
      <c r="G89" t="inlineStr">
        <is>
          <t>Line 14 → Line 10</t>
        </is>
      </c>
    </row>
    <row r="90">
      <c r="A90" t="inlineStr">
        <is>
          <t>STD-014</t>
        </is>
      </c>
      <c r="B90" t="inlineStr">
        <is>
          <t>CRE</t>
        </is>
      </c>
      <c r="C90" t="inlineStr">
        <is>
          <t>Section 179 Expensing</t>
        </is>
      </c>
      <c r="D90" t="inlineStr">
        <is>
          <t>Immediate expense vs depreciation</t>
        </is>
      </c>
      <c r="E90" t="inlineStr">
        <is>
          <t>Single</t>
        </is>
      </c>
      <c r="F90" t="inlineStr">
        <is>
          <t>Medium</t>
        </is>
      </c>
      <c r="G90" t="inlineStr">
        <is>
          <t>Line 10 (Non-SE) ↓</t>
        </is>
      </c>
    </row>
    <row r="91">
      <c r="A91" t="inlineStr">
        <is>
          <t>ADV-001</t>
        </is>
      </c>
      <c r="B91" t="inlineStr">
        <is>
          <t>Advanced</t>
        </is>
      </c>
      <c r="C91" t="inlineStr">
        <is>
          <t>Cash Balance Plan</t>
        </is>
      </c>
      <c r="D91" t="inlineStr">
        <is>
          <t>Defined benefit plan for high earners</t>
        </is>
      </c>
      <c r="E91" t="inlineStr">
        <is>
          <t>Single</t>
        </is>
      </c>
      <c r="F91" t="inlineStr">
        <is>
          <t>High</t>
        </is>
      </c>
      <c r="G91" t="inlineStr">
        <is>
          <t>Line 10 (Non-SE) ↓</t>
        </is>
      </c>
    </row>
    <row r="92">
      <c r="A92" t="inlineStr">
        <is>
          <t>ADV-002</t>
        </is>
      </c>
      <c r="B92" t="inlineStr">
        <is>
          <t>Advanced</t>
        </is>
      </c>
      <c r="C92" t="inlineStr">
        <is>
          <t>Charitable Strategies</t>
        </is>
      </c>
      <c r="D92" t="inlineStr">
        <is>
          <t>CRUT, CRAT, DAF for charitable deductions</t>
        </is>
      </c>
      <c r="E92" t="inlineStr">
        <is>
          <t>Single</t>
        </is>
      </c>
      <c r="F92" t="inlineStr">
        <is>
          <t>High</t>
        </is>
      </c>
      <c r="G92" t="inlineStr">
        <is>
          <t>Line 12 (Itemized) ↑</t>
        </is>
      </c>
    </row>
    <row r="93">
      <c r="A93" t="inlineStr">
        <is>
          <t>ADV-003</t>
        </is>
      </c>
      <c r="B93" t="inlineStr">
        <is>
          <t>Advanced</t>
        </is>
      </c>
      <c r="C93" t="inlineStr">
        <is>
          <t>QBI Optimization</t>
        </is>
      </c>
      <c r="D93" t="inlineStr">
        <is>
          <t>Grouping and aggregation elections</t>
        </is>
      </c>
      <c r="E93" t="inlineStr">
        <is>
          <t>Computed</t>
        </is>
      </c>
      <c r="F93" t="inlineStr">
        <is>
          <t>High</t>
        </is>
      </c>
      <c r="G93" t="inlineStr">
        <is>
          <t>QBI Deduction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00C00000"/>
    <outlinePr summaryBelow="1" summaryRight="1"/>
    <pageSetUpPr/>
  </sheetPr>
  <dimension ref="B2:L66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13" customWidth="1" style="99" min="2" max="2"/>
    <col width="11" customWidth="1" style="99" min="3" max="3"/>
    <col width="28" customWidth="1" style="99" min="4" max="4"/>
    <col width="10" customWidth="1" style="99" min="5" max="5"/>
    <col width="14" customWidth="1" style="99" min="6" max="6"/>
    <col width="12" customWidth="1" style="99" min="7" max="7"/>
    <col width="22" customWidth="1" style="99" min="8" max="8"/>
    <col width="6" customWidth="1" style="99" min="9" max="9"/>
    <col width="28" customWidth="1" style="99" min="10" max="10"/>
    <col width="18" customWidth="1" style="99" min="11" max="11"/>
    <col width="50" customWidth="1" style="99" min="12" max="12"/>
  </cols>
  <sheetData>
    <row r="2" ht="26" customHeight="1" s="99">
      <c r="B2" s="160" t="inlineStr">
        <is>
          <t>MASTER STRATEGIES CATALOG</t>
        </is>
      </c>
    </row>
    <row r="3">
      <c r="B3" s="137" t="inlineStr">
        <is>
          <t>Source of truth aligned with year-sheet STR-IDs. One row per impact. Use the Strategy Builder (Section D) to size a strategy and see its fan-out before pasting into a year sheet.</t>
        </is>
      </c>
    </row>
    <row r="5">
      <c r="B5" s="171" t="inlineStr">
        <is>
          <t>▸ SECTION A — STRATEGY CATALOG (aligned with year-sheet STR-IDs)</t>
        </is>
      </c>
    </row>
    <row r="7">
      <c r="B7" s="145" t="inlineStr">
        <is>
          <t>Strategy_ID</t>
        </is>
      </c>
      <c r="C7" s="145" t="inlineStr">
        <is>
          <t>Impact_Num</t>
        </is>
      </c>
      <c r="D7" s="145" t="inlineStr">
        <is>
          <t>Strategy_Name</t>
        </is>
      </c>
      <c r="E7" s="145" t="inlineStr">
        <is>
          <t>Bucket</t>
        </is>
      </c>
      <c r="F7" s="145" t="inlineStr">
        <is>
          <t>Framework_Ref</t>
        </is>
      </c>
      <c r="G7" s="145" t="inlineStr">
        <is>
          <t>TargetLine</t>
        </is>
      </c>
      <c r="H7" s="145" t="inlineStr">
        <is>
          <t>HelperTreatment</t>
        </is>
      </c>
      <c r="I7" s="145" t="inlineStr">
        <is>
          <t>Sign</t>
        </is>
      </c>
      <c r="J7" s="145" t="inlineStr">
        <is>
          <t>Cap_Rule</t>
        </is>
      </c>
      <c r="K7" s="145" t="inlineStr">
        <is>
          <t>Plan_Maturity_Min</t>
        </is>
      </c>
      <c r="L7" s="145" t="inlineStr">
        <is>
          <t>Description</t>
        </is>
      </c>
    </row>
    <row r="8">
      <c r="B8" s="172" t="inlineStr">
        <is>
          <t>STR-001</t>
        </is>
      </c>
      <c r="C8" s="158" t="n">
        <v>1</v>
      </c>
      <c r="D8" s="172" t="inlineStr">
        <is>
          <t>S-Corp Wage Optimization</t>
        </is>
      </c>
      <c r="E8" s="172" t="inlineStr">
        <is>
          <t>Core</t>
        </is>
      </c>
      <c r="F8" s="172" t="inlineStr">
        <is>
          <t>#2</t>
        </is>
      </c>
      <c r="G8" s="172" t="inlineStr">
        <is>
          <t>1z</t>
        </is>
      </c>
      <c r="H8" s="172" t="inlineStr">
        <is>
          <t>OWNER_PAY</t>
        </is>
      </c>
      <c r="I8" s="158" t="n">
        <v>-1</v>
      </c>
      <c r="J8" s="172" t="inlineStr">
        <is>
          <t>Reasonable comp (RCReports / industry avg)</t>
        </is>
      </c>
      <c r="K8" s="172" t="inlineStr">
        <is>
          <t>Standard</t>
        </is>
      </c>
      <c r="L8" s="172" t="inlineStr">
        <is>
          <t>Reduce W-2 wages to reasonable comp; surplus shifts to K-1</t>
        </is>
      </c>
    </row>
    <row r="9">
      <c r="B9" s="172" t="inlineStr">
        <is>
          <t>STR-001</t>
        </is>
      </c>
      <c r="C9" s="158" t="n">
        <v>2</v>
      </c>
      <c r="D9" s="172" t="inlineStr">
        <is>
          <t>S-Corp Wage Optimization</t>
        </is>
      </c>
      <c r="E9" s="172" t="inlineStr">
        <is>
          <t>Core</t>
        </is>
      </c>
      <c r="F9" s="172" t="inlineStr">
        <is>
          <t>#2</t>
        </is>
      </c>
      <c r="G9" s="172" t="inlineStr">
        <is>
          <t>8</t>
        </is>
      </c>
      <c r="H9" s="172" t="inlineStr">
        <is>
          <t>K1_SCorp_Active</t>
        </is>
      </c>
      <c r="I9" s="158" t="n">
        <v>1</v>
      </c>
      <c r="J9" s="172" t="inlineStr">
        <is>
          <t>Mirrors Impact 1 amount</t>
        </is>
      </c>
      <c r="K9" s="172" t="inlineStr">
        <is>
          <t>Standard</t>
        </is>
      </c>
      <c r="L9" s="172" t="inlineStr">
        <is>
          <t>Surplus from W-2 reduction lands as K-1 active income</t>
        </is>
      </c>
    </row>
    <row r="10">
      <c r="B10" s="172" t="inlineStr">
        <is>
          <t>STR-002</t>
        </is>
      </c>
      <c r="C10" s="158" t="n">
        <v>1</v>
      </c>
      <c r="D10" s="172" t="inlineStr">
        <is>
          <t>HSA Family Max</t>
        </is>
      </c>
      <c r="E10" s="172" t="inlineStr">
        <is>
          <t>Supp.</t>
        </is>
      </c>
      <c r="F10" s="172" t="inlineStr">
        <is>
          <t>—</t>
        </is>
      </c>
      <c r="G10" s="172" t="inlineStr">
        <is>
          <t>10</t>
        </is>
      </c>
      <c r="H10" s="172" t="inlineStr">
        <is>
          <t>HSA</t>
        </is>
      </c>
      <c r="I10" s="158" t="n">
        <v>-1</v>
      </c>
      <c r="J10" s="172" t="inlineStr">
        <is>
          <t>$8,300 family / $4,150 self (2024)</t>
        </is>
      </c>
      <c r="K10" s="172" t="inlineStr">
        <is>
          <t>Standard</t>
        </is>
      </c>
      <c r="L10" s="172" t="inlineStr">
        <is>
          <t>Health Savings Account above-line deduction</t>
        </is>
      </c>
    </row>
    <row r="11">
      <c r="B11" s="172" t="inlineStr">
        <is>
          <t>STR-003</t>
        </is>
      </c>
      <c r="C11" s="158" t="n">
        <v>1</v>
      </c>
      <c r="D11" s="172" t="inlineStr">
        <is>
          <t>Charitable Bunching (DAF)</t>
        </is>
      </c>
      <c r="E11" s="172" t="inlineStr">
        <is>
          <t>Supp.</t>
        </is>
      </c>
      <c r="F11" s="172" t="inlineStr">
        <is>
          <t>B5</t>
        </is>
      </c>
      <c r="G11" s="172" t="inlineStr">
        <is>
          <t>12</t>
        </is>
      </c>
      <c r="H11" s="172" t="inlineStr">
        <is>
          <t>CHARITY_DAF</t>
        </is>
      </c>
      <c r="I11" s="158" t="n">
        <v>-1</v>
      </c>
      <c r="J11" s="172" t="inlineStr">
        <is>
          <t>30%/60% AGI limits</t>
        </is>
      </c>
      <c r="K11" s="172" t="inlineStr">
        <is>
          <t>Standard</t>
        </is>
      </c>
      <c r="L11" s="172" t="inlineStr">
        <is>
          <t>Bunch multi-year giving into one DAF year; itemize that year</t>
        </is>
      </c>
    </row>
    <row r="12">
      <c r="B12" s="172" t="inlineStr">
        <is>
          <t>STR-004</t>
        </is>
      </c>
      <c r="C12" s="158" t="n">
        <v>1</v>
      </c>
      <c r="D12" s="172" t="inlineStr">
        <is>
          <t>SEP-IRA / Solo 401(k)</t>
        </is>
      </c>
      <c r="E12" s="172" t="inlineStr">
        <is>
          <t>Core</t>
        </is>
      </c>
      <c r="F12" s="172" t="inlineStr">
        <is>
          <t>#3</t>
        </is>
      </c>
      <c r="G12" s="172" t="inlineStr">
        <is>
          <t>8</t>
        </is>
      </c>
      <c r="H12" s="172" t="inlineStr">
        <is>
          <t>RETIREMENT</t>
        </is>
      </c>
      <c r="I12" s="158" t="n">
        <v>-1</v>
      </c>
      <c r="J12" s="172" t="inlineStr">
        <is>
          <t>25% of comp; $66K combined (2024)</t>
        </is>
      </c>
      <c r="K12" s="172" t="inlineStr">
        <is>
          <t>Standard</t>
        </is>
      </c>
      <c r="L12" s="172" t="inlineStr">
        <is>
          <t>Retirement contribution defaults to Line 8 (S-Corp owner); change to 10 for sole-prop</t>
        </is>
      </c>
    </row>
    <row r="13">
      <c r="B13" s="172" t="inlineStr">
        <is>
          <t>STR-005</t>
        </is>
      </c>
      <c r="C13" s="158" t="n">
        <v>1</v>
      </c>
      <c r="D13" s="172" t="inlineStr">
        <is>
          <t>Cost Seg Study</t>
        </is>
      </c>
      <c r="E13" s="172" t="inlineStr">
        <is>
          <t>Core</t>
        </is>
      </c>
      <c r="F13" s="172" t="inlineStr">
        <is>
          <t>#4</t>
        </is>
      </c>
      <c r="G13" s="172" t="inlineStr">
        <is>
          <t>8</t>
        </is>
      </c>
      <c r="H13" s="172" t="inlineStr">
        <is>
          <t>SchE_Rental</t>
        </is>
      </c>
      <c r="I13" s="158" t="n">
        <v>-1</v>
      </c>
      <c r="J13" s="172" t="inlineStr">
        <is>
          <t>25% Y1 accel of building basis (default)</t>
        </is>
      </c>
      <c r="K13" s="172" t="inlineStr">
        <is>
          <t>Verified</t>
        </is>
      </c>
      <c r="L13" s="172" t="inlineStr">
        <is>
          <t>Engineering reclass + bonus depr on rental property</t>
        </is>
      </c>
    </row>
    <row r="14">
      <c r="B14" s="172" t="inlineStr">
        <is>
          <t>STR-006</t>
        </is>
      </c>
      <c r="C14" s="158" t="n">
        <v>1</v>
      </c>
      <c r="D14" s="172" t="inlineStr">
        <is>
          <t>Roth Conversion</t>
        </is>
      </c>
      <c r="E14" s="172" t="inlineStr">
        <is>
          <t>Supp.</t>
        </is>
      </c>
      <c r="F14" s="172" t="inlineStr">
        <is>
          <t>B4</t>
        </is>
      </c>
      <c r="G14" s="172" t="inlineStr">
        <is>
          <t>1z</t>
        </is>
      </c>
      <c r="H14" s="172" t="inlineStr">
        <is>
          <t>ROTH_CONV</t>
        </is>
      </c>
      <c r="I14" s="158" t="n">
        <v>1</v>
      </c>
      <c r="J14" s="172" t="inlineStr">
        <is>
          <t>Bracket management</t>
        </is>
      </c>
      <c r="K14" s="172" t="inlineStr">
        <is>
          <t>Standard</t>
        </is>
      </c>
      <c r="L14" s="172" t="inlineStr">
        <is>
          <t>Trad → Roth conversion (creates taxable income; revisit TargetLine — canonical is 4b)</t>
        </is>
      </c>
    </row>
    <row r="15">
      <c r="B15" s="172" t="inlineStr">
        <is>
          <t>STR-007</t>
        </is>
      </c>
      <c r="C15" s="158" t="n">
        <v>1</v>
      </c>
      <c r="D15" s="172" t="inlineStr">
        <is>
          <t>Augusta Rule (§280A)</t>
        </is>
      </c>
      <c r="E15" s="172" t="inlineStr">
        <is>
          <t>Core</t>
        </is>
      </c>
      <c r="F15" s="172" t="inlineStr">
        <is>
          <t>#5 LHF</t>
        </is>
      </c>
      <c r="G15" s="172" t="inlineStr">
        <is>
          <t>8</t>
        </is>
      </c>
      <c r="H15" s="172" t="inlineStr">
        <is>
          <t>AUGUSTA</t>
        </is>
      </c>
      <c r="I15" s="158" t="n">
        <v>-1</v>
      </c>
      <c r="J15" s="172" t="inlineStr">
        <is>
          <t>≤14 days/yr at FMV</t>
        </is>
      </c>
      <c r="K15" s="172" t="inlineStr">
        <is>
          <t>Standard</t>
        </is>
      </c>
      <c r="L15" s="172" t="inlineStr">
        <is>
          <t>S-Corp rents owner residence ≤14 days; deduction to business, tax-free to owner</t>
        </is>
      </c>
    </row>
    <row r="16">
      <c r="B16" s="172" t="inlineStr">
        <is>
          <t>STR-008</t>
        </is>
      </c>
      <c r="C16" s="158" t="n">
        <v>1</v>
      </c>
      <c r="D16" s="172" t="inlineStr">
        <is>
          <t>Accountable Plan</t>
        </is>
      </c>
      <c r="E16" s="172" t="inlineStr">
        <is>
          <t>Core</t>
        </is>
      </c>
      <c r="F16" s="172" t="inlineStr">
        <is>
          <t>#5 LHF</t>
        </is>
      </c>
      <c r="G16" s="172" t="inlineStr">
        <is>
          <t>8</t>
        </is>
      </c>
      <c r="H16" s="172" t="inlineStr">
        <is>
          <t>ACCT_PLAN</t>
        </is>
      </c>
      <c r="I16" s="158" t="n">
        <v>-1</v>
      </c>
      <c r="J16" s="172" t="inlineStr">
        <is>
          <t>Substantiated expenses only</t>
        </is>
      </c>
      <c r="K16" s="172" t="inlineStr">
        <is>
          <t>Standard</t>
        </is>
      </c>
      <c r="L16" s="172" t="inlineStr">
        <is>
          <t>Written plan reimburses owner-employee for business-use of home/vehicle</t>
        </is>
      </c>
    </row>
    <row r="17">
      <c r="B17" s="172" t="inlineStr">
        <is>
          <t>STR-009</t>
        </is>
      </c>
      <c r="C17" s="158" t="n">
        <v>1</v>
      </c>
      <c r="D17" s="172" t="inlineStr">
        <is>
          <t>Hire Children</t>
        </is>
      </c>
      <c r="E17" s="172" t="inlineStr">
        <is>
          <t>Core</t>
        </is>
      </c>
      <c r="F17" s="172" t="inlineStr">
        <is>
          <t>#5 LHF</t>
        </is>
      </c>
      <c r="G17" s="172" t="inlineStr">
        <is>
          <t>8</t>
        </is>
      </c>
      <c r="H17" s="172" t="inlineStr">
        <is>
          <t>CHILD_WAGES</t>
        </is>
      </c>
      <c r="I17" s="158" t="n">
        <v>-1</v>
      </c>
      <c r="J17" s="172" t="inlineStr">
        <is>
          <t>Reasonable wages for age/work</t>
        </is>
      </c>
      <c r="K17" s="172" t="inlineStr">
        <is>
          <t>Standard</t>
        </is>
      </c>
      <c r="L17" s="172" t="inlineStr">
        <is>
          <t>Wages deductible to business</t>
        </is>
      </c>
    </row>
    <row r="18">
      <c r="B18" s="172" t="inlineStr">
        <is>
          <t>STR-009</t>
        </is>
      </c>
      <c r="C18" s="158" t="n">
        <v>2</v>
      </c>
      <c r="D18" s="172" t="inlineStr">
        <is>
          <t>Hire Children</t>
        </is>
      </c>
      <c r="E18" s="172" t="inlineStr">
        <is>
          <t>Core</t>
        </is>
      </c>
      <c r="F18" s="172" t="inlineStr">
        <is>
          <t>#5 LHF</t>
        </is>
      </c>
      <c r="G18" s="172" t="inlineStr">
        <is>
          <t>1z</t>
        </is>
      </c>
      <c r="H18" s="172" t="inlineStr">
        <is>
          <t>CHILD_WAGES</t>
        </is>
      </c>
      <c r="I18" s="158" t="n">
        <v>1</v>
      </c>
      <c r="J18" s="172" t="inlineStr">
        <is>
          <t>Child's std ded $14,600 (2024)</t>
        </is>
      </c>
      <c r="K18" s="172" t="inlineStr">
        <is>
          <t>Standard</t>
        </is>
      </c>
      <c r="L18" s="172" t="inlineStr">
        <is>
          <t>Wages reportable on child's return; offset by std ded</t>
        </is>
      </c>
    </row>
    <row r="19">
      <c r="B19" s="172" t="inlineStr">
        <is>
          <t>STR-009</t>
        </is>
      </c>
      <c r="C19" s="158" t="n">
        <v>3</v>
      </c>
      <c r="D19" s="172" t="inlineStr">
        <is>
          <t>Hire Children</t>
        </is>
      </c>
      <c r="E19" s="172" t="inlineStr">
        <is>
          <t>Core</t>
        </is>
      </c>
      <c r="F19" s="172" t="inlineStr">
        <is>
          <t>#5 LHF</t>
        </is>
      </c>
      <c r="G19" s="172" t="inlineStr">
        <is>
          <t>—</t>
        </is>
      </c>
      <c r="H19" s="172" t="inlineStr">
        <is>
          <t>CHILD_ROTH</t>
        </is>
      </c>
      <c r="I19" s="158" t="n">
        <v>0</v>
      </c>
      <c r="J19" s="172" t="inlineStr">
        <is>
          <t>Up to $7K Roth IRA cap</t>
        </is>
      </c>
      <c r="K19" s="172" t="inlineStr">
        <is>
          <t>Standard</t>
        </is>
      </c>
      <c r="L19" s="172" t="inlineStr">
        <is>
          <t>Informational — child can fund Roth IRA from earned wages</t>
        </is>
      </c>
    </row>
    <row r="20">
      <c r="B20" s="172" t="inlineStr">
        <is>
          <t>STR-010</t>
        </is>
      </c>
      <c r="C20" s="158" t="n">
        <v>1</v>
      </c>
      <c r="D20" s="172" t="inlineStr">
        <is>
          <t>Entity Restructuring</t>
        </is>
      </c>
      <c r="E20" s="172" t="inlineStr">
        <is>
          <t>Advanced</t>
        </is>
      </c>
      <c r="F20" s="172" t="inlineStr">
        <is>
          <t>#1</t>
        </is>
      </c>
      <c r="G20" s="172" t="inlineStr">
        <is>
          <t>8</t>
        </is>
      </c>
      <c r="H20" s="172" t="inlineStr">
        <is>
          <t>STRUCTURAL</t>
        </is>
      </c>
      <c r="I20" s="158" t="n">
        <v>-1</v>
      </c>
      <c r="J20" s="172" t="inlineStr">
        <is>
          <t>Case-by-case</t>
        </is>
      </c>
      <c r="K20" s="172" t="inlineStr">
        <is>
          <t>Confirmed</t>
        </is>
      </c>
      <c r="L20" s="172" t="inlineStr">
        <is>
          <t>Reshape entity (HoldCo over OpCo, F-reorg, P→S conv)</t>
        </is>
      </c>
    </row>
    <row r="21">
      <c r="B21" s="172" t="inlineStr">
        <is>
          <t>STR-010</t>
        </is>
      </c>
      <c r="C21" s="158" t="n">
        <v>2</v>
      </c>
      <c r="D21" s="172" t="inlineStr">
        <is>
          <t>Entity Restructuring</t>
        </is>
      </c>
      <c r="E21" s="172" t="inlineStr">
        <is>
          <t>Advanced</t>
        </is>
      </c>
      <c r="F21" s="172" t="inlineStr">
        <is>
          <t>#1</t>
        </is>
      </c>
      <c r="G21" s="172" t="inlineStr">
        <is>
          <t>1z</t>
        </is>
      </c>
      <c r="H21" s="172" t="inlineStr">
        <is>
          <t>STRUCTURAL</t>
        </is>
      </c>
      <c r="I21" s="158" t="n">
        <v>1</v>
      </c>
      <c r="J21" s="172" t="inlineStr">
        <is>
          <t>Case-by-case</t>
        </is>
      </c>
      <c r="K21" s="172" t="inlineStr">
        <is>
          <t>Confirmed</t>
        </is>
      </c>
      <c r="L21" s="172" t="inlineStr">
        <is>
          <t>Reasonable comp adjustment after restructure</t>
        </is>
      </c>
    </row>
    <row r="22">
      <c r="B22" s="172" t="inlineStr">
        <is>
          <t>STR-011</t>
        </is>
      </c>
      <c r="C22" s="158" t="n">
        <v>1</v>
      </c>
      <c r="D22" s="172" t="inlineStr">
        <is>
          <t>Installment Sale / 1031</t>
        </is>
      </c>
      <c r="E22" s="172" t="inlineStr">
        <is>
          <t>Supp.</t>
        </is>
      </c>
      <c r="F22" s="172" t="inlineStr">
        <is>
          <t>B6</t>
        </is>
      </c>
      <c r="G22" s="172" t="inlineStr">
        <is>
          <t>7</t>
        </is>
      </c>
      <c r="H22" s="172" t="inlineStr">
        <is>
          <t>CG_DEFER</t>
        </is>
      </c>
      <c r="I22" s="158" t="n">
        <v>-1</v>
      </c>
      <c r="J22" s="172" t="inlineStr">
        <is>
          <t>Transaction-triggered</t>
        </is>
      </c>
      <c r="K22" s="172" t="inlineStr">
        <is>
          <t>Standard</t>
        </is>
      </c>
      <c r="L22" s="172" t="inlineStr">
        <is>
          <t>Installment §453 or §1031 like-kind defers capital gain recognition</t>
        </is>
      </c>
    </row>
    <row r="23">
      <c r="B23" s="172" t="inlineStr">
        <is>
          <t>STR-012</t>
        </is>
      </c>
      <c r="C23" s="158" t="n">
        <v>1</v>
      </c>
      <c r="D23" s="172" t="inlineStr">
        <is>
          <t>Bonus Depreciation §168(k)</t>
        </is>
      </c>
      <c r="E23" s="172" t="inlineStr">
        <is>
          <t>Core</t>
        </is>
      </c>
      <c r="F23" s="172" t="inlineStr">
        <is>
          <t>#4</t>
        </is>
      </c>
      <c r="G23" s="172" t="inlineStr">
        <is>
          <t>8</t>
        </is>
      </c>
      <c r="H23" s="172" t="inlineStr">
        <is>
          <t>SchE_Rental</t>
        </is>
      </c>
      <c r="I23" s="158" t="n">
        <v>-1</v>
      </c>
      <c r="J23" s="172" t="inlineStr">
        <is>
          <t>60% (2024) → 40% (2025) phase-down</t>
        </is>
      </c>
      <c r="K23" s="172" t="inlineStr">
        <is>
          <t>Verified</t>
        </is>
      </c>
      <c r="L23" s="172" t="inlineStr">
        <is>
          <t>First-year bonus depreciation on qualifying property</t>
        </is>
      </c>
    </row>
    <row r="24">
      <c r="B24" s="172" t="inlineStr">
        <is>
          <t>STR-013</t>
        </is>
      </c>
      <c r="C24" s="158" t="n">
        <v>1</v>
      </c>
      <c r="D24" s="172" t="inlineStr">
        <is>
          <t>R&amp;D Credit §41</t>
        </is>
      </c>
      <c r="E24" s="172" t="inlineStr">
        <is>
          <t>Advanced</t>
        </is>
      </c>
      <c r="F24" s="172" t="inlineStr">
        <is>
          <t>—</t>
        </is>
      </c>
      <c r="G24" s="172" t="inlineStr">
        <is>
          <t>20</t>
        </is>
      </c>
      <c r="H24" s="172" t="inlineStr">
        <is>
          <t>CREDIT_RD</t>
        </is>
      </c>
      <c r="I24" s="158" t="n">
        <v>-1</v>
      </c>
      <c r="J24" s="172" t="inlineStr">
        <is>
          <t>Qualifying research expenses</t>
        </is>
      </c>
      <c r="K24" s="172" t="inlineStr">
        <is>
          <t>Verified</t>
        </is>
      </c>
      <c r="L24" s="172" t="inlineStr">
        <is>
          <t>Section 41 research credit — offsets tax on Line 20</t>
        </is>
      </c>
    </row>
    <row r="25">
      <c r="B25" s="172" t="inlineStr">
        <is>
          <t>STR-014</t>
        </is>
      </c>
      <c r="C25" s="158" t="n">
        <v>1</v>
      </c>
      <c r="D25" s="172" t="inlineStr">
        <is>
          <t>SALT PTE Election</t>
        </is>
      </c>
      <c r="E25" s="172" t="inlineStr">
        <is>
          <t>Supp.</t>
        </is>
      </c>
      <c r="F25" s="172" t="inlineStr">
        <is>
          <t>B1</t>
        </is>
      </c>
      <c r="G25" s="172" t="inlineStr">
        <is>
          <t>12</t>
        </is>
      </c>
      <c r="H25" s="172" t="inlineStr">
        <is>
          <t>PTET</t>
        </is>
      </c>
      <c r="I25" s="158" t="n">
        <v>-1</v>
      </c>
      <c r="J25" s="172" t="inlineStr">
        <is>
          <t>100% state tax via entity</t>
        </is>
      </c>
      <c r="K25" s="172" t="inlineStr">
        <is>
          <t>Verified</t>
        </is>
      </c>
      <c r="L25" s="172" t="inlineStr">
        <is>
          <t>Pass-through entity pays state tax federally; revisit TargetLine — canonical reduces K-1 (8)</t>
        </is>
      </c>
    </row>
    <row r="26">
      <c r="B26" s="172" t="inlineStr">
        <is>
          <t>STR-015</t>
        </is>
      </c>
      <c r="C26" s="158" t="n">
        <v>1</v>
      </c>
      <c r="D26" s="172" t="inlineStr">
        <is>
          <t>Timing / Deferral</t>
        </is>
      </c>
      <c r="E26" s="172" t="inlineStr">
        <is>
          <t>Supp.</t>
        </is>
      </c>
      <c r="F26" s="172" t="inlineStr">
        <is>
          <t>B3</t>
        </is>
      </c>
      <c r="G26" s="172" t="inlineStr">
        <is>
          <t>8</t>
        </is>
      </c>
      <c r="H26" s="172" t="inlineStr">
        <is>
          <t>TIMING</t>
        </is>
      </c>
      <c r="I26" s="158" t="n">
        <v>-1</v>
      </c>
      <c r="J26" s="172" t="inlineStr">
        <is>
          <t>Universal year-end lever</t>
        </is>
      </c>
      <c r="K26" s="172" t="inlineStr">
        <is>
          <t>Standard</t>
        </is>
      </c>
      <c r="L26" s="172" t="inlineStr">
        <is>
          <t>Accelerate deductions / defer income (or reverse)</t>
        </is>
      </c>
    </row>
    <row r="27"/>
    <row r="28"/>
    <row r="29">
      <c r="B29" s="171" t="inlineStr">
        <is>
          <t>▸ SECTION B — BUCKET LEGEND</t>
        </is>
      </c>
    </row>
    <row r="31">
      <c r="B31" s="173" t="inlineStr">
        <is>
          <t>Core</t>
        </is>
      </c>
      <c r="C31" s="172" t="inlineStr">
        <is>
          <t>Bucket A — 5 dependency-ordered foundational strategies. Entity → Wage → Retirement → Bonus Depr → LHF</t>
        </is>
      </c>
      <c r="D31" s="188" t="n"/>
      <c r="E31" s="188" t="n"/>
      <c r="F31" s="188" t="n"/>
      <c r="G31" s="188" t="n"/>
      <c r="H31" s="188" t="n"/>
      <c r="I31" s="188" t="n"/>
      <c r="J31" s="188" t="n"/>
      <c r="K31" s="188" t="n"/>
      <c r="L31" s="189" t="n"/>
    </row>
    <row r="32">
      <c r="B32" s="173" t="inlineStr">
        <is>
          <t>Supp.</t>
        </is>
      </c>
      <c r="C32" s="172" t="inlineStr">
        <is>
          <t>Bucket B — 7 supplemental strategies. PTET, TaxLoss, IncShift/Timing, Roth, DAF, 1031, OppZone</t>
        </is>
      </c>
      <c r="D32" s="188" t="n"/>
      <c r="E32" s="188" t="n"/>
      <c r="F32" s="188" t="n"/>
      <c r="G32" s="188" t="n"/>
      <c r="H32" s="188" t="n"/>
      <c r="I32" s="188" t="n"/>
      <c r="J32" s="188" t="n"/>
      <c r="K32" s="188" t="n"/>
      <c r="L32" s="189" t="n"/>
    </row>
    <row r="33">
      <c r="B33" s="173" t="inlineStr">
        <is>
          <t>Advanced</t>
        </is>
      </c>
      <c r="C33" s="172" t="inlineStr">
        <is>
          <t>Bucket C — case-by-case heavy machinery. Entity restructure, R&amp;D credit, conservation easements</t>
        </is>
      </c>
      <c r="D33" s="188" t="n"/>
      <c r="E33" s="188" t="n"/>
      <c r="F33" s="188" t="n"/>
      <c r="G33" s="188" t="n"/>
      <c r="H33" s="188" t="n"/>
      <c r="I33" s="188" t="n"/>
      <c r="J33" s="188" t="n"/>
      <c r="K33" s="188" t="n"/>
      <c r="L33" s="189" t="n"/>
    </row>
    <row r="36">
      <c r="B36" s="171" t="inlineStr">
        <is>
          <t>▸ SECTION C — SIGN CONVENTION</t>
        </is>
      </c>
    </row>
    <row r="38">
      <c r="B38" s="174" t="inlineStr">
        <is>
          <t>-1</t>
        </is>
      </c>
      <c r="C38" s="175" t="inlineStr">
        <is>
          <t>REDUCES target line</t>
        </is>
      </c>
      <c r="D38" s="176" t="inlineStr">
        <is>
          <t>e.g., 401(k) employee deferral reduces W-2 wages (Line 1z by -$X)</t>
        </is>
      </c>
      <c r="E38" s="188" t="n"/>
      <c r="F38" s="188" t="n"/>
      <c r="G38" s="188" t="n"/>
      <c r="H38" s="188" t="n"/>
      <c r="I38" s="188" t="n"/>
      <c r="J38" s="188" t="n"/>
      <c r="K38" s="188" t="n"/>
      <c r="L38" s="189" t="n"/>
    </row>
    <row r="39">
      <c r="B39" s="174" t="inlineStr">
        <is>
          <t>+1</t>
        </is>
      </c>
      <c r="C39" s="175" t="inlineStr">
        <is>
          <t>INCREASES target line</t>
        </is>
      </c>
      <c r="D39" s="176" t="inlineStr">
        <is>
          <t>e.g., S-Corp wage reduction shifts dollars to K-1 (Line 8 by +$X)</t>
        </is>
      </c>
      <c r="E39" s="188" t="n"/>
      <c r="F39" s="188" t="n"/>
      <c r="G39" s="188" t="n"/>
      <c r="H39" s="188" t="n"/>
      <c r="I39" s="188" t="n"/>
      <c r="J39" s="188" t="n"/>
      <c r="K39" s="188" t="n"/>
      <c r="L39" s="189" t="n"/>
    </row>
    <row r="40">
      <c r="B40" s="174" t="inlineStr">
        <is>
          <t>0</t>
        </is>
      </c>
      <c r="C40" s="175" t="inlineStr">
        <is>
          <t>NO 1040 IMPACT (info)</t>
        </is>
      </c>
      <c r="D40" s="176" t="inlineStr">
        <is>
          <t>e.g., entity structure or Roth-via-child wages — tracked but no direct line move</t>
        </is>
      </c>
      <c r="E40" s="188" t="n"/>
      <c r="F40" s="188" t="n"/>
      <c r="G40" s="188" t="n"/>
      <c r="H40" s="188" t="n"/>
      <c r="I40" s="188" t="n"/>
      <c r="J40" s="188" t="n"/>
      <c r="K40" s="188" t="n"/>
      <c r="L40" s="189" t="n"/>
    </row>
    <row r="43">
      <c r="B43" s="171" t="inlineStr">
        <is>
          <t>▸ SECTION D — STRATEGY BUILDER (live tool — pick + size a strategy)</t>
        </is>
      </c>
    </row>
    <row r="45">
      <c r="B45" s="177" t="inlineStr">
        <is>
          <t>Strategy:</t>
        </is>
      </c>
      <c r="C45" s="178" t="inlineStr">
        <is>
          <t>STR-001</t>
        </is>
      </c>
      <c r="D45" s="177" t="inlineStr">
        <is>
          <t>Amount:</t>
        </is>
      </c>
      <c r="E45" s="179" t="n">
        <v>25000</v>
      </c>
      <c r="F45" s="177" t="inlineStr">
        <is>
          <t>For Year:</t>
        </is>
      </c>
      <c r="G45" s="178">
        <f>Active_Year</f>
        <v/>
      </c>
      <c r="H45" s="177" t="inlineStr">
        <is>
          <t>Status:</t>
        </is>
      </c>
      <c r="I45" s="178" t="inlineStr">
        <is>
          <t>Proposed</t>
        </is>
      </c>
      <c r="J45" s="177" t="inlineStr">
        <is>
          <t>Cap rule:</t>
        </is>
      </c>
      <c r="K45" s="180">
        <f>VLOOKUP($C$45,$B$8:$L$26,9,FALSE)</f>
        <v/>
      </c>
    </row>
    <row r="47">
      <c r="B47" s="181" t="inlineStr">
        <is>
          <t>▾ All impacts for the selected strategy (paste signed amounts into Y[year] sheet)</t>
        </is>
      </c>
    </row>
    <row r="48">
      <c r="B48" s="145" t="inlineStr">
        <is>
          <t>#</t>
        </is>
      </c>
      <c r="C48" s="145" t="inlineStr">
        <is>
          <t>Strategy_ID</t>
        </is>
      </c>
      <c r="D48" s="145" t="inlineStr">
        <is>
          <t>Strategy_Name</t>
        </is>
      </c>
      <c r="E48" s="145" t="inlineStr">
        <is>
          <t>TargetLine</t>
        </is>
      </c>
      <c r="F48" s="145" t="inlineStr">
        <is>
          <t>HelperTreatment</t>
        </is>
      </c>
      <c r="G48" s="145" t="inlineStr">
        <is>
          <t>Sign</t>
        </is>
      </c>
      <c r="H48" s="145" t="inlineStr">
        <is>
          <t>Amount (signed)</t>
        </is>
      </c>
      <c r="I48" s="145" t="inlineStr">
        <is>
          <t>Status</t>
        </is>
      </c>
      <c r="J48" s="145" t="inlineStr">
        <is>
          <t>Cap_Rule</t>
        </is>
      </c>
      <c r="K48" s="145" t="inlineStr">
        <is>
          <t>Description</t>
        </is>
      </c>
    </row>
    <row r="49">
      <c r="B49" s="173" t="n">
        <v>1</v>
      </c>
      <c r="C49" s="158">
        <f>IFERROR(INDEX($B$8:$L$26,MATCH(1,($B$8:$B$26=$C$45)*($C$8:$C$26=1),0),1),"")</f>
        <v/>
      </c>
      <c r="D49" s="172">
        <f>IFERROR(INDEX($B$8:$L$26,MATCH(1,($B$8:$B$26=$C$45)*($C$8:$C$26=1),0),3),"")</f>
        <v/>
      </c>
      <c r="E49" s="158">
        <f>IFERROR(INDEX($B$8:$L$26,MATCH(1,($B$8:$B$26=$C$45)*($C$8:$C$26=1),0),6),"")</f>
        <v/>
      </c>
      <c r="F49" s="158">
        <f>IFERROR(INDEX($B$8:$L$26,MATCH(1,($B$8:$B$26=$C$45)*($C$8:$C$26=1),0),7),"")</f>
        <v/>
      </c>
      <c r="G49" s="158">
        <f>IFERROR(INDEX($B$8:$L$26,MATCH(1,($B$8:$B$26=$C$45)*($C$8:$C$26=1),0),8),"")</f>
        <v/>
      </c>
      <c r="H49" s="182">
        <f>IFERROR(IF(IFERROR(INDEX($B$8:$L$26,MATCH(1,($B$8:$B$26=$C$45)*($C$8:$C$26=1),0),8),""),$E$45*IFERROR(INDEX($B$8:$L$26,MATCH(1,($B$8:$B$26=$C$45)*($C$8:$C$26=1),0),8),"")),"")</f>
        <v/>
      </c>
      <c r="I49" s="158">
        <f>IF(IFERROR(INDEX($B$8:$L$26,MATCH(1,($B$8:$B$26=$C$45)*($C$8:$C$26=1),0),1),"")="","",$I$45)</f>
        <v/>
      </c>
      <c r="J49" s="183">
        <f>IFERROR(INDEX($B$8:$L$26,MATCH(1,($B$8:$B$26=$C$45)*($C$8:$C$26=1),0),9),"")</f>
        <v/>
      </c>
      <c r="K49" s="176">
        <f>IFERROR(INDEX($B$8:$L$26,MATCH(1,($B$8:$B$26=$C$45)*($C$8:$C$26=1),0),11),"")</f>
        <v/>
      </c>
      <c r="L49" s="189" t="n"/>
    </row>
    <row r="50">
      <c r="B50" s="173" t="n">
        <v>2</v>
      </c>
      <c r="C50" s="158">
        <f>IFERROR(INDEX($B$8:$L$26,MATCH(1,($B$8:$B$26=$C$45)*($C$8:$C$26=2),0),1),"")</f>
        <v/>
      </c>
      <c r="D50" s="172">
        <f>IFERROR(INDEX($B$8:$L$26,MATCH(1,($B$8:$B$26=$C$45)*($C$8:$C$26=2),0),3),"")</f>
        <v/>
      </c>
      <c r="E50" s="158">
        <f>IFERROR(INDEX($B$8:$L$26,MATCH(1,($B$8:$B$26=$C$45)*($C$8:$C$26=2),0),6),"")</f>
        <v/>
      </c>
      <c r="F50" s="158">
        <f>IFERROR(INDEX($B$8:$L$26,MATCH(1,($B$8:$B$26=$C$45)*($C$8:$C$26=2),0),7),"")</f>
        <v/>
      </c>
      <c r="G50" s="158">
        <f>IFERROR(INDEX($B$8:$L$26,MATCH(1,($B$8:$B$26=$C$45)*($C$8:$C$26=2),0),8),"")</f>
        <v/>
      </c>
      <c r="H50" s="182">
        <f>IFERROR(IF(IFERROR(INDEX($B$8:$L$26,MATCH(1,($B$8:$B$26=$C$45)*($C$8:$C$26=2),0),8),""),$E$45*IFERROR(INDEX($B$8:$L$26,MATCH(1,($B$8:$B$26=$C$45)*($C$8:$C$26=2),0),8),"")),"")</f>
        <v/>
      </c>
      <c r="I50" s="158">
        <f>IF(IFERROR(INDEX($B$8:$L$26,MATCH(1,($B$8:$B$26=$C$45)*($C$8:$C$26=2),0),1),"")="","",$I$45)</f>
        <v/>
      </c>
      <c r="J50" s="183">
        <f>IFERROR(INDEX($B$8:$L$26,MATCH(1,($B$8:$B$26=$C$45)*($C$8:$C$26=2),0),9),"")</f>
        <v/>
      </c>
      <c r="K50" s="176">
        <f>IFERROR(INDEX($B$8:$L$26,MATCH(1,($B$8:$B$26=$C$45)*($C$8:$C$26=2),0),11),"")</f>
        <v/>
      </c>
      <c r="L50" s="189" t="n"/>
    </row>
    <row r="51">
      <c r="B51" s="173" t="n">
        <v>3</v>
      </c>
      <c r="C51" s="158">
        <f>IFERROR(INDEX($B$8:$L$26,MATCH(1,($B$8:$B$26=$C$45)*($C$8:$C$26=3),0),1),"")</f>
        <v/>
      </c>
      <c r="D51" s="172">
        <f>IFERROR(INDEX($B$8:$L$26,MATCH(1,($B$8:$B$26=$C$45)*($C$8:$C$26=3),0),3),"")</f>
        <v/>
      </c>
      <c r="E51" s="158">
        <f>IFERROR(INDEX($B$8:$L$26,MATCH(1,($B$8:$B$26=$C$45)*($C$8:$C$26=3),0),6),"")</f>
        <v/>
      </c>
      <c r="F51" s="158">
        <f>IFERROR(INDEX($B$8:$L$26,MATCH(1,($B$8:$B$26=$C$45)*($C$8:$C$26=3),0),7),"")</f>
        <v/>
      </c>
      <c r="G51" s="158">
        <f>IFERROR(INDEX($B$8:$L$26,MATCH(1,($B$8:$B$26=$C$45)*($C$8:$C$26=3),0),8),"")</f>
        <v/>
      </c>
      <c r="H51" s="182">
        <f>IFERROR(IF(IFERROR(INDEX($B$8:$L$26,MATCH(1,($B$8:$B$26=$C$45)*($C$8:$C$26=3),0),8),""),$E$45*IFERROR(INDEX($B$8:$L$26,MATCH(1,($B$8:$B$26=$C$45)*($C$8:$C$26=3),0),8),"")),"")</f>
        <v/>
      </c>
      <c r="I51" s="158">
        <f>IF(IFERROR(INDEX($B$8:$L$26,MATCH(1,($B$8:$B$26=$C$45)*($C$8:$C$26=3),0),1),"")="","",$I$45)</f>
        <v/>
      </c>
      <c r="J51" s="183">
        <f>IFERROR(INDEX($B$8:$L$26,MATCH(1,($B$8:$B$26=$C$45)*($C$8:$C$26=3),0),9),"")</f>
        <v/>
      </c>
      <c r="K51" s="176">
        <f>IFERROR(INDEX($B$8:$L$26,MATCH(1,($B$8:$B$26=$C$45)*($C$8:$C$26=3),0),11),"")</f>
        <v/>
      </c>
      <c r="L51" s="189" t="n"/>
    </row>
    <row r="52">
      <c r="B52" s="173" t="n">
        <v>4</v>
      </c>
      <c r="C52" s="158">
        <f>IFERROR(INDEX($B$8:$L$26,MATCH(1,($B$8:$B$26=$C$45)*($C$8:$C$26=4),0),1),"")</f>
        <v/>
      </c>
      <c r="D52" s="172">
        <f>IFERROR(INDEX($B$8:$L$26,MATCH(1,($B$8:$B$26=$C$45)*($C$8:$C$26=4),0),3),"")</f>
        <v/>
      </c>
      <c r="E52" s="158">
        <f>IFERROR(INDEX($B$8:$L$26,MATCH(1,($B$8:$B$26=$C$45)*($C$8:$C$26=4),0),6),"")</f>
        <v/>
      </c>
      <c r="F52" s="158">
        <f>IFERROR(INDEX($B$8:$L$26,MATCH(1,($B$8:$B$26=$C$45)*($C$8:$C$26=4),0),7),"")</f>
        <v/>
      </c>
      <c r="G52" s="158">
        <f>IFERROR(INDEX($B$8:$L$26,MATCH(1,($B$8:$B$26=$C$45)*($C$8:$C$26=4),0),8),"")</f>
        <v/>
      </c>
      <c r="H52" s="182">
        <f>IFERROR(IF(IFERROR(INDEX($B$8:$L$26,MATCH(1,($B$8:$B$26=$C$45)*($C$8:$C$26=4),0),8),""),$E$45*IFERROR(INDEX($B$8:$L$26,MATCH(1,($B$8:$B$26=$C$45)*($C$8:$C$26=4),0),8),"")),"")</f>
        <v/>
      </c>
      <c r="I52" s="158">
        <f>IF(IFERROR(INDEX($B$8:$L$26,MATCH(1,($B$8:$B$26=$C$45)*($C$8:$C$26=4),0),1),"")="","",$I$45)</f>
        <v/>
      </c>
      <c r="J52" s="183">
        <f>IFERROR(INDEX($B$8:$L$26,MATCH(1,($B$8:$B$26=$C$45)*($C$8:$C$26=4),0),9),"")</f>
        <v/>
      </c>
      <c r="K52" s="176">
        <f>IFERROR(INDEX($B$8:$L$26,MATCH(1,($B$8:$B$26=$C$45)*($C$8:$C$26=4),0),11),"")</f>
        <v/>
      </c>
      <c r="L52" s="189" t="n"/>
    </row>
    <row r="53">
      <c r="B53" s="173" t="n">
        <v>5</v>
      </c>
      <c r="C53" s="158">
        <f>IFERROR(INDEX($B$8:$L$26,MATCH(1,($B$8:$B$26=$C$45)*($C$8:$C$26=5),0),1),"")</f>
        <v/>
      </c>
      <c r="D53" s="172">
        <f>IFERROR(INDEX($B$8:$L$26,MATCH(1,($B$8:$B$26=$C$45)*($C$8:$C$26=5),0),3),"")</f>
        <v/>
      </c>
      <c r="E53" s="158">
        <f>IFERROR(INDEX($B$8:$L$26,MATCH(1,($B$8:$B$26=$C$45)*($C$8:$C$26=5),0),6),"")</f>
        <v/>
      </c>
      <c r="F53" s="158">
        <f>IFERROR(INDEX($B$8:$L$26,MATCH(1,($B$8:$B$26=$C$45)*($C$8:$C$26=5),0),7),"")</f>
        <v/>
      </c>
      <c r="G53" s="158">
        <f>IFERROR(INDEX($B$8:$L$26,MATCH(1,($B$8:$B$26=$C$45)*($C$8:$C$26=5),0),8),"")</f>
        <v/>
      </c>
      <c r="H53" s="182">
        <f>IFERROR(IF(IFERROR(INDEX($B$8:$L$26,MATCH(1,($B$8:$B$26=$C$45)*($C$8:$C$26=5),0),8),""),$E$45*IFERROR(INDEX($B$8:$L$26,MATCH(1,($B$8:$B$26=$C$45)*($C$8:$C$26=5),0),8),"")),"")</f>
        <v/>
      </c>
      <c r="I53" s="158">
        <f>IF(IFERROR(INDEX($B$8:$L$26,MATCH(1,($B$8:$B$26=$C$45)*($C$8:$C$26=5),0),1),"")="","",$I$45)</f>
        <v/>
      </c>
      <c r="J53" s="183">
        <f>IFERROR(INDEX($B$8:$L$26,MATCH(1,($B$8:$B$26=$C$45)*($C$8:$C$26=5),0),9),"")</f>
        <v/>
      </c>
      <c r="K53" s="176">
        <f>IFERROR(INDEX($B$8:$L$26,MATCH(1,($B$8:$B$26=$C$45)*($C$8:$C$26=5),0),11),"")</f>
        <v/>
      </c>
      <c r="L53" s="189" t="n"/>
    </row>
    <row r="55" ht="28" customHeight="1" s="99">
      <c r="B55" s="184" t="inlineStr">
        <is>
          <t>Tip: change C45, E45, I45 above. Blank rows = strategy has fewer impacts than the slot. STR-IDs match year-sheet table at Y[year]!A6:A20.</t>
        </is>
      </c>
    </row>
    <row r="58">
      <c r="B58" s="187" t="inlineStr">
        <is>
          <t>▸ SECTION E — OPEN RECONCILIATION ITEMS (REVISIT)</t>
        </is>
      </c>
    </row>
    <row r="60">
      <c r="B60" s="145" t="inlineStr">
        <is>
          <t>Item</t>
        </is>
      </c>
      <c r="C60" s="145" t="inlineStr">
        <is>
          <t>Subject</t>
        </is>
      </c>
      <c r="D60" s="145" t="inlineStr">
        <is>
          <t>Detail</t>
        </is>
      </c>
      <c r="E60" s="188" t="n"/>
      <c r="F60" s="188" t="n"/>
      <c r="G60" s="188" t="n"/>
      <c r="H60" s="188" t="n"/>
      <c r="I60" s="188" t="n"/>
      <c r="J60" s="188" t="n"/>
      <c r="K60" s="188" t="n"/>
      <c r="L60" s="189" t="n"/>
    </row>
    <row r="61" ht="30" customHeight="1" s="99">
      <c r="B61" s="190" t="inlineStr">
        <is>
          <t>ITEM-RECON-1</t>
        </is>
      </c>
      <c r="C61" s="172" t="inlineStr">
        <is>
          <t>STR-006 Roth Conversion</t>
        </is>
      </c>
      <c r="D61" s="176" t="inlineStr">
        <is>
          <t>Year sheet has TargetLine=1z (wages). Canonical for Roth conversion is Line 4b (IRA distributions taxable). Confirm whether year-sheet choice is intentional or a placeholder.</t>
        </is>
      </c>
      <c r="E61" s="188" t="n"/>
      <c r="F61" s="188" t="n"/>
      <c r="G61" s="188" t="n"/>
      <c r="H61" s="188" t="n"/>
      <c r="I61" s="188" t="n"/>
      <c r="J61" s="188" t="n"/>
      <c r="K61" s="188" t="n"/>
      <c r="L61" s="189" t="n"/>
    </row>
    <row r="62" ht="30" customHeight="1" s="99">
      <c r="B62" s="190" t="inlineStr">
        <is>
          <t>ITEM-RECON-2</t>
        </is>
      </c>
      <c r="C62" s="172" t="inlineStr">
        <is>
          <t>STR-014 SALT PTE Election</t>
        </is>
      </c>
      <c r="D62" s="176" t="inlineStr">
        <is>
          <t>Year sheet has TargetLine=12 (itemized ded). Federally, PTET reduces K-1 income at entity level (Line 8), not itemized. Confirm whether year-sheet choice reflects an alternative modeling approach.</t>
        </is>
      </c>
      <c r="E62" s="188" t="n"/>
      <c r="F62" s="188" t="n"/>
      <c r="G62" s="188" t="n"/>
      <c r="H62" s="188" t="n"/>
      <c r="I62" s="188" t="n"/>
      <c r="J62" s="188" t="n"/>
      <c r="K62" s="188" t="n"/>
      <c r="L62" s="189" t="n"/>
    </row>
    <row r="63" ht="30" customHeight="1" s="99">
      <c r="B63" s="190" t="inlineStr">
        <is>
          <t>ITEM-RECON-3</t>
        </is>
      </c>
      <c r="C63" s="172" t="inlineStr">
        <is>
          <t>STR-002 HSA Family Max</t>
        </is>
      </c>
      <c r="D63" s="176" t="inlineStr">
        <is>
          <t>Year sheet has TargetLine=10 (above-line deductions, Schedule 1). HSA is correctly above-line. Confirm Helper_Treatment "HSA" maps to your Treatment_Profile_Map.</t>
        </is>
      </c>
      <c r="E63" s="188" t="n"/>
      <c r="F63" s="188" t="n"/>
      <c r="G63" s="188" t="n"/>
      <c r="H63" s="188" t="n"/>
      <c r="I63" s="188" t="n"/>
      <c r="J63" s="188" t="n"/>
      <c r="K63" s="188" t="n"/>
      <c r="L63" s="189" t="n"/>
    </row>
    <row r="64" ht="30" customHeight="1" s="99">
      <c r="B64" s="190" t="inlineStr">
        <is>
          <t>ITEM-RECON-4</t>
        </is>
      </c>
      <c r="C64" s="172" t="inlineStr">
        <is>
          <t>STR-009 Hire Children info</t>
        </is>
      </c>
      <c r="D64" s="176" t="inlineStr">
        <is>
          <t>Catalog has 3rd row (Impact_Num=3) for child Roth contribution as info-only (Sign=0). Year sheet has 2-impact CounterLine model. Either add info row to year sheet or drop from catalog.</t>
        </is>
      </c>
      <c r="E64" s="188" t="n"/>
      <c r="F64" s="188" t="n"/>
      <c r="G64" s="188" t="n"/>
      <c r="H64" s="188" t="n"/>
      <c r="I64" s="188" t="n"/>
      <c r="J64" s="188" t="n"/>
      <c r="K64" s="188" t="n"/>
      <c r="L64" s="189" t="n"/>
    </row>
    <row r="65" ht="30" customHeight="1" s="99">
      <c r="B65" s="190" t="inlineStr">
        <is>
          <t>ITEM-RECON-5</t>
        </is>
      </c>
      <c r="C65" s="172" t="inlineStr">
        <is>
          <t>STR-010 Entity Restructure</t>
        </is>
      </c>
      <c r="D65" s="176" t="inlineStr">
        <is>
          <t>Year sheet has TargetLine=8 + CounterLine=1z. Restructure mechanics vary by entity type. Confirm whether default fan-out captures intent or if it should be per-case.</t>
        </is>
      </c>
      <c r="E65" s="188" t="n"/>
      <c r="F65" s="188" t="n"/>
      <c r="G65" s="188" t="n"/>
      <c r="H65" s="188" t="n"/>
      <c r="I65" s="188" t="n"/>
      <c r="J65" s="188" t="n"/>
      <c r="K65" s="188" t="n"/>
      <c r="L65" s="189" t="n"/>
    </row>
    <row r="66" ht="30" customHeight="1" s="99">
      <c r="B66" s="190" t="inlineStr">
        <is>
          <t>ITEM-RECON-6</t>
        </is>
      </c>
      <c r="C66" s="172" t="inlineStr">
        <is>
          <t>Bucket alignment</t>
        </is>
      </c>
      <c r="D66" s="176" t="inlineStr">
        <is>
          <t>Catalog buckets (Core/Supp./Advanced) come from Framework_Ref. Year sheet does not track Bucket. Not a blocker but useful to add to year sheet later.</t>
        </is>
      </c>
      <c r="E66" s="188" t="n"/>
      <c r="F66" s="188" t="n"/>
      <c r="G66" s="188" t="n"/>
      <c r="H66" s="188" t="n"/>
      <c r="I66" s="188" t="n"/>
      <c r="J66" s="188" t="n"/>
      <c r="K66" s="188" t="n"/>
      <c r="L66" s="189" t="n"/>
    </row>
  </sheetData>
  <mergeCells count="25">
    <mergeCell ref="K49:L49"/>
    <mergeCell ref="D61:L61"/>
    <mergeCell ref="B47:L47"/>
    <mergeCell ref="D66:L66"/>
    <mergeCell ref="C32:L32"/>
    <mergeCell ref="B43:L43"/>
    <mergeCell ref="K51:L51"/>
    <mergeCell ref="B58:L58"/>
    <mergeCell ref="K50:L50"/>
    <mergeCell ref="D62:L62"/>
    <mergeCell ref="D39:L39"/>
    <mergeCell ref="C33:L33"/>
    <mergeCell ref="K52:L52"/>
    <mergeCell ref="D64:L64"/>
    <mergeCell ref="D38:L38"/>
    <mergeCell ref="B29:L29"/>
    <mergeCell ref="D60:L60"/>
    <mergeCell ref="K53:L53"/>
    <mergeCell ref="C31:L31"/>
    <mergeCell ref="D63:L63"/>
    <mergeCell ref="B55:L55"/>
    <mergeCell ref="B5:L5"/>
    <mergeCell ref="D40:L40"/>
    <mergeCell ref="D65:L65"/>
    <mergeCell ref="B36:L36"/>
  </mergeCells>
  <dataValidations count="2">
    <dataValidation sqref="C45" showDropDown="0" showInputMessage="0" showErrorMessage="0" allowBlank="0" type="list">
      <formula1>"STR-001,STR-002,STR-003,STR-004,STR-005,STR-006,STR-007,STR-008,STR-009,STR-010,STR-011,STR-012,STR-013,STR-014,STR-015"</formula1>
    </dataValidation>
    <dataValidation sqref="I45" showDropDown="0" showInputMessage="0" showErrorMessage="0" allowBlank="0" type="list">
      <formula1>"Proposed,Approved,Committed,Implemented"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FFC00000"/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GLOSSARY &amp; MECHANICS</t>
        </is>
      </c>
      <c r="B1" s="29" t="n"/>
      <c r="C1" s="29" t="n"/>
      <c r="D1" s="29" t="n"/>
      <c r="E1" s="29" t="n"/>
    </row>
    <row r="2">
      <c r="A2" t="inlineStr">
        <is>
          <t>Plain-language definitions, multi-year reference data, and full PTET state table. Source: Accruity Tax Planning Framework Canon v1.4 + Tax Plan Asset v1.8.7.</t>
        </is>
      </c>
    </row>
    <row r="4">
      <c r="A4" t="inlineStr">
        <is>
          <t>SECTION A — GLOSSARY (in plain language)</t>
        </is>
      </c>
    </row>
    <row r="5">
      <c r="A5" t="inlineStr">
        <is>
          <t>Term</t>
        </is>
      </c>
      <c r="B5" t="inlineStr">
        <is>
          <t>What It Is</t>
        </is>
      </c>
      <c r="C5" t="inlineStr">
        <is>
          <t>Why It Matters Here</t>
        </is>
      </c>
    </row>
    <row r="6">
      <c r="A6" t="inlineStr">
        <is>
          <t>§1.469-4 Grouping Election</t>
        </is>
      </c>
      <c r="B6" t="inlineStr">
        <is>
          <t>Election under Treasury Reg §1.469-4 to treat multiple rental activities as a single activity for material-participation testing.</t>
        </is>
      </c>
      <c r="C6" t="inlineStr">
        <is>
          <t>Required for multi-property REPS — without it, taxpayer must materially participate in EACH property.</t>
        </is>
      </c>
    </row>
    <row r="7">
      <c r="A7" t="inlineStr">
        <is>
          <t>§199A (QBI)</t>
        </is>
      </c>
      <c r="B7" t="inlineStr">
        <is>
          <t>20% deduction for qualified business income from pass-through entities. Phases out for SSTBs above MFJ $394,600 (2025).</t>
        </is>
      </c>
      <c r="C7" t="inlineStr">
        <is>
          <t>Strategy #1 lever — entity structure determines QBI eligibility.</t>
        </is>
      </c>
    </row>
    <row r="8">
      <c r="A8" t="inlineStr">
        <is>
          <t>§280A (Augusta Rule)</t>
        </is>
      </c>
      <c r="B8" t="inlineStr">
        <is>
          <t>Allows homeowner to rent personal home for ≤14 days/yr tax-free; rent paid by S-Corp is deductible business expense.</t>
        </is>
      </c>
      <c r="C8" t="inlineStr">
        <is>
          <t>Strategy #5 — Low Hanging Fruit. Requires fair market rate + business purpose docs.</t>
        </is>
      </c>
    </row>
    <row r="9">
      <c r="A9" t="inlineStr">
        <is>
          <t>§460 Dealer Property</t>
        </is>
      </c>
      <c r="B9" t="inlineStr">
        <is>
          <t>Property held primarily for sale to customers in ordinary course of business — triggers dealer treatment, ordinary income, no §1031.</t>
        </is>
      </c>
      <c r="C9" t="inlineStr">
        <is>
          <t>Wholesale/flip-heavy businesses risk dealer classification — flag for Active Business Type.</t>
        </is>
      </c>
    </row>
    <row r="10">
      <c r="A10" t="inlineStr">
        <is>
          <t>Absorption Principle</t>
        </is>
      </c>
      <c r="B10" t="inlineStr">
        <is>
          <t>Canon v1.4 principle: property basis (cost seg target) is an OUTPUT of the plan, not an input. Right-size basis to absorb residual capacity.</t>
        </is>
      </c>
      <c r="C10" t="inlineStr">
        <is>
          <t>Drives Tab 1 §6 Absorption Diagnostics. Residual Capacity = AGI − Standard Deduction.</t>
        </is>
      </c>
    </row>
    <row r="11">
      <c r="A11" t="inlineStr">
        <is>
          <t>Accountable Plan</t>
        </is>
      </c>
      <c r="B11" t="inlineStr">
        <is>
          <t>Written reimbursement policy where S-Corp reimburses owner-employee for business expenses paid personally; reimbursements are NOT taxable wages.</t>
        </is>
      </c>
      <c r="C11" t="inlineStr">
        <is>
          <t>Strategy #5 LHF — must be adopted in writing BEFORE expenses incurred.</t>
        </is>
      </c>
    </row>
    <row r="12">
      <c r="A12" t="inlineStr">
        <is>
          <t>Bonus Depreciation</t>
        </is>
      </c>
      <c r="B12" t="inlineStr">
        <is>
          <t>Tax provision allowing accelerated depreciation of qualifying property (5/7/15-year). Phasing down: 60% in 2024, 40% in 2025, 20% in 2026.</t>
        </is>
      </c>
      <c r="C12" t="inlineStr">
        <is>
          <t>Strategy #4 lever — primary mechanism for converting RE wealth into active loss offsets.</t>
        </is>
      </c>
    </row>
    <row r="13">
      <c r="A13" t="inlineStr">
        <is>
          <t>BRRRR</t>
        </is>
      </c>
      <c r="B13" t="inlineStr">
        <is>
          <t>Buy-Rehab-Rent-Refinance-Repeat. RE investment strategy where forced appreciation via rehab funds the next acquisition.</t>
        </is>
      </c>
      <c r="C13" t="inlineStr">
        <is>
          <t>Common framework client model — cost seg + REPS multiplies BRRRR economics.</t>
        </is>
      </c>
    </row>
    <row r="14">
      <c r="A14" t="inlineStr">
        <is>
          <t>Cascade Methodology</t>
        </is>
      </c>
      <c r="B14" t="inlineStr">
        <is>
          <t>Canon v1.4 method for computing each strategy's marginal savings. Strategy turned OFF in isolation, then back on; the delta is its marginal.</t>
        </is>
      </c>
      <c r="C14" t="inlineStr">
        <is>
          <t>Required methodology for Strategy savings decomposition. Plan Synergy line captures residual.</t>
        </is>
      </c>
    </row>
    <row r="15">
      <c r="A15" t="inlineStr">
        <is>
          <t>Cost Segregation</t>
        </is>
      </c>
      <c r="B15" t="inlineStr">
        <is>
          <t>Engineering-based study reclassifying portions of a building from 27.5/39-year to 5/7/15-year personal property and land improvements.</t>
        </is>
      </c>
      <c r="C15" t="inlineStr">
        <is>
          <t>Strategy #4 enabler. Canon §4 v1.4 default: 25% Y1 acceleration of total basis.</t>
        </is>
      </c>
    </row>
    <row r="16">
      <c r="A16" t="inlineStr">
        <is>
          <t>Direction A / Direction B</t>
        </is>
      </c>
      <c r="B16" t="inlineStr">
        <is>
          <t>Canon §3 Wealth Architecture designations. A: client already invests in RE. B: not yet, but framework supports building toward it.</t>
        </is>
      </c>
      <c r="C16" t="inlineStr">
        <is>
          <t>Determines plan framing language and execution priority.</t>
        </is>
      </c>
    </row>
    <row r="17">
      <c r="A17" t="inlineStr">
        <is>
          <t>FICA</t>
        </is>
      </c>
      <c r="B17" t="inlineStr">
        <is>
          <t>Federal Insurance Contributions Act tax. 7.65% employee + 7.65% employer = 15.3% on wages up to SS wage base; 1.45% Medicare uncapped.</t>
        </is>
      </c>
      <c r="C17" t="inlineStr">
        <is>
          <t>Strategy #2 lever — S-Corp wage placement controls FICA exposure.</t>
        </is>
      </c>
    </row>
    <row r="18">
      <c r="A18" t="inlineStr">
        <is>
          <t>K-1</t>
        </is>
      </c>
      <c r="B18" t="inlineStr">
        <is>
          <t>Schedule K-1 reporting owner's share of pass-through entity income, deductions, credits, distributions.</t>
        </is>
      </c>
      <c r="C18" t="inlineStr">
        <is>
          <t>Active vs. passive K-1 distinction drives SE tax, NIIT, and §469 PAL treatment.</t>
        </is>
      </c>
    </row>
    <row r="19">
      <c r="A19" t="inlineStr">
        <is>
          <t>NIIT</t>
        </is>
      </c>
      <c r="B19" t="inlineStr">
        <is>
          <t>Net Investment Income Tax. 3.8% on net investment income for MAGI &gt; $250K MFJ / $200K Single. Thresholds NOT inflation-adjusted.</t>
        </is>
      </c>
      <c r="C19" t="inlineStr">
        <is>
          <t>Frozen since 2013. Reclassification of passive K-1s as active eliminates NIIT exposure.</t>
        </is>
      </c>
    </row>
    <row r="20">
      <c r="A20" t="inlineStr">
        <is>
          <t>Plan Maturity Stages</t>
        </is>
      </c>
      <c r="B20" t="inlineStr">
        <is>
          <t>Four-stage progression: Standard Assumptions → Assumption-Refined → Actuals-Driven → Optimized.</t>
        </is>
      </c>
      <c r="C20" t="inlineStr">
        <is>
          <t>Canon §7+§9 — data-quality-driven, NOT calendar-driven.</t>
        </is>
      </c>
    </row>
    <row r="21">
      <c r="A21" t="inlineStr">
        <is>
          <t>Plan Synergy</t>
        </is>
      </c>
      <c r="B21" t="inlineStr">
        <is>
          <t>Canon v1.4 line shown in every strategy decomposition. Difference between Σ(individual marginals) and Total Plan Savings.</t>
        </is>
      </c>
      <c r="C21" t="inlineStr">
        <is>
          <t>Captures interaction effects (e.g., #4 cost seg makes #3 retirement room go further).</t>
        </is>
      </c>
    </row>
    <row r="22">
      <c r="A22" t="inlineStr">
        <is>
          <t>PTET</t>
        </is>
      </c>
      <c r="B22" t="inlineStr">
        <is>
          <t>Pass-Through Entity Tax. Elective state-level workaround for $10K SALT cap. Entity pays state tax directly, owner claims federal deduction.</t>
        </is>
      </c>
      <c r="C22" t="inlineStr">
        <is>
          <t>Supplemental B1. 33 states have PTET regimes. CA at 9.3% is the headline lever.</t>
        </is>
      </c>
    </row>
    <row r="23">
      <c r="A23" t="inlineStr">
        <is>
          <t>QBI Aggregation (§199A-4)</t>
        </is>
      </c>
      <c r="B23" t="inlineStr">
        <is>
          <t>Election to combine multiple businesses into single trade/business for §199A wage+UBIA limits testing.</t>
        </is>
      </c>
      <c r="C23" t="inlineStr">
        <is>
          <t>Strategy #1 — required when multiple S-Corps share wage capacity.</t>
        </is>
      </c>
    </row>
    <row r="24">
      <c r="A24" t="inlineStr">
        <is>
          <t>QBI Overall Cap</t>
        </is>
      </c>
      <c r="B24" t="inlineStr">
        <is>
          <t>§199A 20% × Pre-QBI Taxable Income cap. As cost seg reduces TI, this cap reduces — interaction with Strategy #4.</t>
        </is>
      </c>
      <c r="C24" t="inlineStr">
        <is>
          <t>Why Plan Synergy line is needed: cost seg shrinks QBI deduction.</t>
        </is>
      </c>
    </row>
    <row r="25">
      <c r="A25" t="inlineStr">
        <is>
          <t>REPS</t>
        </is>
      </c>
      <c r="B25" t="inlineStr">
        <is>
          <t>Real Estate Professional Status. 750+ hours/yr in real property + &gt;50% of personal service hours. Reclassifies rental losses from passive to active.</t>
        </is>
      </c>
      <c r="C25" t="inlineStr">
        <is>
          <t>Strategy #4 prerequisite. Spouse can independently qualify.</t>
        </is>
      </c>
    </row>
    <row r="26">
      <c r="A26" t="inlineStr">
        <is>
          <t>REPS Substantiation</t>
        </is>
      </c>
      <c r="B26" t="inlineStr">
        <is>
          <t>Contemporaneous time-log documentation required to defend REPS. Quarterly substantiation log per Canon §4 v1.4.</t>
        </is>
      </c>
      <c r="C26" t="inlineStr">
        <is>
          <t>Audit-risk-driven; deficient logs are the #1 REPS denial reason.</t>
        </is>
      </c>
    </row>
    <row r="27">
      <c r="A27" t="inlineStr">
        <is>
          <t>Residual Capacity</t>
        </is>
      </c>
      <c r="B27" t="inlineStr">
        <is>
          <t>Canon v1.4 corrected — bonus depreciation required to drive Federal Income Tax to $0. Computes as AGI − Standard Deduction in S4-OFF scenario.</t>
        </is>
      </c>
      <c r="C27" t="inlineStr">
        <is>
          <t>Drives recommended property basis (right-sized cost seg target).</t>
        </is>
      </c>
    </row>
    <row r="28">
      <c r="A28" t="inlineStr">
        <is>
          <t>S-Corp Election</t>
        </is>
      </c>
      <c r="B28" t="inlineStr">
        <is>
          <t>IRS election (Form 2553) for LLC or corporation to be taxed as S-Corp. Allows wage/distribution split — Strategy #2 enabler.</t>
        </is>
      </c>
      <c r="C28" t="inlineStr">
        <is>
          <t>Deadline: 2 months 15 days from year start. Late-relief: Rev Proc 2013-30.</t>
        </is>
      </c>
    </row>
    <row r="29">
      <c r="A29" t="inlineStr">
        <is>
          <t>Scaling Test</t>
        </is>
      </c>
      <c r="B29" t="inlineStr">
        <is>
          <t>Canon v1.4 two-rule deal qualifier: (1) DSCR ≥ 1.20 on stabilized debt service; (2) basis fits absorption capacity ±10%.</t>
        </is>
      </c>
      <c r="C29" t="inlineStr">
        <is>
          <t>If deal fails either test, framework doesn't apply — escalate to specialized advisory.</t>
        </is>
      </c>
    </row>
    <row r="30">
      <c r="A30" t="inlineStr">
        <is>
          <t>SE Tax</t>
        </is>
      </c>
      <c r="B30" t="inlineStr">
        <is>
          <t>Self-Employment Tax. 15.3% (12.4% SS up to wage base + 2.9% Medicare uncapped) on net SE earnings × 92.35%.</t>
        </is>
      </c>
      <c r="C30" t="inlineStr">
        <is>
          <t>Strategy #2 reduces SE tax via S-Corp wage placement.</t>
        </is>
      </c>
    </row>
    <row r="31">
      <c r="A31" t="inlineStr">
        <is>
          <t>SS Wage Base</t>
        </is>
      </c>
      <c r="B31" t="inlineStr">
        <is>
          <t>Annual cap on Social Security tax base. 2024 $168,600 / 2025 $176,100 / 2026 $184,500. Medicare uncapped.</t>
        </is>
      </c>
      <c r="C31" t="inlineStr">
        <is>
          <t>SE tax 12.4% SS portion only applies up to this cap.</t>
        </is>
      </c>
    </row>
    <row r="32">
      <c r="A32" t="inlineStr">
        <is>
          <t>SSTB</t>
        </is>
      </c>
      <c r="B32" t="inlineStr">
        <is>
          <t>Specified Service Trade or Business — health, law, accounting, performing arts, consulting, athletics, financial services, investing, and 'reputation/skill of employees' businesses.</t>
        </is>
      </c>
      <c r="C32" t="inlineStr">
        <is>
          <t>QBI deduction phases out COMPLETELY above MFJ $494,600 (2025) for SSTBs; non-SSTBs only cap, not phase out.</t>
        </is>
      </c>
    </row>
    <row r="33">
      <c r="A33" t="inlineStr">
        <is>
          <t>Standard Deduction (MFJ)</t>
        </is>
      </c>
      <c r="B33" t="inlineStr">
        <is>
          <t>Default 1040 deduction. 2024 $29,200 / 2025 $30,000 / 2026 $30,750.</t>
        </is>
      </c>
      <c r="C33" t="inlineStr">
        <is>
          <t>Itemizing only helps when itemized total &gt; standard. Most avatars take standard.</t>
        </is>
      </c>
    </row>
    <row r="34">
      <c r="A34" t="inlineStr">
        <is>
          <t>STR Election (Short-Term Rental)</t>
        </is>
      </c>
      <c r="B34" t="inlineStr">
        <is>
          <t>Rentals with average stay ≤7 days OR ≤30 days with substantial services are NOT passive under §469. Material participation required.</t>
        </is>
      </c>
      <c r="C34" t="inlineStr">
        <is>
          <t>Alternative path to active loss treatment without REPS hours.</t>
        </is>
      </c>
    </row>
    <row r="35">
      <c r="A35" t="inlineStr">
        <is>
          <t>Take-Home Cash / Lifestyle Liquidity</t>
        </is>
      </c>
      <c r="B35" t="inlineStr">
        <is>
          <t>Lifestyle-spendable cash after taxes, retirement contributions, and HSA. The 'family alignment' number.</t>
        </is>
      </c>
      <c r="C35" t="inlineStr">
        <is>
          <t>Canon §3 — Three-Number Headline includes Take-Home Cash floor (~60-70% of W/O baseline).</t>
        </is>
      </c>
    </row>
    <row r="36">
      <c r="A36" t="inlineStr">
        <is>
          <t>Tie-Check</t>
        </is>
      </c>
      <c r="B36" t="inlineStr">
        <is>
          <t>Canon v1.4 hard reconciliation gate. Σ Strategy Marginals + Plan Synergy MUST = Total Plan Savings.</t>
        </is>
      </c>
      <c r="C36" t="inlineStr">
        <is>
          <t>Computed at Tab 2 Engine R221. Failure = recompute strategies.</t>
        </is>
      </c>
    </row>
    <row r="37">
      <c r="A37" t="inlineStr">
        <is>
          <t>Wealth Architecture Principle</t>
        </is>
      </c>
      <c r="B37" t="inlineStr">
        <is>
          <t>Accruity's core framing: tax planning is offensive capital allocation, not defensive minimization. Real estate is the thread.</t>
        </is>
      </c>
      <c r="C37" t="inlineStr">
        <is>
          <t>Canon §3 — drives all messaging and strategy ordering.</t>
        </is>
      </c>
    </row>
    <row r="40">
      <c r="A40" t="inlineStr">
        <is>
          <t>SECTION B — YEAR-BY-YEAR REFERENCE DATA</t>
        </is>
      </c>
    </row>
    <row r="42">
      <c r="A42" t="inlineStr">
        <is>
          <t>Federal Income Tax Brackets — MFJ (taxable income floor)</t>
        </is>
      </c>
    </row>
    <row r="43">
      <c r="A43" t="inlineStr">
        <is>
          <t>Bracket</t>
        </is>
      </c>
      <c r="B43" t="n">
        <v>2024</v>
      </c>
      <c r="C43" t="n">
        <v>2025</v>
      </c>
      <c r="D43" t="n">
        <v>2026</v>
      </c>
      <c r="E43" t="inlineStr">
        <is>
          <t>Rate</t>
        </is>
      </c>
    </row>
    <row r="44">
      <c r="A44" s="58" t="n">
        <v>0.1</v>
      </c>
      <c r="B44" t="n">
        <v>0</v>
      </c>
      <c r="C44" t="n">
        <v>0</v>
      </c>
      <c r="D44" t="n">
        <v>0</v>
      </c>
      <c r="E44" s="58" t="n">
        <v>0.1</v>
      </c>
    </row>
    <row r="45">
      <c r="A45" s="58" t="n">
        <v>0.12</v>
      </c>
      <c r="B45" t="n">
        <v>23200</v>
      </c>
      <c r="C45" t="n">
        <v>23850</v>
      </c>
      <c r="D45" t="n">
        <v>24500</v>
      </c>
      <c r="E45" s="58" t="n">
        <v>0.12</v>
      </c>
    </row>
    <row r="46">
      <c r="A46" s="58" t="n">
        <v>0.22</v>
      </c>
      <c r="B46" t="n">
        <v>94300</v>
      </c>
      <c r="C46" t="n">
        <v>96950</v>
      </c>
      <c r="D46" t="n">
        <v>99150</v>
      </c>
      <c r="E46" s="58" t="n">
        <v>0.22</v>
      </c>
    </row>
    <row r="47">
      <c r="A47" s="58" t="n">
        <v>0.24</v>
      </c>
      <c r="B47" t="n">
        <v>201050</v>
      </c>
      <c r="C47" t="n">
        <v>206700</v>
      </c>
      <c r="D47" t="n">
        <v>211450</v>
      </c>
      <c r="E47" s="58" t="n">
        <v>0.24</v>
      </c>
    </row>
    <row r="48">
      <c r="A48" s="58" t="n">
        <v>0.32</v>
      </c>
      <c r="B48" t="n">
        <v>383900</v>
      </c>
      <c r="C48" t="n">
        <v>394600</v>
      </c>
      <c r="D48" t="n">
        <v>403650</v>
      </c>
      <c r="E48" s="58" t="n">
        <v>0.32</v>
      </c>
    </row>
    <row r="49">
      <c r="A49" s="58" t="n">
        <v>0.35</v>
      </c>
      <c r="B49" t="n">
        <v>487450</v>
      </c>
      <c r="C49" t="n">
        <v>501050</v>
      </c>
      <c r="D49" t="n">
        <v>512600</v>
      </c>
      <c r="E49" s="58" t="n">
        <v>0.35</v>
      </c>
    </row>
    <row r="50">
      <c r="A50" s="58" t="n">
        <v>0.37</v>
      </c>
      <c r="B50" t="n">
        <v>731200</v>
      </c>
      <c r="C50" t="n">
        <v>751600</v>
      </c>
      <c r="D50" t="n">
        <v>768950</v>
      </c>
      <c r="E50" s="58" t="n">
        <v>0.37</v>
      </c>
    </row>
    <row r="53">
      <c r="A53" t="inlineStr">
        <is>
          <t>Key Limits &amp; Thresholds — MFJ (multi-year)</t>
        </is>
      </c>
    </row>
    <row r="54">
      <c r="A54" t="inlineStr">
        <is>
          <t>Item</t>
        </is>
      </c>
      <c r="B54" t="n">
        <v>2024</v>
      </c>
      <c r="C54" t="n">
        <v>2025</v>
      </c>
      <c r="D54" t="n">
        <v>2026</v>
      </c>
      <c r="E54" t="inlineStr">
        <is>
          <t>Note</t>
        </is>
      </c>
    </row>
    <row r="55">
      <c r="A55" t="inlineStr">
        <is>
          <t>Standard Deduction (MFJ)</t>
        </is>
      </c>
      <c r="B55" t="n">
        <v>29200</v>
      </c>
      <c r="C55" t="n">
        <v>30000</v>
      </c>
      <c r="D55" t="n">
        <v>30750</v>
      </c>
      <c r="E55" t="inlineStr">
        <is>
          <t>Default 1040 deduction</t>
        </is>
      </c>
    </row>
    <row r="56">
      <c r="A56" t="inlineStr">
        <is>
          <t>SS Wage Base</t>
        </is>
      </c>
      <c r="B56" t="n">
        <v>168600</v>
      </c>
      <c r="C56" t="n">
        <v>176100</v>
      </c>
      <c r="D56" t="n">
        <v>184500</v>
      </c>
      <c r="E56" t="inlineStr">
        <is>
          <t>SE tax 15.3% cap</t>
        </is>
      </c>
    </row>
    <row r="57">
      <c r="A57" t="inlineStr">
        <is>
          <t>Addl Medicare Threshold (MFJ)</t>
        </is>
      </c>
      <c r="B57" t="n">
        <v>250000</v>
      </c>
      <c r="C57" t="n">
        <v>250000</v>
      </c>
      <c r="D57" t="n">
        <v>250000</v>
      </c>
      <c r="E57" t="inlineStr">
        <is>
          <t>0.9% surcharge above</t>
        </is>
      </c>
    </row>
    <row r="58">
      <c r="A58" t="inlineStr">
        <is>
          <t>NIIT Threshold (MFJ)</t>
        </is>
      </c>
      <c r="B58" t="n">
        <v>250000</v>
      </c>
      <c r="C58" t="n">
        <v>250000</v>
      </c>
      <c r="D58" t="n">
        <v>250000</v>
      </c>
      <c r="E58" t="inlineStr">
        <is>
          <t>3.8% on net investment income</t>
        </is>
      </c>
    </row>
    <row r="59">
      <c r="A59" t="inlineStr">
        <is>
          <t>§199A Threshold Start (MFJ)</t>
        </is>
      </c>
      <c r="B59" t="n">
        <v>383900</v>
      </c>
      <c r="C59" t="n">
        <v>394600</v>
      </c>
      <c r="D59" t="n">
        <v>403650</v>
      </c>
      <c r="E59" t="inlineStr">
        <is>
          <t>QBI phase-in begin</t>
        </is>
      </c>
    </row>
    <row r="60">
      <c r="A60" t="inlineStr">
        <is>
          <t>§199A Threshold End (MFJ)</t>
        </is>
      </c>
      <c r="B60" t="n">
        <v>483900</v>
      </c>
      <c r="C60" t="n">
        <v>494600</v>
      </c>
      <c r="D60" t="n">
        <v>503650</v>
      </c>
      <c r="E60" t="inlineStr">
        <is>
          <t>QBI phase-in complete (SSTB cliff)</t>
        </is>
      </c>
    </row>
    <row r="61">
      <c r="A61" t="inlineStr">
        <is>
          <t>401(k) Employee Deferral</t>
        </is>
      </c>
      <c r="B61" t="n">
        <v>23000</v>
      </c>
      <c r="C61" t="n">
        <v>23500</v>
      </c>
      <c r="D61" t="n">
        <v>24000</v>
      </c>
      <c r="E61" t="inlineStr">
        <is>
          <t>Owner-employee contribution</t>
        </is>
      </c>
    </row>
    <row r="62">
      <c r="A62" t="inlineStr">
        <is>
          <t>401(k) Total Contribution Cap</t>
        </is>
      </c>
      <c r="B62" t="n">
        <v>69000</v>
      </c>
      <c r="C62" t="n">
        <v>70000</v>
      </c>
      <c r="D62" t="n">
        <v>71000</v>
      </c>
      <c r="E62" t="inlineStr">
        <is>
          <t>Employee + employer combined</t>
        </is>
      </c>
    </row>
    <row r="63">
      <c r="A63" t="inlineStr">
        <is>
          <t>HSA Family Limit</t>
        </is>
      </c>
      <c r="B63" t="n">
        <v>8300</v>
      </c>
      <c r="C63" t="n">
        <v>8550</v>
      </c>
      <c r="D63" t="n">
        <v>8800</v>
      </c>
      <c r="E63" t="inlineStr">
        <is>
          <t>Family HDHP coverage</t>
        </is>
      </c>
    </row>
    <row r="64">
      <c r="A64" t="inlineStr">
        <is>
          <t>Kiddie Standard Deduction</t>
        </is>
      </c>
      <c r="B64" t="n">
        <v>14600</v>
      </c>
      <c r="C64" t="n">
        <v>15000</v>
      </c>
      <c r="D64" t="n">
        <v>15400</v>
      </c>
      <c r="E64" t="inlineStr">
        <is>
          <t>Strategy #5 — Employing Children</t>
        </is>
      </c>
    </row>
    <row r="65">
      <c r="A65" t="inlineStr">
        <is>
          <t>Excess Business Loss MFJ (461(l))</t>
        </is>
      </c>
      <c r="B65" t="n">
        <v>610000</v>
      </c>
      <c r="C65" t="n">
        <v>626000</v>
      </c>
      <c r="D65" t="n">
        <v>644000</v>
      </c>
      <c r="E65" t="inlineStr">
        <is>
          <t>Loss above this becomes NOL</t>
        </is>
      </c>
    </row>
    <row r="68">
      <c r="A68" t="inlineStr">
        <is>
          <t>Retirement Catch-Up Provisions (SECURE 2.0)</t>
        </is>
      </c>
    </row>
    <row r="69">
      <c r="A69" t="inlineStr">
        <is>
          <t>Age 50-59</t>
        </is>
      </c>
      <c r="B69" t="inlineStr">
        <is>
          <t>$7,500 401(k) catch-up</t>
        </is>
      </c>
      <c r="C69" t="inlineStr">
        <is>
          <t>Standard catch-up</t>
        </is>
      </c>
    </row>
    <row r="70">
      <c r="A70" t="inlineStr">
        <is>
          <t>Age 60-63</t>
        </is>
      </c>
      <c r="B70" t="inlineStr">
        <is>
          <t>$11,250 401(k) enhanced catch-up</t>
        </is>
      </c>
      <c r="C70" t="inlineStr">
        <is>
          <t>SECURE 2.0 super catch-up</t>
        </is>
      </c>
    </row>
    <row r="71">
      <c r="A71" t="inlineStr">
        <is>
          <t>Age 64+</t>
        </is>
      </c>
      <c r="B71" t="inlineStr">
        <is>
          <t>$7,500 401(k) catch-up</t>
        </is>
      </c>
      <c r="C71" t="inlineStr">
        <is>
          <t>Reverts to standard</t>
        </is>
      </c>
    </row>
    <row r="72">
      <c r="A72" t="inlineStr">
        <is>
          <t>Age 55+ HSA</t>
        </is>
      </c>
      <c r="B72" t="inlineStr">
        <is>
          <t>$1,000 additional HSA</t>
        </is>
      </c>
      <c r="C72" t="inlineStr">
        <is>
          <t>Independent of 401(k) catch-up</t>
        </is>
      </c>
    </row>
    <row r="76">
      <c r="A76" t="inlineStr">
        <is>
          <t>SECTION C — PTET (Pass-Through Entity Tax) — 33-STATE REFERENCE</t>
        </is>
      </c>
    </row>
    <row r="77">
      <c r="A77" t="inlineStr">
        <is>
          <t>PTET workaround for $10K SALT cap. Pass-through pays state income tax directly; owner takes federal deduction.</t>
        </is>
      </c>
    </row>
    <row r="79">
      <c r="A79" t="inlineStr">
        <is>
          <t>State</t>
        </is>
      </c>
      <c r="B79" t="inlineStr">
        <is>
          <t>PTET Rate</t>
        </is>
      </c>
      <c r="C79" t="inlineStr">
        <is>
          <t>Status</t>
        </is>
      </c>
      <c r="D79" t="inlineStr">
        <is>
          <t>Materiality for Avatar</t>
        </is>
      </c>
      <c r="E79" t="inlineStr">
        <is>
          <t>Note</t>
        </is>
      </c>
    </row>
    <row r="80">
      <c r="A80" t="inlineStr">
        <is>
          <t>CA</t>
        </is>
      </c>
      <c r="B80" s="23" t="n">
        <v>0.093</v>
      </c>
      <c r="C80" t="inlineStr">
        <is>
          <t>Elective</t>
        </is>
      </c>
      <c r="D80" t="inlineStr">
        <is>
          <t>⭐⭐⭐ Highest</t>
        </is>
      </c>
      <c r="E80" t="inlineStr">
        <is>
          <t>Graduated to 13.3%, PTET at 9.3% qualified net income</t>
        </is>
      </c>
    </row>
    <row r="81">
      <c r="A81" t="inlineStr">
        <is>
          <t>NY</t>
        </is>
      </c>
      <c r="B81" s="23" t="n">
        <v>0.06850000000000001</v>
      </c>
      <c r="C81" t="inlineStr">
        <is>
          <t>Elective</t>
        </is>
      </c>
      <c r="D81" t="inlineStr">
        <is>
          <t>⭐⭐ Material</t>
        </is>
      </c>
      <c r="E81" t="inlineStr">
        <is>
          <t>Graduated; ~6.85% effective for avatar</t>
        </is>
      </c>
    </row>
    <row r="82">
      <c r="A82" t="inlineStr">
        <is>
          <t>NJ</t>
        </is>
      </c>
      <c r="B82" s="23" t="n">
        <v>0.0912</v>
      </c>
      <c r="C82" t="inlineStr">
        <is>
          <t>Elective</t>
        </is>
      </c>
      <c r="D82" t="inlineStr">
        <is>
          <t>⭐⭐ Material</t>
        </is>
      </c>
      <c r="E82" t="inlineStr">
        <is>
          <t>Graduated 5.675%-10.9%; 9.12% on $1M+</t>
        </is>
      </c>
    </row>
    <row r="83">
      <c r="A83" t="inlineStr">
        <is>
          <t>OR</t>
        </is>
      </c>
      <c r="B83" s="23" t="n">
        <v>0.09</v>
      </c>
      <c r="C83" t="inlineStr">
        <is>
          <t>Elective</t>
        </is>
      </c>
      <c r="D83" t="inlineStr">
        <is>
          <t>⭐⭐ Material</t>
        </is>
      </c>
      <c r="E83" t="inlineStr">
        <is>
          <t>High graduated rate state</t>
        </is>
      </c>
    </row>
    <row r="84">
      <c r="A84" t="inlineStr">
        <is>
          <t>MN</t>
        </is>
      </c>
      <c r="B84" s="23" t="n">
        <v>0.0985</v>
      </c>
      <c r="C84" t="inlineStr">
        <is>
          <t>Elective</t>
        </is>
      </c>
      <c r="D84" t="inlineStr">
        <is>
          <t>⭐⭐ Material</t>
        </is>
      </c>
      <c r="E84" t="inlineStr">
        <is>
          <t>High graduated rate state</t>
        </is>
      </c>
    </row>
    <row r="85">
      <c r="A85" t="inlineStr">
        <is>
          <t>HI</t>
        </is>
      </c>
      <c r="B85" s="23" t="n">
        <v>0.11</v>
      </c>
      <c r="C85" t="inlineStr">
        <is>
          <t>Elective</t>
        </is>
      </c>
      <c r="D85" t="inlineStr">
        <is>
          <t>⭐⭐ Material</t>
        </is>
      </c>
      <c r="E85" t="inlineStr">
        <is>
          <t>Highest top rate among PTET states</t>
        </is>
      </c>
    </row>
    <row r="86">
      <c r="A86" t="inlineStr">
        <is>
          <t>MA</t>
        </is>
      </c>
      <c r="B86" s="23" t="n">
        <v>0.05</v>
      </c>
      <c r="C86" t="inlineStr">
        <is>
          <t>Elective</t>
        </is>
      </c>
      <c r="D86" t="inlineStr">
        <is>
          <t>⭐ Material</t>
        </is>
      </c>
      <c r="E86" t="inlineStr">
        <is>
          <t>Flat 5% + millionaire surtax</t>
        </is>
      </c>
    </row>
    <row r="87">
      <c r="A87" t="inlineStr">
        <is>
          <t>VT</t>
        </is>
      </c>
      <c r="B87" s="23" t="n">
        <v>0.08749999999999999</v>
      </c>
      <c r="C87" t="inlineStr">
        <is>
          <t>Elective</t>
        </is>
      </c>
      <c r="D87" t="inlineStr">
        <is>
          <t>Moderate</t>
        </is>
      </c>
    </row>
    <row r="88">
      <c r="A88" t="inlineStr">
        <is>
          <t>MD</t>
        </is>
      </c>
      <c r="B88" s="23" t="n">
        <v>0.08</v>
      </c>
      <c r="C88" t="inlineStr">
        <is>
          <t>Elective</t>
        </is>
      </c>
      <c r="D88" t="inlineStr">
        <is>
          <t>Moderate</t>
        </is>
      </c>
      <c r="E88" t="inlineStr">
        <is>
          <t>~8% rate</t>
        </is>
      </c>
    </row>
    <row r="89">
      <c r="A89" t="inlineStr">
        <is>
          <t>CT</t>
        </is>
      </c>
      <c r="B89" s="23" t="n">
        <v>0.0699</v>
      </c>
      <c r="C89" t="inlineStr">
        <is>
          <t>MANDATORY</t>
        </is>
      </c>
      <c r="D89" t="inlineStr">
        <is>
          <t>Moderate</t>
        </is>
      </c>
      <c r="E89" t="inlineStr">
        <is>
          <t>Only mandatory PTET state</t>
        </is>
      </c>
    </row>
    <row r="90">
      <c r="A90" t="inlineStr">
        <is>
          <t>WI</t>
        </is>
      </c>
      <c r="B90" s="23" t="n">
        <v>0.0765</v>
      </c>
      <c r="C90" t="inlineStr">
        <is>
          <t>Elective</t>
        </is>
      </c>
      <c r="D90" t="inlineStr">
        <is>
          <t>Moderate</t>
        </is>
      </c>
    </row>
    <row r="91">
      <c r="A91" t="inlineStr">
        <is>
          <t>ME</t>
        </is>
      </c>
      <c r="B91" s="23" t="n">
        <v>0.07149999999999999</v>
      </c>
      <c r="C91" t="inlineStr">
        <is>
          <t>Elective</t>
        </is>
      </c>
      <c r="D91" t="inlineStr">
        <is>
          <t>Moderate</t>
        </is>
      </c>
    </row>
    <row r="92">
      <c r="A92" t="inlineStr">
        <is>
          <t>MT</t>
        </is>
      </c>
      <c r="B92" s="23" t="n">
        <v>0.0675</v>
      </c>
      <c r="C92" t="inlineStr">
        <is>
          <t>Elective</t>
        </is>
      </c>
      <c r="D92" t="inlineStr">
        <is>
          <t>Moderate</t>
        </is>
      </c>
    </row>
    <row r="93">
      <c r="A93" t="inlineStr">
        <is>
          <t>SC</t>
        </is>
      </c>
      <c r="B93" s="23" t="n">
        <v>0.064</v>
      </c>
      <c r="C93" t="inlineStr">
        <is>
          <t>Elective</t>
        </is>
      </c>
      <c r="D93" t="inlineStr">
        <is>
          <t>Moderate</t>
        </is>
      </c>
    </row>
    <row r="94">
      <c r="A94" t="inlineStr">
        <is>
          <t>DE</t>
        </is>
      </c>
      <c r="B94" s="23" t="n">
        <v>0.066</v>
      </c>
      <c r="C94" t="inlineStr">
        <is>
          <t>Elective</t>
        </is>
      </c>
      <c r="D94" t="inlineStr">
        <is>
          <t>Moderate</t>
        </is>
      </c>
    </row>
    <row r="95">
      <c r="A95" t="inlineStr">
        <is>
          <t>RI</t>
        </is>
      </c>
      <c r="B95" s="23" t="n">
        <v>0.0599</v>
      </c>
      <c r="C95" t="inlineStr">
        <is>
          <t>Elective</t>
        </is>
      </c>
      <c r="D95" t="inlineStr">
        <is>
          <t>Moderate</t>
        </is>
      </c>
    </row>
    <row r="96">
      <c r="A96" t="inlineStr">
        <is>
          <t>NE</t>
        </is>
      </c>
      <c r="B96" s="23" t="n">
        <v>0.0584</v>
      </c>
      <c r="C96" t="inlineStr">
        <is>
          <t>Elective</t>
        </is>
      </c>
      <c r="D96" t="inlineStr">
        <is>
          <t>Moderate</t>
        </is>
      </c>
    </row>
    <row r="97">
      <c r="A97" t="inlineStr">
        <is>
          <t>ID</t>
        </is>
      </c>
      <c r="B97" s="23" t="n">
        <v>0.058</v>
      </c>
      <c r="C97" t="inlineStr">
        <is>
          <t>Elective</t>
        </is>
      </c>
      <c r="D97" t="inlineStr">
        <is>
          <t>Moderate</t>
        </is>
      </c>
    </row>
    <row r="98">
      <c r="A98" t="inlineStr">
        <is>
          <t>VA</t>
        </is>
      </c>
      <c r="B98" s="23" t="n">
        <v>0.0575</v>
      </c>
      <c r="C98" t="inlineStr">
        <is>
          <t>Elective</t>
        </is>
      </c>
      <c r="D98" t="inlineStr">
        <is>
          <t>Moderate</t>
        </is>
      </c>
    </row>
    <row r="99">
      <c r="A99" t="inlineStr">
        <is>
          <t>IA</t>
        </is>
      </c>
      <c r="B99" s="23" t="n">
        <v>0.0575</v>
      </c>
      <c r="C99" t="inlineStr">
        <is>
          <t>Elective</t>
        </is>
      </c>
      <c r="D99" t="inlineStr">
        <is>
          <t>Moderate</t>
        </is>
      </c>
    </row>
    <row r="100">
      <c r="A100" t="inlineStr">
        <is>
          <t>KS</t>
        </is>
      </c>
      <c r="B100" s="23" t="n">
        <v>0.057</v>
      </c>
      <c r="C100" t="inlineStr">
        <is>
          <t>Elective</t>
        </is>
      </c>
      <c r="D100" t="inlineStr">
        <is>
          <t>Moderate</t>
        </is>
      </c>
    </row>
    <row r="101">
      <c r="A101" t="inlineStr">
        <is>
          <t>GA</t>
        </is>
      </c>
      <c r="B101" s="23" t="n">
        <v>0.0539</v>
      </c>
      <c r="C101" t="inlineStr">
        <is>
          <t>Elective</t>
        </is>
      </c>
      <c r="D101" t="inlineStr">
        <is>
          <t>Moderate</t>
        </is>
      </c>
    </row>
    <row r="102">
      <c r="A102" t="inlineStr">
        <is>
          <t>NM</t>
        </is>
      </c>
      <c r="B102" s="23" t="n">
        <v>0.059</v>
      </c>
      <c r="C102" t="inlineStr">
        <is>
          <t>Elective</t>
        </is>
      </c>
      <c r="D102" t="inlineStr">
        <is>
          <t>Moderate</t>
        </is>
      </c>
    </row>
    <row r="103">
      <c r="A103" t="inlineStr">
        <is>
          <t>AL</t>
        </is>
      </c>
      <c r="B103" s="23" t="n">
        <v>0.05</v>
      </c>
      <c r="C103" t="inlineStr">
        <is>
          <t>Elective</t>
        </is>
      </c>
      <c r="D103" t="inlineStr">
        <is>
          <t>Lower</t>
        </is>
      </c>
      <c r="E103" t="inlineStr">
        <is>
          <t>5% rate</t>
        </is>
      </c>
    </row>
    <row r="104">
      <c r="A104" t="inlineStr">
        <is>
          <t>OH</t>
        </is>
      </c>
      <c r="B104" s="23" t="n">
        <v>0.05</v>
      </c>
      <c r="C104" t="inlineStr">
        <is>
          <t>Elective</t>
        </is>
      </c>
      <c r="D104" t="inlineStr">
        <is>
          <t>Lower</t>
        </is>
      </c>
      <c r="E104" t="inlineStr">
        <is>
          <t>~5%</t>
        </is>
      </c>
    </row>
    <row r="105">
      <c r="A105" t="inlineStr">
        <is>
          <t>MS</t>
        </is>
      </c>
      <c r="B105" s="23" t="n">
        <v>0.05</v>
      </c>
      <c r="C105" t="inlineStr">
        <is>
          <t>Elective</t>
        </is>
      </c>
      <c r="D105" t="inlineStr">
        <is>
          <t>Lower</t>
        </is>
      </c>
    </row>
    <row r="106">
      <c r="A106" t="inlineStr">
        <is>
          <t>IL</t>
        </is>
      </c>
      <c r="B106" s="23" t="n">
        <v>0.0495</v>
      </c>
      <c r="C106" t="inlineStr">
        <is>
          <t>Elective</t>
        </is>
      </c>
      <c r="D106" t="inlineStr">
        <is>
          <t>Lower</t>
        </is>
      </c>
    </row>
    <row r="107">
      <c r="A107" t="inlineStr">
        <is>
          <t>WV</t>
        </is>
      </c>
      <c r="B107" s="23" t="n">
        <v>0.048</v>
      </c>
      <c r="C107" t="inlineStr">
        <is>
          <t>Elective</t>
        </is>
      </c>
      <c r="D107" t="inlineStr">
        <is>
          <t>Lower</t>
        </is>
      </c>
    </row>
    <row r="108">
      <c r="A108" t="inlineStr">
        <is>
          <t>OK</t>
        </is>
      </c>
      <c r="B108" s="23" t="n">
        <v>0.0475</v>
      </c>
      <c r="C108" t="inlineStr">
        <is>
          <t>Elective</t>
        </is>
      </c>
      <c r="D108" t="inlineStr">
        <is>
          <t>Lower</t>
        </is>
      </c>
    </row>
    <row r="109">
      <c r="A109" t="inlineStr">
        <is>
          <t>MO</t>
        </is>
      </c>
      <c r="B109" s="23" t="n">
        <v>0.047</v>
      </c>
      <c r="C109" t="inlineStr">
        <is>
          <t>Elective</t>
        </is>
      </c>
      <c r="D109" t="inlineStr">
        <is>
          <t>Lower</t>
        </is>
      </c>
    </row>
    <row r="110">
      <c r="A110" t="inlineStr">
        <is>
          <t>UT</t>
        </is>
      </c>
      <c r="B110" s="23" t="n">
        <v>0.0455</v>
      </c>
      <c r="C110" t="inlineStr">
        <is>
          <t>Elective</t>
        </is>
      </c>
      <c r="D110" t="inlineStr">
        <is>
          <t>Lower</t>
        </is>
      </c>
    </row>
    <row r="111">
      <c r="A111" t="inlineStr">
        <is>
          <t>MI</t>
        </is>
      </c>
      <c r="B111" s="23" t="n">
        <v>0.0425</v>
      </c>
      <c r="C111" t="inlineStr">
        <is>
          <t>Elective</t>
        </is>
      </c>
      <c r="D111" t="inlineStr">
        <is>
          <t>Lower</t>
        </is>
      </c>
      <c r="E111" t="inlineStr">
        <is>
          <t>Flat 4.25%</t>
        </is>
      </c>
    </row>
    <row r="112">
      <c r="A112" t="inlineStr">
        <is>
          <t>LA</t>
        </is>
      </c>
      <c r="B112" s="23" t="n">
        <v>0.0425</v>
      </c>
      <c r="C112" t="inlineStr">
        <is>
          <t>Elective</t>
        </is>
      </c>
      <c r="D112" t="inlineStr">
        <is>
          <t>Lower</t>
        </is>
      </c>
    </row>
    <row r="113">
      <c r="A113" t="inlineStr">
        <is>
          <t>NC</t>
        </is>
      </c>
      <c r="B113" s="23" t="n">
        <v>0.0425</v>
      </c>
      <c r="C113" t="inlineStr">
        <is>
          <t>Elective</t>
        </is>
      </c>
      <c r="D113" t="inlineStr">
        <is>
          <t>Lower</t>
        </is>
      </c>
    </row>
    <row r="114">
      <c r="A114" t="inlineStr">
        <is>
          <t>KY</t>
        </is>
      </c>
      <c r="B114" s="23" t="n">
        <v>0.04</v>
      </c>
      <c r="C114" t="inlineStr">
        <is>
          <t>Elective</t>
        </is>
      </c>
      <c r="D114" t="inlineStr">
        <is>
          <t>Lower</t>
        </is>
      </c>
    </row>
    <row r="115">
      <c r="A115" t="inlineStr">
        <is>
          <t>AR</t>
        </is>
      </c>
      <c r="B115" s="23" t="n">
        <v>0.039</v>
      </c>
      <c r="C115" t="inlineStr">
        <is>
          <t>Elective</t>
        </is>
      </c>
      <c r="D115" t="inlineStr">
        <is>
          <t>Lower</t>
        </is>
      </c>
    </row>
    <row r="116">
      <c r="A116" t="inlineStr">
        <is>
          <t>IN</t>
        </is>
      </c>
      <c r="B116" s="23" t="n">
        <v>0.0305</v>
      </c>
      <c r="C116" t="inlineStr">
        <is>
          <t>Elective</t>
        </is>
      </c>
      <c r="D116" t="inlineStr">
        <is>
          <t>Lower</t>
        </is>
      </c>
    </row>
    <row r="117">
      <c r="A117" t="inlineStr">
        <is>
          <t>AZ</t>
        </is>
      </c>
      <c r="B117" s="23" t="n">
        <v>0.025</v>
      </c>
      <c r="C117" t="inlineStr">
        <is>
          <t>Elective</t>
        </is>
      </c>
      <c r="D117" t="inlineStr">
        <is>
          <t>Lower</t>
        </is>
      </c>
      <c r="E117" t="inlineStr">
        <is>
          <t>Flat 2.5%</t>
        </is>
      </c>
    </row>
    <row r="118">
      <c r="A118" t="inlineStr">
        <is>
          <t>PA</t>
        </is>
      </c>
      <c r="B118" t="inlineStr">
        <is>
          <t>—</t>
        </is>
      </c>
      <c r="C118" t="inlineStr">
        <is>
          <t>No PTET</t>
        </is>
      </c>
      <c r="D118" t="inlineStr">
        <is>
          <t>N/A</t>
        </is>
      </c>
      <c r="E118" t="inlineStr">
        <is>
          <t>3.07% flat, no PTET</t>
        </is>
      </c>
    </row>
    <row r="119">
      <c r="A119" t="inlineStr">
        <is>
          <t>DC</t>
        </is>
      </c>
      <c r="B119" t="inlineStr">
        <is>
          <t>—</t>
        </is>
      </c>
      <c r="C119" t="inlineStr">
        <is>
          <t>No PTET</t>
        </is>
      </c>
      <c r="D119" t="inlineStr">
        <is>
          <t>N/A</t>
        </is>
      </c>
      <c r="E119" t="inlineStr">
        <is>
          <t>Graduated, no PTET</t>
        </is>
      </c>
    </row>
    <row r="120">
      <c r="A120" t="inlineStr">
        <is>
          <t>ND</t>
        </is>
      </c>
      <c r="B120" t="inlineStr">
        <is>
          <t>—</t>
        </is>
      </c>
      <c r="C120" t="inlineStr">
        <is>
          <t>No PTET</t>
        </is>
      </c>
      <c r="D120" t="inlineStr">
        <is>
          <t>N/A</t>
        </is>
      </c>
      <c r="E120" t="inlineStr">
        <is>
          <t>Has income tax, no PTET</t>
        </is>
      </c>
    </row>
    <row r="121">
      <c r="A121" t="inlineStr">
        <is>
          <t>FL</t>
        </is>
      </c>
      <c r="B121" t="inlineStr">
        <is>
          <t>—</t>
        </is>
      </c>
      <c r="C121" t="inlineStr">
        <is>
          <t>No state income tax</t>
        </is>
      </c>
      <c r="D121" t="inlineStr">
        <is>
          <t>N/A</t>
        </is>
      </c>
    </row>
    <row r="122">
      <c r="A122" t="inlineStr">
        <is>
          <t>TX</t>
        </is>
      </c>
      <c r="B122" t="inlineStr">
        <is>
          <t>—</t>
        </is>
      </c>
      <c r="C122" t="inlineStr">
        <is>
          <t>No state income tax</t>
        </is>
      </c>
      <c r="D122" t="inlineStr">
        <is>
          <t>N/A</t>
        </is>
      </c>
    </row>
    <row r="123">
      <c r="A123" t="inlineStr">
        <is>
          <t>WA</t>
        </is>
      </c>
      <c r="B123" t="inlineStr">
        <is>
          <t>—</t>
        </is>
      </c>
      <c r="C123" t="inlineStr">
        <is>
          <t>No state income tax</t>
        </is>
      </c>
      <c r="D123" t="inlineStr">
        <is>
          <t>N/A</t>
        </is>
      </c>
    </row>
    <row r="124">
      <c r="A124" t="inlineStr">
        <is>
          <t>NV</t>
        </is>
      </c>
      <c r="B124" t="inlineStr">
        <is>
          <t>—</t>
        </is>
      </c>
      <c r="C124" t="inlineStr">
        <is>
          <t>No state income tax</t>
        </is>
      </c>
      <c r="D124" t="inlineStr">
        <is>
          <t>N/A</t>
        </is>
      </c>
    </row>
    <row r="125">
      <c r="A125" t="inlineStr">
        <is>
          <t>WY</t>
        </is>
      </c>
      <c r="B125" t="inlineStr">
        <is>
          <t>—</t>
        </is>
      </c>
      <c r="C125" t="inlineStr">
        <is>
          <t>No state income tax</t>
        </is>
      </c>
      <c r="D125" t="inlineStr">
        <is>
          <t>N/A</t>
        </is>
      </c>
    </row>
    <row r="126">
      <c r="A126" t="inlineStr">
        <is>
          <t>SD</t>
        </is>
      </c>
      <c r="B126" t="inlineStr">
        <is>
          <t>—</t>
        </is>
      </c>
      <c r="C126" t="inlineStr">
        <is>
          <t>No state income tax</t>
        </is>
      </c>
      <c r="D126" t="inlineStr">
        <is>
          <t>N/A</t>
        </is>
      </c>
    </row>
    <row r="127">
      <c r="A127" t="inlineStr">
        <is>
          <t>AK</t>
        </is>
      </c>
      <c r="B127" t="inlineStr">
        <is>
          <t>—</t>
        </is>
      </c>
      <c r="C127" t="inlineStr">
        <is>
          <t>No state income tax</t>
        </is>
      </c>
      <c r="D127" t="inlineStr">
        <is>
          <t>N/A</t>
        </is>
      </c>
    </row>
    <row r="128">
      <c r="A128" t="inlineStr">
        <is>
          <t>TN</t>
        </is>
      </c>
      <c r="B128" t="inlineStr">
        <is>
          <t>—</t>
        </is>
      </c>
      <c r="C128" t="inlineStr">
        <is>
          <t>No state income tax</t>
        </is>
      </c>
      <c r="D128" t="inlineStr">
        <is>
          <t>N/A</t>
        </is>
      </c>
    </row>
    <row r="129">
      <c r="A129" t="inlineStr">
        <is>
          <t>NH</t>
        </is>
      </c>
      <c r="B129" t="inlineStr">
        <is>
          <t>—</t>
        </is>
      </c>
      <c r="C129" t="inlineStr">
        <is>
          <t>No state income tax</t>
        </is>
      </c>
      <c r="D129" t="inlineStr">
        <is>
          <t>N/A</t>
        </is>
      </c>
      <c r="E129" t="inlineStr">
        <is>
          <t>Taxes investment only</t>
        </is>
      </c>
    </row>
    <row r="132">
      <c r="A132" t="inlineStr">
        <is>
          <t>═══════════════════════════════════════════════════════</t>
        </is>
      </c>
    </row>
    <row r="133" ht="18.5" customHeight="1" s="99">
      <c r="A133" s="15" t="inlineStr">
        <is>
          <t>TAX LIMITATIONS REFERENCE</t>
        </is>
      </c>
    </row>
    <row r="134">
      <c r="A134" t="inlineStr">
        <is>
          <t>TAX LIMITATIONS TRACKER</t>
        </is>
      </c>
    </row>
    <row r="136">
      <c r="A136" t="inlineStr">
        <is>
          <t>1. PASSIVE ACTIVITY LOSS LIMITATIONS (IRC §469)</t>
        </is>
      </c>
    </row>
    <row r="138">
      <c r="A138" t="inlineStr">
        <is>
          <t>NIIT_Class Determination:</t>
        </is>
      </c>
    </row>
    <row r="139">
      <c r="A139" t="inlineStr">
        <is>
          <t>• Active = Taxpayer materially participates (no PAL limit applies)</t>
        </is>
      </c>
    </row>
    <row r="140">
      <c r="A140" t="inlineStr">
        <is>
          <t>• Passive = Rental activities OR business without material participation</t>
        </is>
      </c>
    </row>
    <row r="141">
      <c r="A141" t="inlineStr">
        <is>
          <t>• Portfolio = Interest, dividends, capital gains from investments</t>
        </is>
      </c>
    </row>
    <row r="142">
      <c r="A142" t="inlineStr">
        <is>
          <t>• N/A = Deductions, credits, payments (not subject to NIIT)</t>
        </is>
      </c>
    </row>
    <row r="144">
      <c r="A144" t="inlineStr">
        <is>
          <t>Passive Loss Limitation Rules:</t>
        </is>
      </c>
    </row>
    <row r="145">
      <c r="A145" t="inlineStr">
        <is>
          <t>• Passive losses can ONLY offset passive income</t>
        </is>
      </c>
    </row>
    <row r="146">
      <c r="A146" t="inlineStr">
        <is>
          <t>• Excess passive losses are suspended and carried forward indefinitely</t>
        </is>
      </c>
    </row>
    <row r="147">
      <c r="A147" t="inlineStr">
        <is>
          <t>• Released upon complete disposition of the passive activity</t>
        </is>
      </c>
    </row>
    <row r="148">
      <c r="A148" t="inlineStr">
        <is>
          <t>• $25,000 rental real estate exception (AGI phase-out $100k-$150k for active participants)</t>
        </is>
      </c>
    </row>
    <row r="149">
      <c r="A149" t="inlineStr">
        <is>
          <t>• Real estate professionals may treat rental activities as active (&gt;750 hrs + &gt;50% of personal services)</t>
        </is>
      </c>
    </row>
    <row r="151">
      <c r="A151" t="inlineStr">
        <is>
          <t>2. CAPITAL LOSS LIMITATIONS (IRC §1211)</t>
        </is>
      </c>
    </row>
    <row r="153">
      <c r="A153" t="inlineStr">
        <is>
          <t>Capital Loss Limitation Rules:</t>
        </is>
      </c>
    </row>
    <row r="154">
      <c r="A154" t="inlineStr">
        <is>
          <t>• Capital losses offset capital gains (STCG vs LTCG, then netting)</t>
        </is>
      </c>
    </row>
    <row r="155">
      <c r="A155" t="inlineStr">
        <is>
          <t>• Excess capital loss deduction limited to $3,000 per year ($1,500 MFS)</t>
        </is>
      </c>
    </row>
    <row r="156">
      <c r="A156" t="inlineStr">
        <is>
          <t>• Excess capital losses carried forward indefinitely (retain character as ST or LT)</t>
        </is>
      </c>
    </row>
    <row r="157">
      <c r="A157" t="inlineStr">
        <is>
          <t>• Wash sale rules (IRC §1091) - no loss if substantially identical security repurchased within 30 days</t>
        </is>
      </c>
    </row>
    <row r="159">
      <c r="A159" t="inlineStr">
        <is>
          <t>3. NET OPERATING LOSS (NOL) CARRYFORWARDS (IRC §172)</t>
        </is>
      </c>
    </row>
    <row r="161">
      <c r="A161" t="inlineStr">
        <is>
          <t>NOL Limitation Rules (TCJA 2017 onwards):</t>
        </is>
      </c>
    </row>
    <row r="162">
      <c r="A162" t="inlineStr">
        <is>
          <t>• NOL deduction limited to 80% of taxable income (for NOLs arising after 2017)</t>
        </is>
      </c>
    </row>
    <row r="163">
      <c r="A163" t="inlineStr">
        <is>
          <t>• NOLs carried forward indefinitely (no expiration)</t>
        </is>
      </c>
    </row>
    <row r="164">
      <c r="A164" t="inlineStr">
        <is>
          <t>• No carryback allowed (except 2018-2020 losses under CARES Act)</t>
        </is>
      </c>
    </row>
    <row r="165">
      <c r="A165" t="inlineStr">
        <is>
          <t>• Excess Business Loss limitation: $289,000 single / $578,000 MFJ (2023) - excess becomes NOL</t>
        </is>
      </c>
    </row>
    <row r="167">
      <c r="A167" t="inlineStr">
        <is>
          <t>4. PASSIVE LOSS TRACKING WORKSHEET</t>
        </is>
      </c>
    </row>
    <row r="169">
      <c r="A169" t="inlineStr">
        <is>
          <t>Activity</t>
        </is>
      </c>
      <c r="B169" t="inlineStr">
        <is>
          <t>Source_Type</t>
        </is>
      </c>
      <c r="C169" t="inlineStr">
        <is>
          <t>NIIT_Class</t>
        </is>
      </c>
      <c r="D169" t="inlineStr">
        <is>
          <t>Current Year Income/(Loss)</t>
        </is>
      </c>
      <c r="E169" t="inlineStr">
        <is>
          <t>Prior Year Suspended Loss</t>
        </is>
      </c>
    </row>
    <row r="170">
      <c r="A170" t="inlineStr">
        <is>
          <t>Example: Rental Property A</t>
        </is>
      </c>
      <c r="B170" t="inlineStr">
        <is>
          <t>Schedule E - Rental</t>
        </is>
      </c>
      <c r="C170" t="inlineStr">
        <is>
          <t>Passive</t>
        </is>
      </c>
      <c r="D170" t="n">
        <v>-15000</v>
      </c>
      <c r="E170" t="n">
        <v>-25000</v>
      </c>
    </row>
    <row r="171">
      <c r="A171" t="inlineStr">
        <is>
          <t>Example: Partnership B</t>
        </is>
      </c>
      <c r="B171" t="inlineStr">
        <is>
          <t>Partnership K-1</t>
        </is>
      </c>
      <c r="C171" t="inlineStr">
        <is>
          <t>Passive</t>
        </is>
      </c>
      <c r="D171" t="n">
        <v>-8000</v>
      </c>
    </row>
    <row r="173">
      <c r="A173" t="inlineStr">
        <is>
          <t>TOTALS:</t>
        </is>
      </c>
      <c r="D173" t="n">
        <v>-23000</v>
      </c>
      <c r="E173" t="n">
        <v>-25000</v>
      </c>
    </row>
    <row r="175">
      <c r="A175" t="inlineStr">
        <is>
          <t>5. CAPITAL LOSS TRACKING WORKSHEET</t>
        </is>
      </c>
    </row>
    <row r="177">
      <c r="A177" t="inlineStr">
        <is>
          <t>Type</t>
        </is>
      </c>
      <c r="B177" t="inlineStr">
        <is>
          <t>Current Year Gains/(Losses)</t>
        </is>
      </c>
      <c r="C177" t="inlineStr">
        <is>
          <t>Prior Year C/F</t>
        </is>
      </c>
      <c r="D177" t="inlineStr">
        <is>
          <t>Total Available</t>
        </is>
      </c>
      <c r="E177" t="inlineStr">
        <is>
          <t>Offset Against Gains</t>
        </is>
      </c>
    </row>
    <row r="178">
      <c r="A178" t="inlineStr">
        <is>
          <t>Short-term</t>
        </is>
      </c>
      <c r="B178" t="n">
        <v>5000</v>
      </c>
      <c r="C178" t="n">
        <v>-10000</v>
      </c>
      <c r="D178" t="n">
        <v>-5000</v>
      </c>
    </row>
    <row r="179">
      <c r="A179" t="inlineStr">
        <is>
          <t>Long-term</t>
        </is>
      </c>
      <c r="B179" t="n">
        <v>-8000</v>
      </c>
      <c r="C179" t="n">
        <v>-15000</v>
      </c>
      <c r="D179" t="n">
        <v>-23000</v>
      </c>
    </row>
    <row r="181">
      <c r="A181" t="inlineStr">
        <is>
          <t>Net Capital Gain/(Loss):</t>
        </is>
      </c>
    </row>
    <row r="182">
      <c r="A182" t="inlineStr">
        <is>
          <t>Ordinary Income Offset (max $3,000):</t>
        </is>
      </c>
    </row>
    <row r="183">
      <c r="A183" t="inlineStr">
        <is>
          <t>Capital Loss Carryforward:</t>
        </is>
      </c>
    </row>
    <row r="185">
      <c r="A185" t="inlineStr">
        <is>
          <t>6. NET OPERATING LOSS (NOL) TRACKING</t>
        </is>
      </c>
    </row>
    <row r="187">
      <c r="A187" t="inlineStr">
        <is>
          <t>Year</t>
        </is>
      </c>
      <c r="B187" t="inlineStr">
        <is>
          <t>NOL Generated</t>
        </is>
      </c>
      <c r="C187" t="inlineStr">
        <is>
          <t>Prior C/F Balance</t>
        </is>
      </c>
      <c r="D187" t="inlineStr">
        <is>
          <t>Total Available NOL</t>
        </is>
      </c>
      <c r="E187" t="inlineStr">
        <is>
          <t>Current Year TI (before NOL)</t>
        </is>
      </c>
    </row>
    <row r="188">
      <c r="A188" t="n">
        <v>2023</v>
      </c>
      <c r="C188" t="n">
        <v>-50000</v>
      </c>
      <c r="D188" t="n">
        <v>-50000</v>
      </c>
      <c r="E188" t="n">
        <v>100000</v>
      </c>
    </row>
    <row r="189">
      <c r="A189" t="n">
        <v>2024</v>
      </c>
      <c r="B189" t="n">
        <v>-20000</v>
      </c>
      <c r="D189" t="n">
        <v>-20000</v>
      </c>
      <c r="E189" t="n">
        <v>75000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C00000"/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QUICK CARRYOVER CALCULATOR — Manual Entry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Simplified first-step inputs - calculates allowed amounts after limitations</t>
        </is>
      </c>
    </row>
    <row r="4">
      <c r="A4" t="inlineStr">
        <is>
          <t>A. CURRENT YEAR ACTIVITY</t>
        </is>
      </c>
      <c r="E4" t="inlineStr">
        <is>
          <t>B. ALLOWED AMOUNTS (After Limitations)</t>
        </is>
      </c>
    </row>
    <row r="5">
      <c r="A5" t="inlineStr">
        <is>
          <t>Description</t>
        </is>
      </c>
      <c r="B5" t="inlineStr">
        <is>
          <t>Amount</t>
        </is>
      </c>
      <c r="C5" t="inlineStr">
        <is>
          <t>Notes</t>
        </is>
      </c>
      <c r="E5" t="inlineStr">
        <is>
          <t>Item</t>
        </is>
      </c>
      <c r="F5" t="inlineStr">
        <is>
          <t>Allowed</t>
        </is>
      </c>
      <c r="G5" t="inlineStr">
        <is>
          <t>Rule Applied</t>
        </is>
      </c>
    </row>
    <row r="6">
      <c r="A6" t="inlineStr">
        <is>
          <t>CY Passive Activity Income/(Loss)</t>
        </is>
      </c>
      <c r="B6">
        <f t="array" ref="B6">INDIRECT("Y"&amp;Active_Year&amp;"!J28")</f>
        <v/>
      </c>
      <c r="C6" t="inlineStr">
        <is>
          <t>Enter positive for income, negative for loss</t>
        </is>
      </c>
      <c r="E6" t="inlineStr">
        <is>
          <t>Passive Loss Allowed</t>
        </is>
      </c>
      <c r="F6">
        <f>IF(B6&gt;=0, 0, B6)</f>
        <v/>
      </c>
      <c r="G6" t="inlineStr">
        <is>
          <t>PAL: Losses offset passive income only</t>
        </is>
      </c>
    </row>
    <row r="7">
      <c r="A7" t="inlineStr">
        <is>
          <t>CY Capital Gains/(Losses)</t>
        </is>
      </c>
      <c r="B7">
        <f t="array" ref="B7">INDIRECT("Y"&amp;Active_Year&amp;"!J31")+INDIRECT("Y"&amp;Active_Year&amp;"!J32")</f>
        <v/>
      </c>
      <c r="C7" t="inlineStr">
        <is>
          <t>Net capital gains (positive) or losses (negative)</t>
        </is>
      </c>
      <c r="E7" t="inlineStr">
        <is>
          <t>Capital Loss vs Ordinary</t>
        </is>
      </c>
      <c r="F7">
        <f>IF(B7&gt;=0, 0, MAX(B7, -3000))</f>
        <v/>
      </c>
      <c r="G7" t="inlineStr">
        <is>
          <t>CL: Max $3,000 deduction vs ordinary</t>
        </is>
      </c>
    </row>
    <row r="8">
      <c r="A8" t="inlineStr">
        <is>
          <t>CY Business Income/(Loss) - Non-Passive</t>
        </is>
      </c>
      <c r="B8">
        <f t="array" ref="B8">INDIRECT("Y"&amp;Active_Year&amp;"!J26")+INDIRECT("Y"&amp;Active_Year&amp;"!J27")</f>
        <v/>
      </c>
      <c r="C8" t="inlineStr">
        <is>
          <t>Schedule C, SE portion of K-1s, etc.</t>
        </is>
      </c>
      <c r="E8" t="inlineStr">
        <is>
          <t>Capital Gain to Tax</t>
        </is>
      </c>
      <c r="F8">
        <f>MAX(0, B7)</f>
        <v/>
      </c>
      <c r="G8" t="inlineStr">
        <is>
          <t>CG: Taxed at preferential rates</t>
        </is>
      </c>
    </row>
    <row r="9">
      <c r="A9" t="inlineStr">
        <is>
          <t>Prior Year Taxable Income</t>
        </is>
      </c>
      <c r="B9">
        <f t="array" ref="B9">IFERROR(INDIRECT("Y"&amp;(Active_Year-1)&amp;"!N18"),0)</f>
        <v/>
      </c>
      <c r="C9" t="inlineStr">
        <is>
          <t>For NOL 80% limitation calculation</t>
        </is>
      </c>
      <c r="E9" t="inlineStr">
        <is>
          <t>NOL Deduction Allowed</t>
        </is>
      </c>
      <c r="F9">
        <f>IF(B27&gt;0, MIN(B27, B9*0.8), 0)</f>
        <v/>
      </c>
      <c r="G9" t="inlineStr">
        <is>
          <t>NOL: Limited to 80% of taxable income</t>
        </is>
      </c>
    </row>
    <row r="11">
      <c r="A11" t="inlineStr">
        <is>
          <t>C. SUMMARY - ADJUSTMENT TO TAX CALCULATOR</t>
        </is>
      </c>
    </row>
    <row r="12">
      <c r="A12" t="inlineStr">
        <is>
          <t>Total Deductions Allowed</t>
        </is>
      </c>
      <c r="B12">
        <f>F6+F7+F9</f>
        <v/>
      </c>
      <c r="C12" t="inlineStr">
        <is>
          <t>Transfer to year sheet tax calculator (Section 7, row 129)</t>
        </is>
      </c>
    </row>
    <row r="13">
      <c r="A13" t="inlineStr">
        <is>
          <t>Capital Gains for CG Tax</t>
        </is>
      </c>
      <c r="B13">
        <f>F8</f>
        <v/>
      </c>
      <c r="C13" t="inlineStr">
        <is>
          <t>Enter in year sheet helpers (CG_LT at J31, CG_ST at J32)</t>
        </is>
      </c>
    </row>
    <row r="15">
      <c r="A15" t="inlineStr">
        <is>
          <t>Note: Enter values manually. Wire to year sheet helpers/tax calc inputs as needed.</t>
        </is>
      </c>
    </row>
    <row r="17">
      <c r="A17" t="inlineStr">
        <is>
          <t>LOSS CARRYOVERS &amp; LIMITATIONS</t>
        </is>
      </c>
    </row>
    <row r="18">
      <c r="A18" t="inlineStr">
        <is>
          <t>Track NOL, Capital Loss, and Passive Activity Loss carryforwards</t>
        </is>
      </c>
    </row>
    <row r="20">
      <c r="A20" t="inlineStr">
        <is>
          <t>SIMPLE CARRYOVER INPUTS</t>
        </is>
      </c>
    </row>
    <row r="21">
      <c r="A21" t="inlineStr">
        <is>
          <t>Enter prior year carryovers below. The detailed calculations are in sections 1-3.</t>
        </is>
      </c>
    </row>
    <row r="23">
      <c r="A23" t="inlineStr">
        <is>
          <t>Carryover Type</t>
        </is>
      </c>
      <c r="B23" t="inlineStr">
        <is>
          <t>Amount</t>
        </is>
      </c>
      <c r="C23" t="inlineStr">
        <is>
          <t>Year(s) of Loss</t>
        </is>
      </c>
      <c r="D23" t="inlineStr">
        <is>
          <t>Notes</t>
        </is>
      </c>
    </row>
    <row r="24">
      <c r="A24" t="inlineStr">
        <is>
          <t>STCL Carryforward</t>
        </is>
      </c>
      <c r="B24" t="n">
        <v>0</v>
      </c>
      <c r="D24" t="inlineStr">
        <is>
          <t>Short-term capital loss from prior year(s)</t>
        </is>
      </c>
    </row>
    <row r="25">
      <c r="A25" t="inlineStr">
        <is>
          <t>LTCL Carryforward</t>
        </is>
      </c>
      <c r="B25" t="n">
        <v>0</v>
      </c>
      <c r="D25" t="inlineStr">
        <is>
          <t>Long-term capital loss from prior year(s)</t>
        </is>
      </c>
    </row>
    <row r="26">
      <c r="A26" t="inlineStr">
        <is>
          <t>NOL Carryforward (Pre-2018)</t>
        </is>
      </c>
      <c r="B26" t="n">
        <v>0</v>
      </c>
      <c r="D26" t="inlineStr">
        <is>
          <t>Net operating loss (100% usable)</t>
        </is>
      </c>
    </row>
    <row r="27">
      <c r="A27" t="inlineStr">
        <is>
          <t>NOL Carryforward (Post-2017)</t>
        </is>
      </c>
      <c r="B27" t="n">
        <v>0</v>
      </c>
      <c r="D27" t="inlineStr">
        <is>
          <t>Net operating loss (80% limit)</t>
        </is>
      </c>
    </row>
    <row r="28">
      <c r="A28" t="inlineStr">
        <is>
          <t>Suspended PAL - Rental</t>
        </is>
      </c>
      <c r="B28" t="n">
        <v>0</v>
      </c>
      <c r="D28" t="inlineStr">
        <is>
          <t>Suspended passive losses from rentals</t>
        </is>
      </c>
    </row>
    <row r="29">
      <c r="A29" t="inlineStr">
        <is>
          <t>Suspended PAL - Other</t>
        </is>
      </c>
      <c r="B29" t="n">
        <v>0</v>
      </c>
      <c r="D29" t="inlineStr">
        <is>
          <t>Suspended passive losses from other activities</t>
        </is>
      </c>
    </row>
    <row r="30">
      <c r="A30" t="inlineStr">
        <is>
          <t>TOTAL CARRYOVERS</t>
        </is>
      </c>
      <c r="B30">
        <f>SUM(B24:B29)</f>
        <v/>
      </c>
    </row>
    <row r="32">
      <c r="A32" t="inlineStr">
        <is>
          <t>1. CAPITAL LOSS CARRYOVER</t>
        </is>
      </c>
    </row>
    <row r="33">
      <c r="A33" t="inlineStr">
        <is>
          <t>Description</t>
        </is>
      </c>
      <c r="B33" t="inlineStr">
        <is>
          <t>STCL</t>
        </is>
      </c>
      <c r="C33" t="inlineStr">
        <is>
          <t>LTCL</t>
        </is>
      </c>
      <c r="D33" t="inlineStr">
        <is>
          <t>Total</t>
        </is>
      </c>
      <c r="E33" t="inlineStr">
        <is>
          <t>Limit</t>
        </is>
      </c>
      <c r="F33" t="inlineStr">
        <is>
          <t>Used</t>
        </is>
      </c>
      <c r="G33" t="inlineStr">
        <is>
          <t>Notes</t>
        </is>
      </c>
    </row>
    <row r="34">
      <c r="A34" t="inlineStr">
        <is>
          <t>Prior Year STCL Carryover</t>
        </is>
      </c>
      <c r="B34" t="n">
        <v>0</v>
      </c>
      <c r="D34">
        <f>B34</f>
        <v/>
      </c>
      <c r="G34" t="inlineStr">
        <is>
          <t>Enter PY carryover from prior return</t>
        </is>
      </c>
    </row>
    <row r="35">
      <c r="A35" t="inlineStr">
        <is>
          <t>Prior Year LTCL Carryover</t>
        </is>
      </c>
      <c r="C35" t="n">
        <v>0</v>
      </c>
      <c r="D35">
        <f>C35</f>
        <v/>
      </c>
      <c r="G35" t="inlineStr">
        <is>
          <t>Enter PY carryover from prior return</t>
        </is>
      </c>
    </row>
    <row r="36">
      <c r="A36" t="inlineStr">
        <is>
          <t>Current Year Net CG/(CL)</t>
        </is>
      </c>
      <c r="B36" s="100">
        <f>MIN(0, INDIRECT("Y"&amp;Active_Year&amp;"!J32"))</f>
        <v/>
      </c>
      <c r="C36" s="100">
        <f>MIN(0, INDIRECT("Y"&amp;Active_Year&amp;"!J31"))</f>
        <v/>
      </c>
      <c r="D36" s="100">
        <f>B36+C36</f>
        <v/>
      </c>
      <c r="G36" t="inlineStr">
        <is>
          <t>From Tax Calculator (before carryover)</t>
        </is>
      </c>
    </row>
    <row r="37">
      <c r="A37" t="inlineStr">
        <is>
          <t>Net Capital Gain/(Loss)</t>
        </is>
      </c>
      <c r="B37" s="100">
        <f>B34+B36</f>
        <v/>
      </c>
      <c r="C37" s="100">
        <f>C35+C36</f>
        <v/>
      </c>
      <c r="D37" s="100">
        <f>B37+C37</f>
        <v/>
      </c>
      <c r="G37" t="inlineStr">
        <is>
          <t>Combined PY carryover + CY activity</t>
        </is>
      </c>
    </row>
    <row r="38">
      <c r="A38" t="inlineStr">
        <is>
          <t>Capital Loss Limitation</t>
        </is>
      </c>
      <c r="E38" t="n">
        <v>-3000</v>
      </c>
      <c r="G38" t="inlineStr">
        <is>
          <t>Max $3,000 CL vs ordinary income ($1,500 MFS)</t>
        </is>
      </c>
    </row>
    <row r="39">
      <c r="A39" t="inlineStr">
        <is>
          <t>CL Used Against Ordinary Income</t>
        </is>
      </c>
      <c r="F39" s="100">
        <f>IF(D37&gt;=0, 0, MAX(D37, -3000))</f>
        <v/>
      </c>
      <c r="G39" t="inlineStr">
        <is>
          <t>Limited to $3,000 or net loss if smaller</t>
        </is>
      </c>
    </row>
    <row r="40">
      <c r="A40" t="inlineStr">
        <is>
          <t>STCL Carryover to Next Year</t>
        </is>
      </c>
      <c r="B40" s="100">
        <f>IF(B37&lt;0, B37-F39, 0)</f>
        <v/>
      </c>
      <c r="G40" t="inlineStr">
        <is>
          <t>STCL carries forward indefinitely</t>
        </is>
      </c>
    </row>
    <row r="41">
      <c r="A41" t="inlineStr">
        <is>
          <t>LTCL Carryover to Next Year</t>
        </is>
      </c>
      <c r="C41" s="100">
        <f>IF(C37&lt;0, C37, 0)</f>
        <v/>
      </c>
      <c r="G41" t="inlineStr">
        <is>
          <t>LTCL carries forward indefinitely</t>
        </is>
      </c>
    </row>
    <row r="43">
      <c r="A43" t="inlineStr">
        <is>
          <t>2. NET OPERATING LOSS (NOL) CARRYOVER</t>
        </is>
      </c>
    </row>
    <row r="44">
      <c r="A44" t="inlineStr">
        <is>
          <t>Description</t>
        </is>
      </c>
      <c r="B44" t="inlineStr">
        <is>
          <t>Pre-2018 NOL</t>
        </is>
      </c>
      <c r="C44" t="inlineStr">
        <is>
          <t>Post-2017 NOL</t>
        </is>
      </c>
      <c r="D44" t="inlineStr">
        <is>
          <t>Total</t>
        </is>
      </c>
      <c r="E44" t="inlineStr">
        <is>
          <t>Limit</t>
        </is>
      </c>
      <c r="F44" t="inlineStr">
        <is>
          <t>Used</t>
        </is>
      </c>
      <c r="G44" t="inlineStr">
        <is>
          <t>Notes</t>
        </is>
      </c>
    </row>
    <row r="45">
      <c r="A45" t="inlineStr">
        <is>
          <t>Prior Year NOL Carryover (Pre-2018)</t>
        </is>
      </c>
      <c r="B45" t="n">
        <v>0</v>
      </c>
      <c r="G45" t="inlineStr">
        <is>
          <t>Pre-TCJA NOL (100% usable, 20-yr limit)</t>
        </is>
      </c>
    </row>
    <row r="46">
      <c r="A46" t="inlineStr">
        <is>
          <t>Prior Year NOL Carryover (Post-2017)</t>
        </is>
      </c>
      <c r="C46" t="n">
        <v>0</v>
      </c>
      <c r="G46" t="inlineStr">
        <is>
          <t>Post-TCJA NOL (80% limit, indefinite)</t>
        </is>
      </c>
    </row>
    <row r="47">
      <c r="A47" t="inlineStr">
        <is>
          <t>Total NOL Carryover Available</t>
        </is>
      </c>
      <c r="D47">
        <f>B45+C46</f>
        <v/>
      </c>
    </row>
    <row r="48">
      <c r="A48" t="inlineStr">
        <is>
          <t>Taxable Income (before NOL)</t>
        </is>
      </c>
      <c r="D48" s="100">
        <f t="array" ref="D48">INDIRECT("Y"&amp;Active_Year&amp;"!N18")</f>
        <v/>
      </c>
      <c r="G48" t="inlineStr">
        <is>
          <t>From Tax Calculator</t>
        </is>
      </c>
    </row>
    <row r="49">
      <c r="A49" t="inlineStr">
        <is>
          <t>80% Limitation (Post-2017 NOL)</t>
        </is>
      </c>
      <c r="E49" s="100">
        <f>IF(C46&gt;0, D48*0.8, 0)</f>
        <v/>
      </c>
      <c r="G49" t="inlineStr">
        <is>
          <t>Post-2017 NOL limited to 80% of TI</t>
        </is>
      </c>
    </row>
    <row r="50">
      <c r="A50" t="inlineStr">
        <is>
          <t>Pre-2018 NOL Used</t>
        </is>
      </c>
      <c r="F50" s="100">
        <f>MIN(B45, MAX(0, D48))</f>
        <v/>
      </c>
      <c r="G50" t="inlineStr">
        <is>
          <t>Use oldest NOL first (FIFO)</t>
        </is>
      </c>
    </row>
    <row r="51">
      <c r="A51" t="inlineStr">
        <is>
          <t>Post-2017 NOL Used</t>
        </is>
      </c>
      <c r="F51" s="100">
        <f>MIN(C46, MAX(0, E49))</f>
        <v/>
      </c>
      <c r="G51" t="inlineStr">
        <is>
          <t>Limited to 80% of remaining TI</t>
        </is>
      </c>
    </row>
    <row r="52">
      <c r="A52" t="inlineStr">
        <is>
          <t>Total NOL Deduction</t>
        </is>
      </c>
      <c r="F52" s="100">
        <f>F50+F51</f>
        <v/>
      </c>
    </row>
    <row r="53">
      <c r="A53" t="inlineStr">
        <is>
          <t>NOL Carryover to Next Year</t>
        </is>
      </c>
      <c r="B53" s="100">
        <f>MAX(0, B45-F50)</f>
        <v/>
      </c>
      <c r="C53" s="100">
        <f>MAX(0, C46-F51)</f>
        <v/>
      </c>
      <c r="D53" s="100">
        <f>B53+C53</f>
        <v/>
      </c>
      <c r="G53" t="inlineStr">
        <is>
          <t>Remaining NOL for future years</t>
        </is>
      </c>
    </row>
    <row r="55">
      <c r="A55" t="inlineStr">
        <is>
          <t>3. PASSIVE ACTIVITY LOSS (PAL) CARRYOVER</t>
        </is>
      </c>
    </row>
    <row r="56">
      <c r="A56" t="inlineStr">
        <is>
          <t>Description</t>
        </is>
      </c>
      <c r="B56" t="inlineStr">
        <is>
          <t>Rental RE</t>
        </is>
      </c>
      <c r="C56" t="inlineStr">
        <is>
          <t>Other Passive</t>
        </is>
      </c>
      <c r="D56" t="inlineStr">
        <is>
          <t>Total</t>
        </is>
      </c>
      <c r="E56" t="inlineStr">
        <is>
          <t>Limit</t>
        </is>
      </c>
      <c r="F56" t="inlineStr">
        <is>
          <t>Allowed</t>
        </is>
      </c>
      <c r="G56" t="inlineStr">
        <is>
          <t>Notes</t>
        </is>
      </c>
    </row>
    <row r="57">
      <c r="A57" t="inlineStr">
        <is>
          <t>Prior Year Suspended PAL - Rental</t>
        </is>
      </c>
      <c r="B57" t="n">
        <v>0</v>
      </c>
      <c r="G57" t="inlineStr">
        <is>
          <t>Enter PY suspended rental losses</t>
        </is>
      </c>
    </row>
    <row r="58">
      <c r="A58" t="inlineStr">
        <is>
          <t>Prior Year Suspended PAL - Other</t>
        </is>
      </c>
      <c r="C58" t="n">
        <v>0</v>
      </c>
      <c r="G58" t="inlineStr">
        <is>
          <t>Enter PY suspended passive losses</t>
        </is>
      </c>
    </row>
    <row r="59">
      <c r="A59" t="inlineStr">
        <is>
          <t>Current Year Passive Income/(Loss)</t>
        </is>
      </c>
      <c r="B59" s="100">
        <f t="array" ref="B59">INDIRECT("Y"&amp;Active_Year&amp;"!J28")</f>
        <v/>
      </c>
      <c r="D59" s="100">
        <f>B59+C58</f>
        <v/>
      </c>
      <c r="G59" t="inlineStr">
        <is>
          <t>From Tax Calculator (NIIT Passive)</t>
        </is>
      </c>
    </row>
    <row r="60">
      <c r="A60" t="inlineStr">
        <is>
          <t>Net Passive Activity</t>
        </is>
      </c>
      <c r="B60" s="100">
        <f>B57+B59</f>
        <v/>
      </c>
      <c r="C60">
        <f>C58</f>
        <v/>
      </c>
      <c r="D60" s="100">
        <f>B60+C60</f>
        <v/>
      </c>
      <c r="G60" t="inlineStr">
        <is>
          <t>PY carryover + CY activity</t>
        </is>
      </c>
    </row>
    <row r="61">
      <c r="A61" t="inlineStr">
        <is>
          <t>AGI for $25K Allowance Test</t>
        </is>
      </c>
      <c r="D61" s="100">
        <f t="array" ref="D61">INDIRECT("Y"&amp;Active_Year&amp;"!N15")</f>
        <v/>
      </c>
      <c r="G61" t="inlineStr">
        <is>
          <t>Phaseout starts at $100K AGI</t>
        </is>
      </c>
    </row>
    <row r="62">
      <c r="A62" t="inlineStr">
        <is>
          <t>$25K Rental RE Allowance</t>
        </is>
      </c>
      <c r="E62" s="100">
        <f>MAX(0, 25000-MAX(0,(D61-100000)*0.5))</f>
        <v/>
      </c>
      <c r="G62" t="inlineStr">
        <is>
          <t>$25K reduced by 50% of AGI over $100K</t>
        </is>
      </c>
    </row>
    <row r="63">
      <c r="A63" t="inlineStr">
        <is>
          <t>PAL Allowed - Rental RE</t>
        </is>
      </c>
      <c r="F63" s="100">
        <f>IF(B60&lt;0, MAX(B60, -E62), 0)</f>
        <v/>
      </c>
      <c r="G63" t="inlineStr">
        <is>
          <t>Limited by $25K allowance (if loss)</t>
        </is>
      </c>
    </row>
    <row r="64">
      <c r="A64" t="inlineStr">
        <is>
          <t>PAL Allowed - Other Passive</t>
        </is>
      </c>
      <c r="F64">
        <f>IF(C60&lt;0, MAX(C60, 0), 0)</f>
        <v/>
      </c>
      <c r="G64" t="inlineStr">
        <is>
          <t>Offset only against passive income</t>
        </is>
      </c>
    </row>
    <row r="65">
      <c r="A65" t="inlineStr">
        <is>
          <t>Total PAL Allowed</t>
        </is>
      </c>
      <c r="F65" s="100">
        <f>F63+F64</f>
        <v/>
      </c>
    </row>
    <row r="66">
      <c r="A66" t="inlineStr">
        <is>
          <t>Suspended PAL to Next Year - Rental</t>
        </is>
      </c>
      <c r="B66" s="100">
        <f>MIN(0, B60-F63)</f>
        <v/>
      </c>
      <c r="G66" t="inlineStr">
        <is>
          <t>Carryover until disposition or income</t>
        </is>
      </c>
    </row>
    <row r="67">
      <c r="A67" t="inlineStr">
        <is>
          <t>Suspended PAL to Next Year - Other</t>
        </is>
      </c>
      <c r="C67">
        <f>MIN(0, C60-F64)</f>
        <v/>
      </c>
    </row>
    <row r="69">
      <c r="A69" t="inlineStr">
        <is>
          <t>4. LIMITATION RULES REFERENCE</t>
        </is>
      </c>
    </row>
    <row r="71">
      <c r="A71" t="inlineStr">
        <is>
          <t>Capital Loss Limitation</t>
        </is>
      </c>
      <c r="B71" t="inlineStr">
        <is>
          <t>Max $3,000/yr against ordinary income ($1,500 MFS). Excess carries forward indefinitely. Use STCL first, then LTCL.</t>
        </is>
      </c>
    </row>
    <row r="72">
      <c r="A72" t="inlineStr">
        <is>
          <t>NOL (Pre-2018)</t>
        </is>
      </c>
      <c r="B72" t="inlineStr">
        <is>
          <t>100% usable against taxable income. 20-year carryforward limit (from year of loss). Use FIFO.</t>
        </is>
      </c>
    </row>
    <row r="73">
      <c r="A73" t="inlineStr">
        <is>
          <t>NOL (Post-2017)</t>
        </is>
      </c>
      <c r="B73" t="inlineStr">
        <is>
          <t>Limited to 80% of taxable income. Indefinite carryforward. No carryback (except farming).</t>
        </is>
      </c>
    </row>
    <row r="74">
      <c r="A74" t="inlineStr">
        <is>
          <t>Passive Activity Loss</t>
        </is>
      </c>
      <c r="B74" t="inlineStr">
        <is>
          <t>Only offsets passive income. $25K rental RE allowance (phases out $100K-$150K AGI). Fully allowed on disposition.</t>
        </is>
      </c>
    </row>
    <row r="75">
      <c r="A75" t="inlineStr">
        <is>
          <t>At-Risk Rules (§465)</t>
        </is>
      </c>
      <c r="B75" t="inlineStr">
        <is>
          <t>Losses limited to amount at risk. Applies before PAL rules. Track separately by activity.</t>
        </is>
      </c>
    </row>
    <row r="76">
      <c r="A76" t="inlineStr">
        <is>
          <t>Basis Limitation (S-Corp/Pship)</t>
        </is>
      </c>
      <c r="B76" t="inlineStr">
        <is>
          <t>Losses limited to basis in entity. Track stock/debt basis and AAA for S-corps.</t>
        </is>
      </c>
    </row>
    <row r="77">
      <c r="A77" t="inlineStr">
        <is>
          <t>Excess Business Loss</t>
        </is>
      </c>
      <c r="B77" t="inlineStr">
        <is>
          <t>$305,000 single / $610,000 MFJ limit (2025). Excess becomes NOL carryforward.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00C00000"/>
    <outlinePr summaryBelow="1" summaryRight="1"/>
    <pageSetUpPr/>
  </sheetPr>
  <dimension ref="B2:O79"/>
  <sheetViews>
    <sheetView workbookViewId="0">
      <selection activeCell="A1" sqref="A1"/>
    </sheetView>
  </sheetViews>
  <sheetFormatPr baseColWidth="8" defaultRowHeight="15"/>
  <cols>
    <col width="4" customWidth="1" style="99" min="1" max="1"/>
    <col width="10" customWidth="1" style="99" min="2" max="2"/>
    <col width="35" customWidth="1" style="99" min="3" max="3"/>
    <col width="18" customWidth="1" style="99" min="4" max="4"/>
    <col width="16" customWidth="1" style="99" min="5" max="5"/>
    <col width="14" customWidth="1" style="99" min="6" max="6"/>
    <col width="14" customWidth="1" style="99" min="7" max="7"/>
    <col width="14" customWidth="1" style="99" min="8" max="8"/>
    <col width="14" customWidth="1" style="99" min="9" max="9"/>
    <col width="12" customWidth="1" style="99" min="10" max="10"/>
    <col width="12" customWidth="1" style="99" min="11" max="11"/>
    <col width="14" customWidth="1" style="99" min="12" max="12"/>
    <col width="14" customWidth="1" style="99" min="13" max="13"/>
    <col width="12" customWidth="1" style="99" min="14" max="14"/>
    <col width="30" customWidth="1" style="99" min="15" max="15"/>
  </cols>
  <sheetData>
    <row r="2">
      <c r="B2" s="160" t="inlineStr">
        <is>
          <t>PROPERTY APPENDIX</t>
        </is>
      </c>
    </row>
    <row r="3">
      <c r="B3" s="137" t="inlineStr">
        <is>
          <t>Per-property reference data: cost basis, placed-in-service, cost seg, REPS hours, REPS election. Drives Schedule E, depreciation, and material participation tests.</t>
        </is>
      </c>
    </row>
    <row r="5">
      <c r="B5" s="161" t="inlineStr">
        <is>
          <t>▸ SECTION A — PROPERTY MASTER LIST</t>
        </is>
      </c>
    </row>
    <row r="7">
      <c r="B7" s="145" t="inlineStr">
        <is>
          <t>Property #</t>
        </is>
      </c>
      <c r="C7" s="145" t="inlineStr">
        <is>
          <t>Address / Name</t>
        </is>
      </c>
      <c r="D7" s="145" t="inlineStr">
        <is>
          <t>Type</t>
        </is>
      </c>
      <c r="E7" s="145" t="inlineStr">
        <is>
          <t>Entity / Owner</t>
        </is>
      </c>
      <c r="F7" s="145" t="inlineStr">
        <is>
          <t>Acquisition Date</t>
        </is>
      </c>
      <c r="G7" s="145" t="inlineStr">
        <is>
          <t>Total Cost Basis</t>
        </is>
      </c>
      <c r="H7" s="145" t="inlineStr">
        <is>
          <t>Land Allocation</t>
        </is>
      </c>
      <c r="I7" s="145" t="inlineStr">
        <is>
          <t>Building Basis</t>
        </is>
      </c>
      <c r="J7" s="145" t="inlineStr">
        <is>
          <t>Cost Seg Done?</t>
        </is>
      </c>
      <c r="K7" s="145" t="inlineStr">
        <is>
          <t>Cost Seg Y1 %</t>
        </is>
      </c>
      <c r="L7" s="145" t="inlineStr">
        <is>
          <t>Placed-In-Service</t>
        </is>
      </c>
      <c r="M7" s="145" t="inlineStr">
        <is>
          <t>Disposition Date</t>
        </is>
      </c>
      <c r="N7" s="145" t="inlineStr">
        <is>
          <t>REPS Hours (TY)</t>
        </is>
      </c>
      <c r="O7" s="145" t="inlineStr">
        <is>
          <t>Notes</t>
        </is>
      </c>
    </row>
    <row r="8">
      <c r="B8" s="162" t="inlineStr">
        <is>
          <t>P-001</t>
        </is>
      </c>
      <c r="C8" s="162" t="inlineStr">
        <is>
          <t>123 Main St, Salt Lake City UT</t>
        </is>
      </c>
      <c r="D8" s="162" t="inlineStr">
        <is>
          <t>Long-Term Rental</t>
        </is>
      </c>
      <c r="E8" s="162" t="inlineStr">
        <is>
          <t>Holding LLC</t>
        </is>
      </c>
      <c r="F8" s="162" t="inlineStr">
        <is>
          <t>2024-03-15</t>
        </is>
      </c>
      <c r="G8" s="163" t="n">
        <v>500000</v>
      </c>
      <c r="H8" s="163" t="n">
        <v>100000</v>
      </c>
      <c r="I8" s="163" t="n">
        <v>400000</v>
      </c>
      <c r="J8" s="162" t="inlineStr">
        <is>
          <t>Yes</t>
        </is>
      </c>
      <c r="K8" s="164" t="n">
        <v>0.25</v>
      </c>
      <c r="L8" s="162" t="inlineStr">
        <is>
          <t>2024-03-15</t>
        </is>
      </c>
      <c r="M8" s="162" t="n"/>
      <c r="N8" s="162" t="n">
        <v>750</v>
      </c>
      <c r="O8" s="162" t="inlineStr">
        <is>
          <t>Cost seg study by ABC Eng; 5/7/15-year reclass = 25%</t>
        </is>
      </c>
    </row>
    <row r="9">
      <c r="B9" s="165" t="n"/>
      <c r="C9" s="165" t="n"/>
      <c r="D9" s="165" t="n"/>
      <c r="E9" s="165" t="n"/>
      <c r="F9" s="165" t="n"/>
      <c r="G9" s="166" t="n"/>
      <c r="H9" s="166" t="n"/>
      <c r="I9" s="166" t="n"/>
      <c r="J9" s="165" t="n"/>
      <c r="K9" s="167" t="n"/>
      <c r="L9" s="165" t="n"/>
      <c r="M9" s="165" t="n"/>
      <c r="N9" s="165" t="n"/>
      <c r="O9" s="165" t="n"/>
    </row>
    <row r="10">
      <c r="B10" s="165" t="n"/>
      <c r="C10" s="165" t="n"/>
      <c r="D10" s="165" t="n"/>
      <c r="E10" s="165" t="n"/>
      <c r="F10" s="165" t="n"/>
      <c r="G10" s="166" t="n"/>
      <c r="H10" s="166" t="n"/>
      <c r="I10" s="166" t="n"/>
      <c r="J10" s="165" t="n"/>
      <c r="K10" s="167" t="n"/>
      <c r="L10" s="165" t="n"/>
      <c r="M10" s="165" t="n"/>
      <c r="N10" s="165" t="n"/>
      <c r="O10" s="165" t="n"/>
    </row>
    <row r="11">
      <c r="B11" s="165" t="n"/>
      <c r="C11" s="165" t="n"/>
      <c r="D11" s="165" t="n"/>
      <c r="E11" s="165" t="n"/>
      <c r="F11" s="165" t="n"/>
      <c r="G11" s="166" t="n"/>
      <c r="H11" s="166" t="n"/>
      <c r="I11" s="166" t="n"/>
      <c r="J11" s="165" t="n"/>
      <c r="K11" s="167" t="n"/>
      <c r="L11" s="165" t="n"/>
      <c r="M11" s="165" t="n"/>
      <c r="N11" s="165" t="n"/>
      <c r="O11" s="165" t="n"/>
    </row>
    <row r="12">
      <c r="B12" s="165" t="n"/>
      <c r="C12" s="165" t="n"/>
      <c r="D12" s="165" t="n"/>
      <c r="E12" s="165" t="n"/>
      <c r="F12" s="165" t="n"/>
      <c r="G12" s="166" t="n"/>
      <c r="H12" s="166" t="n"/>
      <c r="I12" s="166" t="n"/>
      <c r="J12" s="165" t="n"/>
      <c r="K12" s="167" t="n"/>
      <c r="L12" s="165" t="n"/>
      <c r="M12" s="165" t="n"/>
      <c r="N12" s="165" t="n"/>
      <c r="O12" s="165" t="n"/>
    </row>
    <row r="13">
      <c r="B13" s="165" t="n"/>
      <c r="C13" s="165" t="n"/>
      <c r="D13" s="165" t="n"/>
      <c r="E13" s="165" t="n"/>
      <c r="F13" s="165" t="n"/>
      <c r="G13" s="166" t="n"/>
      <c r="H13" s="166" t="n"/>
      <c r="I13" s="166" t="n"/>
      <c r="J13" s="165" t="n"/>
      <c r="K13" s="167" t="n"/>
      <c r="L13" s="165" t="n"/>
      <c r="M13" s="165" t="n"/>
      <c r="N13" s="165" t="n"/>
      <c r="O13" s="165" t="n"/>
    </row>
    <row r="14">
      <c r="B14" s="165" t="n"/>
      <c r="C14" s="165" t="n"/>
      <c r="D14" s="165" t="n"/>
      <c r="E14" s="165" t="n"/>
      <c r="F14" s="165" t="n"/>
      <c r="G14" s="166" t="n"/>
      <c r="H14" s="166" t="n"/>
      <c r="I14" s="166" t="n"/>
      <c r="J14" s="165" t="n"/>
      <c r="K14" s="167" t="n"/>
      <c r="L14" s="165" t="n"/>
      <c r="M14" s="165" t="n"/>
      <c r="N14" s="165" t="n"/>
      <c r="O14" s="165" t="n"/>
    </row>
    <row r="15">
      <c r="B15" s="165" t="n"/>
      <c r="C15" s="165" t="n"/>
      <c r="D15" s="165" t="n"/>
      <c r="E15" s="165" t="n"/>
      <c r="F15" s="165" t="n"/>
      <c r="G15" s="166" t="n"/>
      <c r="H15" s="166" t="n"/>
      <c r="I15" s="166" t="n"/>
      <c r="J15" s="165" t="n"/>
      <c r="K15" s="167" t="n"/>
      <c r="L15" s="165" t="n"/>
      <c r="M15" s="165" t="n"/>
      <c r="N15" s="165" t="n"/>
      <c r="O15" s="165" t="n"/>
    </row>
    <row r="16">
      <c r="B16" s="165" t="n"/>
      <c r="C16" s="165" t="n"/>
      <c r="D16" s="165" t="n"/>
      <c r="E16" s="165" t="n"/>
      <c r="F16" s="165" t="n"/>
      <c r="G16" s="166" t="n"/>
      <c r="H16" s="166" t="n"/>
      <c r="I16" s="166" t="n"/>
      <c r="J16" s="165" t="n"/>
      <c r="K16" s="167" t="n"/>
      <c r="L16" s="165" t="n"/>
      <c r="M16" s="165" t="n"/>
      <c r="N16" s="165" t="n"/>
      <c r="O16" s="165" t="n"/>
    </row>
    <row r="17">
      <c r="B17" s="165" t="n"/>
      <c r="C17" s="165" t="n"/>
      <c r="D17" s="165" t="n"/>
      <c r="E17" s="165" t="n"/>
      <c r="F17" s="165" t="n"/>
      <c r="G17" s="166" t="n"/>
      <c r="H17" s="166" t="n"/>
      <c r="I17" s="166" t="n"/>
      <c r="J17" s="165" t="n"/>
      <c r="K17" s="167" t="n"/>
      <c r="L17" s="165" t="n"/>
      <c r="M17" s="165" t="n"/>
      <c r="N17" s="165" t="n"/>
      <c r="O17" s="165" t="n"/>
    </row>
    <row r="18">
      <c r="B18" s="165" t="n"/>
      <c r="C18" s="165" t="n"/>
      <c r="D18" s="165" t="n"/>
      <c r="E18" s="165" t="n"/>
      <c r="F18" s="165" t="n"/>
      <c r="G18" s="166" t="n"/>
      <c r="H18" s="166" t="n"/>
      <c r="I18" s="166" t="n"/>
      <c r="J18" s="165" t="n"/>
      <c r="K18" s="167" t="n"/>
      <c r="L18" s="165" t="n"/>
      <c r="M18" s="165" t="n"/>
      <c r="N18" s="165" t="n"/>
      <c r="O18" s="165" t="n"/>
    </row>
    <row r="19">
      <c r="B19" s="165" t="n"/>
      <c r="C19" s="165" t="n"/>
      <c r="D19" s="165" t="n"/>
      <c r="E19" s="165" t="n"/>
      <c r="F19" s="165" t="n"/>
      <c r="G19" s="166" t="n"/>
      <c r="H19" s="166" t="n"/>
      <c r="I19" s="166" t="n"/>
      <c r="J19" s="165" t="n"/>
      <c r="K19" s="167" t="n"/>
      <c r="L19" s="165" t="n"/>
      <c r="M19" s="165" t="n"/>
      <c r="N19" s="165" t="n"/>
      <c r="O19" s="165" t="n"/>
    </row>
    <row r="20">
      <c r="B20" s="165" t="n"/>
      <c r="C20" s="165" t="n"/>
      <c r="D20" s="165" t="n"/>
      <c r="E20" s="165" t="n"/>
      <c r="F20" s="165" t="n"/>
      <c r="G20" s="166" t="n"/>
      <c r="H20" s="166" t="n"/>
      <c r="I20" s="166" t="n"/>
      <c r="J20" s="165" t="n"/>
      <c r="K20" s="167" t="n"/>
      <c r="L20" s="165" t="n"/>
      <c r="M20" s="165" t="n"/>
      <c r="N20" s="165" t="n"/>
      <c r="O20" s="165" t="n"/>
    </row>
    <row r="21">
      <c r="B21" s="165" t="n"/>
      <c r="C21" s="165" t="n"/>
      <c r="D21" s="165" t="n"/>
      <c r="E21" s="165" t="n"/>
      <c r="F21" s="165" t="n"/>
      <c r="G21" s="166" t="n"/>
      <c r="H21" s="166" t="n"/>
      <c r="I21" s="166" t="n"/>
      <c r="J21" s="165" t="n"/>
      <c r="K21" s="167" t="n"/>
      <c r="L21" s="165" t="n"/>
      <c r="M21" s="165" t="n"/>
      <c r="N21" s="165" t="n"/>
      <c r="O21" s="165" t="n"/>
    </row>
    <row r="22">
      <c r="B22" s="165" t="n"/>
      <c r="C22" s="165" t="n"/>
      <c r="D22" s="165" t="n"/>
      <c r="E22" s="165" t="n"/>
      <c r="F22" s="165" t="n"/>
      <c r="G22" s="166" t="n"/>
      <c r="H22" s="166" t="n"/>
      <c r="I22" s="166" t="n"/>
      <c r="J22" s="165" t="n"/>
      <c r="K22" s="167" t="n"/>
      <c r="L22" s="165" t="n"/>
      <c r="M22" s="165" t="n"/>
      <c r="N22" s="165" t="n"/>
      <c r="O22" s="165" t="n"/>
    </row>
    <row r="23">
      <c r="B23" s="165" t="n"/>
      <c r="C23" s="165" t="n"/>
      <c r="D23" s="165" t="n"/>
      <c r="E23" s="165" t="n"/>
      <c r="F23" s="165" t="n"/>
      <c r="G23" s="166" t="n"/>
      <c r="H23" s="166" t="n"/>
      <c r="I23" s="166" t="n"/>
      <c r="J23" s="165" t="n"/>
      <c r="K23" s="167" t="n"/>
      <c r="L23" s="165" t="n"/>
      <c r="M23" s="165" t="n"/>
      <c r="N23" s="165" t="n"/>
      <c r="O23" s="165" t="n"/>
    </row>
    <row r="24">
      <c r="B24" s="165" t="n"/>
      <c r="C24" s="165" t="n"/>
      <c r="D24" s="165" t="n"/>
      <c r="E24" s="165" t="n"/>
      <c r="F24" s="165" t="n"/>
      <c r="G24" s="166" t="n"/>
      <c r="H24" s="166" t="n"/>
      <c r="I24" s="166" t="n"/>
      <c r="J24" s="165" t="n"/>
      <c r="K24" s="167" t="n"/>
      <c r="L24" s="165" t="n"/>
      <c r="M24" s="165" t="n"/>
      <c r="N24" s="165" t="n"/>
      <c r="O24" s="165" t="n"/>
    </row>
    <row r="25">
      <c r="B25" s="165" t="n"/>
      <c r="C25" s="165" t="n"/>
      <c r="D25" s="165" t="n"/>
      <c r="E25" s="165" t="n"/>
      <c r="F25" s="165" t="n"/>
      <c r="G25" s="166" t="n"/>
      <c r="H25" s="166" t="n"/>
      <c r="I25" s="166" t="n"/>
      <c r="J25" s="165" t="n"/>
      <c r="K25" s="167" t="n"/>
      <c r="L25" s="165" t="n"/>
      <c r="M25" s="165" t="n"/>
      <c r="N25" s="165" t="n"/>
      <c r="O25" s="165" t="n"/>
    </row>
    <row r="26">
      <c r="B26" s="165" t="n"/>
      <c r="C26" s="165" t="n"/>
      <c r="D26" s="165" t="n"/>
      <c r="E26" s="165" t="n"/>
      <c r="F26" s="165" t="n"/>
      <c r="G26" s="166" t="n"/>
      <c r="H26" s="166" t="n"/>
      <c r="I26" s="166" t="n"/>
      <c r="J26" s="165" t="n"/>
      <c r="K26" s="167" t="n"/>
      <c r="L26" s="165" t="n"/>
      <c r="M26" s="165" t="n"/>
      <c r="N26" s="165" t="n"/>
      <c r="O26" s="165" t="n"/>
    </row>
    <row r="27">
      <c r="B27" s="165" t="n"/>
      <c r="C27" s="165" t="n"/>
      <c r="D27" s="165" t="n"/>
      <c r="E27" s="165" t="n"/>
      <c r="F27" s="165" t="n"/>
      <c r="G27" s="166" t="n"/>
      <c r="H27" s="166" t="n"/>
      <c r="I27" s="166" t="n"/>
      <c r="J27" s="165" t="n"/>
      <c r="K27" s="167" t="n"/>
      <c r="L27" s="165" t="n"/>
      <c r="M27" s="165" t="n"/>
      <c r="N27" s="165" t="n"/>
      <c r="O27" s="165" t="n"/>
    </row>
    <row r="28">
      <c r="B28" s="165" t="n"/>
      <c r="C28" s="165" t="n"/>
      <c r="D28" s="165" t="n"/>
      <c r="E28" s="165" t="n"/>
      <c r="F28" s="165" t="n"/>
      <c r="G28" s="166" t="n"/>
      <c r="H28" s="166" t="n"/>
      <c r="I28" s="166" t="n"/>
      <c r="J28" s="165" t="n"/>
      <c r="K28" s="167" t="n"/>
      <c r="L28" s="165" t="n"/>
      <c r="M28" s="165" t="n"/>
      <c r="N28" s="165" t="n"/>
      <c r="O28" s="165" t="n"/>
    </row>
    <row r="29">
      <c r="B29" s="165" t="n"/>
      <c r="C29" s="165" t="n"/>
      <c r="D29" s="165" t="n"/>
      <c r="E29" s="165" t="n"/>
      <c r="F29" s="165" t="n"/>
      <c r="G29" s="166" t="n"/>
      <c r="H29" s="166" t="n"/>
      <c r="I29" s="166" t="n"/>
      <c r="J29" s="165" t="n"/>
      <c r="K29" s="167" t="n"/>
      <c r="L29" s="165" t="n"/>
      <c r="M29" s="165" t="n"/>
      <c r="N29" s="165" t="n"/>
      <c r="O29" s="165" t="n"/>
    </row>
    <row r="30">
      <c r="B30" s="165" t="n"/>
      <c r="C30" s="165" t="n"/>
      <c r="D30" s="165" t="n"/>
      <c r="E30" s="165" t="n"/>
      <c r="F30" s="165" t="n"/>
      <c r="G30" s="166" t="n"/>
      <c r="H30" s="166" t="n"/>
      <c r="I30" s="166" t="n"/>
      <c r="J30" s="165" t="n"/>
      <c r="K30" s="167" t="n"/>
      <c r="L30" s="165" t="n"/>
      <c r="M30" s="165" t="n"/>
      <c r="N30" s="165" t="n"/>
      <c r="O30" s="165" t="n"/>
    </row>
    <row r="33">
      <c r="B33" s="161" t="inlineStr">
        <is>
          <t>▸ SECTION B — REPS MATERIAL PARTICIPATION (per Reg §1.469-5T)</t>
        </is>
      </c>
    </row>
    <row r="35">
      <c r="B35" s="113" t="inlineStr">
        <is>
          <t>REPS qualification requires:</t>
        </is>
      </c>
    </row>
    <row r="36">
      <c r="B36" s="168" t="inlineStr">
        <is>
          <t xml:space="preserve">  (1) &gt;50% of personal services across all trades/businesses in real property trades/businesses</t>
        </is>
      </c>
    </row>
    <row r="37">
      <c r="B37" s="168" t="inlineStr">
        <is>
          <t xml:space="preserve">  (2) &gt;750 hours in real property trades/businesses in which taxpayer materially participates</t>
        </is>
      </c>
    </row>
    <row r="38">
      <c r="B38" s="168" t="inlineStr">
        <is>
          <t>Material participation per §1.469-5T: 7 tests (500hr / substantially all / &gt;100hr+nobody-more / etc.)</t>
        </is>
      </c>
    </row>
    <row r="39">
      <c r="B39" s="168" t="inlineStr">
        <is>
          <t>Grouping election (§1.469-4): combine multiple rentals as a single activity for material participation test.</t>
        </is>
      </c>
    </row>
    <row r="41">
      <c r="B41" s="145" t="inlineStr">
        <is>
          <t>Activity Description</t>
        </is>
      </c>
      <c r="C41" s="145" t="inlineStr">
        <is>
          <t>Property #(s)</t>
        </is>
      </c>
      <c r="D41" s="145" t="inlineStr">
        <is>
          <t>Hours TY</t>
        </is>
      </c>
      <c r="E41" s="145" t="inlineStr">
        <is>
          <t>Hours PY</t>
        </is>
      </c>
      <c r="F41" s="145" t="inlineStr">
        <is>
          <t>Material Particip. Test</t>
        </is>
      </c>
      <c r="G41" s="145" t="inlineStr">
        <is>
          <t>Notes</t>
        </is>
      </c>
    </row>
    <row r="42">
      <c r="B42" s="165" t="n"/>
      <c r="C42" s="165" t="n"/>
      <c r="D42" s="169" t="n"/>
      <c r="E42" s="169" t="n"/>
      <c r="F42" s="165" t="n"/>
      <c r="G42" s="165" t="n"/>
    </row>
    <row r="43">
      <c r="B43" s="165" t="n"/>
      <c r="C43" s="165" t="n"/>
      <c r="D43" s="169" t="n"/>
      <c r="E43" s="169" t="n"/>
      <c r="F43" s="165" t="n"/>
      <c r="G43" s="165" t="n"/>
    </row>
    <row r="44">
      <c r="B44" s="165" t="n"/>
      <c r="C44" s="165" t="n"/>
      <c r="D44" s="169" t="n"/>
      <c r="E44" s="169" t="n"/>
      <c r="F44" s="165" t="n"/>
      <c r="G44" s="165" t="n"/>
    </row>
    <row r="45">
      <c r="B45" s="165" t="n"/>
      <c r="C45" s="165" t="n"/>
      <c r="D45" s="169" t="n"/>
      <c r="E45" s="169" t="n"/>
      <c r="F45" s="165" t="n"/>
      <c r="G45" s="165" t="n"/>
    </row>
    <row r="46">
      <c r="B46" s="165" t="n"/>
      <c r="C46" s="165" t="n"/>
      <c r="D46" s="169" t="n"/>
      <c r="E46" s="169" t="n"/>
      <c r="F46" s="165" t="n"/>
      <c r="G46" s="165" t="n"/>
    </row>
    <row r="47">
      <c r="B47" s="165" t="n"/>
      <c r="C47" s="165" t="n"/>
      <c r="D47" s="169" t="n"/>
      <c r="E47" s="169" t="n"/>
      <c r="F47" s="165" t="n"/>
      <c r="G47" s="165" t="n"/>
    </row>
    <row r="48">
      <c r="B48" s="165" t="n"/>
      <c r="C48" s="165" t="n"/>
      <c r="D48" s="169" t="n"/>
      <c r="E48" s="169" t="n"/>
      <c r="F48" s="165" t="n"/>
      <c r="G48" s="165" t="n"/>
    </row>
    <row r="49">
      <c r="B49" s="165" t="n"/>
      <c r="C49" s="165" t="n"/>
      <c r="D49" s="169" t="n"/>
      <c r="E49" s="169" t="n"/>
      <c r="F49" s="165" t="n"/>
      <c r="G49" s="165" t="n"/>
    </row>
    <row r="50">
      <c r="B50" s="165" t="n"/>
      <c r="C50" s="165" t="n"/>
      <c r="D50" s="169" t="n"/>
      <c r="E50" s="169" t="n"/>
      <c r="F50" s="165" t="n"/>
      <c r="G50" s="165" t="n"/>
    </row>
    <row r="51">
      <c r="B51" s="165" t="n"/>
      <c r="C51" s="165" t="n"/>
      <c r="D51" s="169" t="n"/>
      <c r="E51" s="169" t="n"/>
      <c r="F51" s="165" t="n"/>
      <c r="G51" s="165" t="n"/>
    </row>
    <row r="52">
      <c r="B52" s="165" t="n"/>
      <c r="C52" s="165" t="n"/>
      <c r="D52" s="169" t="n"/>
      <c r="E52" s="169" t="n"/>
      <c r="F52" s="165" t="n"/>
      <c r="G52" s="165" t="n"/>
    </row>
    <row r="53">
      <c r="B53" s="165" t="n"/>
      <c r="C53" s="165" t="n"/>
      <c r="D53" s="169" t="n"/>
      <c r="E53" s="169" t="n"/>
      <c r="F53" s="165" t="n"/>
      <c r="G53" s="165" t="n"/>
    </row>
    <row r="54">
      <c r="B54" s="165" t="n"/>
      <c r="C54" s="165" t="n"/>
      <c r="D54" s="169" t="n"/>
      <c r="E54" s="169" t="n"/>
      <c r="F54" s="165" t="n"/>
      <c r="G54" s="165" t="n"/>
    </row>
    <row r="55">
      <c r="B55" s="165" t="n"/>
      <c r="C55" s="165" t="n"/>
      <c r="D55" s="169" t="n"/>
      <c r="E55" s="169" t="n"/>
      <c r="F55" s="165" t="n"/>
      <c r="G55" s="165" t="n"/>
    </row>
    <row r="56">
      <c r="B56" s="165" t="n"/>
      <c r="C56" s="165" t="n"/>
      <c r="D56" s="169" t="n"/>
      <c r="E56" s="169" t="n"/>
      <c r="F56" s="165" t="n"/>
      <c r="G56" s="165" t="n"/>
    </row>
    <row r="57">
      <c r="B57" s="165" t="n"/>
      <c r="C57" s="165" t="n"/>
      <c r="D57" s="169" t="n"/>
      <c r="E57" s="169" t="n"/>
      <c r="F57" s="165" t="n"/>
      <c r="G57" s="165" t="n"/>
    </row>
    <row r="58">
      <c r="B58" s="165" t="n"/>
      <c r="C58" s="165" t="n"/>
      <c r="D58" s="169" t="n"/>
      <c r="E58" s="169" t="n"/>
      <c r="F58" s="165" t="n"/>
      <c r="G58" s="165" t="n"/>
    </row>
    <row r="59">
      <c r="B59" s="165" t="n"/>
      <c r="C59" s="165" t="n"/>
      <c r="D59" s="169" t="n"/>
      <c r="E59" s="169" t="n"/>
      <c r="F59" s="165" t="n"/>
      <c r="G59" s="165" t="n"/>
    </row>
    <row r="60">
      <c r="B60" s="165" t="n"/>
      <c r="C60" s="165" t="n"/>
      <c r="D60" s="169" t="n"/>
      <c r="E60" s="169" t="n"/>
      <c r="F60" s="165" t="n"/>
      <c r="G60" s="165" t="n"/>
    </row>
    <row r="63">
      <c r="B63" s="161" t="inlineStr">
        <is>
          <t>▸ SECTION C — §1.469-4 GROUPING ELECTION TRACKER</t>
        </is>
      </c>
    </row>
    <row r="65">
      <c r="B65" s="168" t="inlineStr">
        <is>
          <t>If election made: attach written statement to first return where grouping is reflected. Cannot revoke without IRS consent.</t>
        </is>
      </c>
    </row>
    <row r="67">
      <c r="B67" s="145" t="inlineStr">
        <is>
          <t>Election Year</t>
        </is>
      </c>
      <c r="C67" s="145" t="inlineStr">
        <is>
          <t>Group Description</t>
        </is>
      </c>
      <c r="D67" s="145" t="inlineStr">
        <is>
          <t>Properties Included</t>
        </is>
      </c>
      <c r="E67" s="145" t="inlineStr">
        <is>
          <t>Filing Status (Single/Combined)</t>
        </is>
      </c>
      <c r="F67" s="145" t="inlineStr">
        <is>
          <t>Notes</t>
        </is>
      </c>
    </row>
    <row r="68">
      <c r="B68" s="165" t="n"/>
      <c r="C68" s="165" t="n"/>
      <c r="D68" s="165" t="n"/>
      <c r="E68" s="165" t="n"/>
      <c r="F68" s="165" t="n"/>
    </row>
    <row r="69">
      <c r="B69" s="165" t="n"/>
      <c r="C69" s="165" t="n"/>
      <c r="D69" s="165" t="n"/>
      <c r="E69" s="165" t="n"/>
      <c r="F69" s="165" t="n"/>
    </row>
    <row r="70">
      <c r="B70" s="165" t="n"/>
      <c r="C70" s="165" t="n"/>
      <c r="D70" s="165" t="n"/>
      <c r="E70" s="165" t="n"/>
      <c r="F70" s="165" t="n"/>
    </row>
    <row r="71">
      <c r="B71" s="165" t="n"/>
      <c r="C71" s="165" t="n"/>
      <c r="D71" s="165" t="n"/>
      <c r="E71" s="165" t="n"/>
      <c r="F71" s="165" t="n"/>
    </row>
    <row r="72">
      <c r="B72" s="165" t="n"/>
      <c r="C72" s="165" t="n"/>
      <c r="D72" s="165" t="n"/>
      <c r="E72" s="165" t="n"/>
      <c r="F72" s="165" t="n"/>
    </row>
    <row r="73">
      <c r="B73" s="165" t="n"/>
      <c r="C73" s="165" t="n"/>
      <c r="D73" s="165" t="n"/>
      <c r="E73" s="165" t="n"/>
      <c r="F73" s="165" t="n"/>
    </row>
    <row r="74">
      <c r="B74" s="165" t="n"/>
      <c r="C74" s="165" t="n"/>
      <c r="D74" s="165" t="n"/>
      <c r="E74" s="165" t="n"/>
      <c r="F74" s="165" t="n"/>
    </row>
    <row r="75">
      <c r="B75" s="165" t="n"/>
      <c r="C75" s="165" t="n"/>
      <c r="D75" s="165" t="n"/>
      <c r="E75" s="165" t="n"/>
      <c r="F75" s="165" t="n"/>
    </row>
    <row r="76">
      <c r="B76" s="165" t="n"/>
      <c r="C76" s="165" t="n"/>
      <c r="D76" s="165" t="n"/>
      <c r="E76" s="165" t="n"/>
      <c r="F76" s="165" t="n"/>
    </row>
    <row r="77">
      <c r="B77" s="165" t="n"/>
      <c r="C77" s="165" t="n"/>
      <c r="D77" s="165" t="n"/>
      <c r="E77" s="165" t="n"/>
      <c r="F77" s="165" t="n"/>
    </row>
    <row r="78">
      <c r="B78" s="165" t="n"/>
      <c r="C78" s="165" t="n"/>
      <c r="D78" s="165" t="n"/>
      <c r="E78" s="165" t="n"/>
      <c r="F78" s="165" t="n"/>
    </row>
    <row r="79">
      <c r="B79" s="165" t="n"/>
      <c r="C79" s="165" t="n"/>
      <c r="D79" s="165" t="n"/>
      <c r="E79" s="165" t="n"/>
      <c r="F79" s="165" t="n"/>
    </row>
  </sheetData>
  <mergeCells count="3">
    <mergeCell ref="B5:N5"/>
    <mergeCell ref="B63:N63"/>
    <mergeCell ref="B33:N33"/>
  </mergeCells>
  <dataValidations count="3">
    <dataValidation sqref="D8:D100" showDropDown="0" showInputMessage="0" showErrorMessage="0" allowBlank="1" type="list">
      <formula1>"Long-Term Rental,Short-Term Rental,Commercial,Mixed-Use,Personal Residence,Land,Other"</formula1>
    </dataValidation>
    <dataValidation sqref="J8:J100" showDropDown="0" showInputMessage="0" showErrorMessage="0" allowBlank="1" type="list">
      <formula1>"Yes,No,In Progress"</formula1>
    </dataValidation>
    <dataValidation sqref="F42:F60" showDropDown="0" showInputMessage="0" showErrorMessage="0" allowBlank="1" type="list">
      <formula1>"Test 1: 500+ hrs,Test 2: Substantially all,Test 3: &gt;100 hrs &amp; nobody-more,Test 4: Significant participation,Test 5: 5-of-10 prior yrs,Test 6: Personal service,Test 7: Facts &amp; circumstances"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C00000"/>
    <outlinePr summaryBelow="1" summaryRight="1"/>
    <pageSetUpPr/>
  </sheetPr>
  <dimension ref="B1:I69"/>
  <sheetViews>
    <sheetView workbookViewId="0">
      <selection activeCell="A1" sqref="A1"/>
    </sheetView>
  </sheetViews>
  <sheetFormatPr baseColWidth="8" defaultRowHeight="14.5"/>
  <sheetData>
    <row r="1" ht="15.5" customHeight="1" s="99">
      <c r="B1" s="29" t="inlineStr">
        <is>
          <t>TAX STRATEGY QUESTIONNAIRE</t>
        </is>
      </c>
      <c r="C1" s="29" t="n"/>
      <c r="D1" s="29" t="n"/>
      <c r="E1" s="29" t="n"/>
      <c r="F1" s="29" t="n"/>
      <c r="G1" s="29" t="n"/>
      <c r="H1" s="29" t="n"/>
      <c r="I1" s="29" t="n"/>
    </row>
    <row r="2">
      <c r="B2" t="inlineStr">
        <is>
          <t>26 questions — Detection column (E) wired to dynamic named ranges (follows Active_Year).</t>
        </is>
      </c>
    </row>
    <row r="3">
      <c r="B3" t="inlineStr">
        <is>
          <t>#</t>
        </is>
      </c>
      <c r="C3" t="inlineStr">
        <is>
          <t>Category</t>
        </is>
      </c>
      <c r="D3" t="inlineStr">
        <is>
          <t>Question</t>
        </is>
      </c>
      <c r="E3" t="inlineStr">
        <is>
          <t>Detection (E)</t>
        </is>
      </c>
      <c r="F3" t="inlineStr">
        <is>
          <t>Flag (F)</t>
        </is>
      </c>
      <c r="G3" t="inlineStr">
        <is>
          <t>Recommendation</t>
        </is>
      </c>
      <c r="H3" t="inlineStr">
        <is>
          <t>Helper H (unused)</t>
        </is>
      </c>
      <c r="I3" t="inlineStr">
        <is>
          <t>Helper I (unused)</t>
        </is>
      </c>
    </row>
    <row r="4">
      <c r="B4" t="n">
        <v>1</v>
      </c>
      <c r="C4" t="inlineStr">
        <is>
          <t>Tax Rate</t>
        </is>
      </c>
      <c r="D4" t="inlineStr">
        <is>
          <t>Marginal tax bracket — at or above 24%?</t>
        </is>
      </c>
      <c r="E4">
        <f t="array" ref="E4">IF(OrdIncome&gt;=191950,"≥32% bracket",IF(OrdIncome&gt;=100525,"24% bracket",IF(OrdIncome&gt;=47150,"22% bracket",IF(OrdIncome&gt;0,"&lt;22% bracket","No income"))))</f>
        <v/>
      </c>
      <c r="F4" t="inlineStr">
        <is>
          <t>OK</t>
        </is>
      </c>
      <c r="G4" t="inlineStr">
        <is>
          <t>Income shifting / deferral; bracket-fill Roth conversions if room.</t>
        </is>
      </c>
    </row>
    <row r="5">
      <c r="B5" t="n">
        <v>2</v>
      </c>
      <c r="C5" t="inlineStr">
        <is>
          <t>Tax Rate</t>
        </is>
      </c>
      <c r="D5" t="inlineStr">
        <is>
          <t>Effective tax rate &gt; 15%?</t>
        </is>
      </c>
      <c r="E5">
        <f t="array" ref="E5">IF(IFERROR(INDIRECT("Y"&amp;Active_Year&amp;"!I130"),0)&gt;0.15,TEXT(INDIRECT("Y"&amp;Active_Year&amp;"!I130"),"0.0%")&amp;" — above 15%",TEXT(IFERROR(INDIRECT("Y"&amp;Active_Year&amp;"!I130"),0),"0.0%")&amp;" effective rate")</f>
        <v/>
      </c>
      <c r="F5" t="inlineStr">
        <is>
          <t>OK</t>
        </is>
      </c>
      <c r="G5" t="inlineStr">
        <is>
          <t>High effective rate = optimization opportunity. Review structural levers.</t>
        </is>
      </c>
    </row>
    <row r="6">
      <c r="B6" t="n">
        <v>3</v>
      </c>
      <c r="C6" t="inlineStr">
        <is>
          <t>QBI</t>
        </is>
      </c>
      <c r="D6" t="inlineStr">
        <is>
          <t>QBI Deduction (§199A) — taken or missed?</t>
        </is>
      </c>
      <c r="E6">
        <f t="array" ref="E6">IF(QBI_Income&gt;0, IF(QBI_Deduction&lt;&gt;0, "QBI Deduction: "&amp;TEXT(QBI_Deduction,"$#,##0"), "⚠️ QBI eligible but $0 deduction"), "No QBI-eligible income")</f>
        <v/>
      </c>
      <c r="F6" t="inlineStr">
        <is>
          <t>—</t>
        </is>
      </c>
      <c r="G6" t="inlineStr">
        <is>
          <t>Verify QBI: SSTB status, W-2 wage / UBIA limits, taxable income phase-in.</t>
        </is>
      </c>
    </row>
    <row r="7">
      <c r="B7" t="n">
        <v>4</v>
      </c>
      <c r="C7" t="inlineStr">
        <is>
          <t>AMT</t>
        </is>
      </c>
      <c r="D7" t="inlineStr">
        <is>
          <t>AMT triggered?</t>
        </is>
      </c>
      <c r="E7">
        <f t="array" ref="E7">IF(AND(AGI&gt;250000,StdItemDed&lt;0),"High income + itemized — AMT risk","Low AMT risk")</f>
        <v/>
      </c>
      <c r="F7" t="inlineStr">
        <is>
          <t>OK</t>
        </is>
      </c>
      <c r="G7" t="inlineStr">
        <is>
          <t>Review ISO exercise, large SALT, private-activity muni interest.</t>
        </is>
      </c>
    </row>
    <row r="8">
      <c r="B8" t="n">
        <v>5</v>
      </c>
      <c r="C8" t="inlineStr">
        <is>
          <t>SE Tax</t>
        </is>
      </c>
      <c r="D8" t="inlineStr">
        <is>
          <t>Self-Employment tax — S-Corp candidate?</t>
        </is>
      </c>
      <c r="E8">
        <f t="array" ref="E8">IF(BI_SE_SUBJECT&gt;0,"SE income: "&amp;TEXT(BI_SE_SUBJECT,"$#,##0")&amp;" — S-Corp candidate?",IF(BI_SE_SUBJECT&lt;0,"SE loss: "&amp;TEXT(BI_SE_SUBJECT,"$#,##0"),"No SE income"))</f>
        <v/>
      </c>
      <c r="F8" t="inlineStr">
        <is>
          <t>OK</t>
        </is>
      </c>
      <c r="G8" t="inlineStr">
        <is>
          <t>Evaluate S-Corp election; reasonable comp vs distribution split.</t>
        </is>
      </c>
    </row>
    <row r="9">
      <c r="B9" t="n">
        <v>6</v>
      </c>
      <c r="C9" t="inlineStr">
        <is>
          <t>Business</t>
        </is>
      </c>
      <c r="D9" t="inlineStr">
        <is>
          <t>How many business entities (Sch C + K-1s)?</t>
        </is>
      </c>
      <c r="E9">
        <f t="array" ref="E9">IF(BI_SE_SUBJECT+BI_ACTIVE_NONSE+BI_PASSIVE&lt;&gt;0, "Business income detected", "No business income")</f>
        <v/>
      </c>
      <c r="F9" t="inlineStr">
        <is>
          <t>Each entity is a planning surface — see year sheet strategies table.</t>
        </is>
      </c>
      <c r="G9" t="inlineStr">
        <is>
          <t>Each entity is a planning surface — see STRATEGY_INPUTS.</t>
        </is>
      </c>
    </row>
    <row r="10">
      <c r="B10" t="n">
        <v>7</v>
      </c>
      <c r="C10" t="inlineStr">
        <is>
          <t>Entity Structure</t>
        </is>
      </c>
      <c r="D10" t="inlineStr">
        <is>
          <t>Any Partnership K-1s eligible for S-Corp election?</t>
        </is>
      </c>
      <c r="E10">
        <f t="array" ref="E10">IF(BI_SE_SUBJECT&gt;0, "SE income: "&amp;TEXT(BI_SE_SUBJECT,"$#,##0")&amp;" — S-Corp candidate", "No SE income")</f>
        <v/>
      </c>
      <c r="F10" t="inlineStr">
        <is>
          <t>—</t>
        </is>
      </c>
      <c r="G10" t="inlineStr">
        <is>
          <t>S-Corp election may save SE tax via wage/distribution split.</t>
        </is>
      </c>
    </row>
    <row r="11">
      <c r="B11" t="n">
        <v>8</v>
      </c>
      <c r="C11" t="inlineStr">
        <is>
          <t>Passive Losses</t>
        </is>
      </c>
      <c r="D11" t="inlineStr">
        <is>
          <t>Suspended passive losses?</t>
        </is>
      </c>
      <c r="E11">
        <f t="array" ref="E11">IF(BI_PASSIVE&lt;0, "Passive loss: "&amp;TEXT(BI_PASSIVE,"$#,##0"), "No passive losses")</f>
        <v/>
      </c>
      <c r="F11" t="inlineStr">
        <is>
          <t>—</t>
        </is>
      </c>
      <c r="G11" t="inlineStr">
        <is>
          <t>Review Form 8582; grouping elections, REPS, disposition timing.</t>
        </is>
      </c>
    </row>
    <row r="12">
      <c r="B12" t="n">
        <v>9</v>
      </c>
      <c r="C12" t="inlineStr">
        <is>
          <t>Real Estate</t>
        </is>
      </c>
      <c r="D12" t="inlineStr">
        <is>
          <t>Rental real estate present?</t>
        </is>
      </c>
      <c r="E12">
        <f t="array" ref="E12">IF(BI_PASSIVE&lt;&gt;0, "Passive activity: "&amp;TEXT(BI_PASSIVE,"$#,##0"), "No passive activity")</f>
        <v/>
      </c>
      <c r="F12" t="inlineStr">
        <is>
          <t>—</t>
        </is>
      </c>
      <c r="G12" t="inlineStr">
        <is>
          <t>Evaluate REPS, short-term rental loophole, cost seg, 1031 timing.</t>
        </is>
      </c>
    </row>
    <row r="13">
      <c r="B13" t="n">
        <v>10</v>
      </c>
      <c r="C13" t="inlineStr">
        <is>
          <t>Cost Seg</t>
        </is>
      </c>
      <c r="D13" t="inlineStr">
        <is>
          <t>Cost segregation opportunity?</t>
        </is>
      </c>
      <c r="E13">
        <f t="array" ref="E13">IF(BI_PASSIVE&lt;&gt;0, "Rental/passive present — evaluate cost seg", "No rental property detected")</f>
        <v/>
      </c>
      <c r="F13" t="inlineStr">
        <is>
          <t>—</t>
        </is>
      </c>
      <c r="G13" t="inlineStr">
        <is>
          <t>Cost seg study on $500K+ basis properties not yet segregated; bonus dep window.</t>
        </is>
      </c>
    </row>
    <row r="14">
      <c r="B14" t="n">
        <v>11</v>
      </c>
      <c r="C14" t="inlineStr">
        <is>
          <t>Dispositions</t>
        </is>
      </c>
      <c r="D14" t="inlineStr">
        <is>
          <t>Property dispositions in current year?</t>
        </is>
      </c>
      <c r="E14" t="inlineStr">
        <is>
          <t>No</t>
        </is>
      </c>
      <c r="F14" t="inlineStr">
        <is>
          <t>OK</t>
        </is>
      </c>
      <c r="G14" t="inlineStr">
        <is>
          <t>1031 exchange? Installment sale? Opp Zone deferral if gain.</t>
        </is>
      </c>
    </row>
    <row r="15">
      <c r="B15" t="n">
        <v>12</v>
      </c>
      <c r="C15" t="inlineStr">
        <is>
          <t>Capital Gains</t>
        </is>
      </c>
      <c r="D15" t="inlineStr">
        <is>
          <t>Positive capital gains?</t>
        </is>
      </c>
      <c r="E15">
        <f t="array" ref="E15">IF(CG_LT+CG_ST&gt;0,"Net gains: "&amp;TEXT(CG_LT+CG_ST,"$#,##0"),IF(CG_LT+CG_ST&lt;0,"Net losses: "&amp;TEXT(CG_LT+CG_ST,"$#,##0"),"No capital activity"))</f>
        <v/>
      </c>
      <c r="F15" t="inlineStr">
        <is>
          <t>OK</t>
        </is>
      </c>
      <c r="G15" t="inlineStr">
        <is>
          <t>Tax loss harvesting; tax-gain harvesting in low-bracket year.</t>
        </is>
      </c>
    </row>
    <row r="16">
      <c r="B16" t="n">
        <v>13</v>
      </c>
      <c r="C16" t="inlineStr">
        <is>
          <t>Charitable</t>
        </is>
      </c>
      <c r="D16" t="inlineStr">
        <is>
          <t>Charitable contributions claimed?</t>
        </is>
      </c>
      <c r="E16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/>
      </c>
      <c r="F16" t="inlineStr">
        <is>
          <t>OK</t>
        </is>
      </c>
      <c r="G16" t="inlineStr">
        <is>
          <t>DAF bunching; QCD from IRA at age 70½+; LTCG property donations.</t>
        </is>
      </c>
    </row>
    <row r="17">
      <c r="B17" t="n">
        <v>14</v>
      </c>
      <c r="C17" t="inlineStr">
        <is>
          <t>SALT</t>
        </is>
      </c>
      <c r="D17" t="inlineStr">
        <is>
          <t>SALT cap impact?</t>
        </is>
      </c>
      <c r="E17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/>
      </c>
      <c r="F17" t="inlineStr">
        <is>
          <t>N/A</t>
        </is>
      </c>
      <c r="G17" t="inlineStr">
        <is>
          <t>PTET election (state-level workaround) may unlock above-cap SALT.</t>
        </is>
      </c>
    </row>
    <row r="18">
      <c r="B18" t="n">
        <v>15</v>
      </c>
      <c r="C18" t="inlineStr">
        <is>
          <t>Retirement</t>
        </is>
      </c>
      <c r="D18" t="inlineStr">
        <is>
          <t>Retirement contributions made?</t>
        </is>
      </c>
      <c r="E18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/>
      </c>
      <c r="F18" t="inlineStr">
        <is>
          <t>NO</t>
        </is>
      </c>
      <c r="G18" t="inlineStr">
        <is>
          <t>Max 401(k), SEP-IRA, Solo 401(k), DB plan; mega backdoor Roth.</t>
        </is>
      </c>
    </row>
    <row r="19">
      <c r="B19" t="n">
        <v>16</v>
      </c>
      <c r="C19" t="inlineStr">
        <is>
          <t>HSA</t>
        </is>
      </c>
      <c r="D19" t="inlineStr">
        <is>
          <t>HSA contributions made?</t>
        </is>
      </c>
      <c r="E19" t="inlineStr">
        <is>
          <t>$0 - No HSA visible</t>
        </is>
      </c>
      <c r="F19" t="inlineStr">
        <is>
          <t>NO</t>
        </is>
      </c>
      <c r="G19" t="inlineStr">
        <is>
          <t>Max HSA family contribution ($8,550 in 2025; +$1,000 age 55+).</t>
        </is>
      </c>
    </row>
    <row r="20">
      <c r="B20" t="n">
        <v>17</v>
      </c>
      <c r="C20" t="inlineStr">
        <is>
          <t>Family</t>
        </is>
      </c>
      <c r="D20" t="inlineStr">
        <is>
          <t>Hiring children opportunity?</t>
        </is>
      </c>
      <c r="E20">
        <f>IF(Control_Panel!C19&gt;0,Control_Panel!C19&amp;" dependents — hiring children?","No dependents")</f>
        <v/>
      </c>
      <c r="F20" t="inlineStr">
        <is>
          <t>OK</t>
        </is>
      </c>
      <c r="G20" t="inlineStr">
        <is>
          <t>Strategy #5 LHF — kiddie standard deduction ~$15K/child, no FICA under 18.</t>
        </is>
      </c>
    </row>
    <row r="21">
      <c r="B21" t="n">
        <v>18</v>
      </c>
      <c r="C21" t="inlineStr">
        <is>
          <t>Augusta Rule</t>
        </is>
      </c>
      <c r="D21" t="inlineStr">
        <is>
          <t>Augusta Rule (§280A) opportunity?</t>
        </is>
      </c>
      <c r="E21">
        <f t="array" ref="E21">IF(BI_SE_SUBJECT+BI_ACTIVE_NONSE&gt;0, "Business income present — Augusta eligible", "No business income")</f>
        <v/>
      </c>
      <c r="F21" t="inlineStr">
        <is>
          <t>—</t>
        </is>
      </c>
      <c r="G21" t="inlineStr">
        <is>
          <t>≤14 days home rental to S-Corp at fair market rate; tax-free to homeowner.</t>
        </is>
      </c>
    </row>
    <row r="22">
      <c r="B22" t="n">
        <v>19</v>
      </c>
      <c r="C22" t="inlineStr">
        <is>
          <t>Accountable Plan</t>
        </is>
      </c>
      <c r="D22" t="inlineStr">
        <is>
          <t>Accountable Plan needed?</t>
        </is>
      </c>
      <c r="E22">
        <f t="array" ref="E22">IF(W2_OWNER&gt;0, "S-Corp owner comp: "&amp;TEXT(W2_OWNER,"$#,##0")&amp;" — accountable plan eligible", "No S-Corp owner comp")</f>
        <v/>
      </c>
      <c r="F22" t="inlineStr">
        <is>
          <t>—</t>
        </is>
      </c>
      <c r="G22" t="inlineStr">
        <is>
          <t>Written reimbursement plan must be adopted BEFORE expenses incurred.</t>
        </is>
      </c>
    </row>
    <row r="23">
      <c r="B23" t="n">
        <v>20</v>
      </c>
      <c r="C23" t="inlineStr">
        <is>
          <t>NIIT</t>
        </is>
      </c>
      <c r="D23" t="inlineStr">
        <is>
          <t>NIIT (3.8%) exposure?</t>
        </is>
      </c>
      <c r="E23">
        <f t="array" ref="E23">IF(AND(MAGI&gt;250000,NII&gt;0),"⚠️ NIIT exposure: MAGI "&amp;TEXT(MAGI,"$#,##0")&amp;", NII "&amp;TEXT(NII,"$#,##0"),IF(MAGI&gt;250000,"MAGI above threshold but NII≤0","AGI "&amp;TEXT(AGI,"$#,##0")&amp;" under $250K MFJ"))</f>
        <v/>
      </c>
      <c r="F23" t="inlineStr">
        <is>
          <t>OK</t>
        </is>
      </c>
      <c r="G23" t="inlineStr">
        <is>
          <t>Reclassify passive K-1s as active; muni bonds; defer investment income.</t>
        </is>
      </c>
    </row>
    <row r="24">
      <c r="B24" t="n">
        <v>21</v>
      </c>
      <c r="C24" t="inlineStr">
        <is>
          <t>Withholding</t>
        </is>
      </c>
      <c r="D24" t="inlineStr">
        <is>
          <t>Over-withholding?</t>
        </is>
      </c>
      <c r="E24" t="inlineStr">
        <is>
          <t>OK</t>
        </is>
      </c>
      <c r="F24" t="inlineStr">
        <is>
          <t>OK</t>
        </is>
      </c>
      <c r="G24" t="inlineStr">
        <is>
          <t>Adjust W-4 to reduce over-withholding (interest-free loan to IRS).</t>
        </is>
      </c>
    </row>
    <row r="25">
      <c r="B25" t="n">
        <v>22</v>
      </c>
      <c r="C25" t="inlineStr">
        <is>
          <t>International</t>
        </is>
      </c>
      <c r="D25" t="inlineStr">
        <is>
          <t>Foreign income / FBAR / 8938?</t>
        </is>
      </c>
      <c r="E25" t="inlineStr">
        <is>
          <t>Requires client inquiry — FBAR / Form 8938</t>
        </is>
      </c>
      <c r="F25" t="inlineStr">
        <is>
          <t>UNKNOWN</t>
        </is>
      </c>
      <c r="G25" t="inlineStr">
        <is>
          <t>Ask client about foreign accounts, foreign income, foreign entities.</t>
        </is>
      </c>
    </row>
    <row r="26">
      <c r="B26" t="n">
        <v>23</v>
      </c>
      <c r="C26" t="inlineStr">
        <is>
          <t>Life Changes</t>
        </is>
      </c>
      <c r="D26" t="inlineStr">
        <is>
          <t>Marriage / divorce / new baby / move?</t>
        </is>
      </c>
      <c r="E26" t="inlineStr">
        <is>
          <t>Requires client inquiry — marriage / divorce / birth / move</t>
        </is>
      </c>
      <c r="F26" t="inlineStr">
        <is>
          <t>UNKNOWN</t>
        </is>
      </c>
      <c r="G26" t="inlineStr">
        <is>
          <t>Major life events drive filing status, dependents, and state residency.</t>
        </is>
      </c>
    </row>
    <row r="27">
      <c r="B27" t="n">
        <v>24</v>
      </c>
      <c r="C27" t="inlineStr">
        <is>
          <t>Estate</t>
        </is>
      </c>
      <c r="D27" t="inlineStr">
        <is>
          <t>Estate planning needs?</t>
        </is>
      </c>
      <c r="E27" t="inlineStr">
        <is>
          <t>Requires client inquiry — estate / gifts / trusts</t>
        </is>
      </c>
      <c r="F27" t="inlineStr">
        <is>
          <t>UNKNOWN</t>
        </is>
      </c>
      <c r="G27" t="inlineStr">
        <is>
          <t>$13.99M federal exemption (2025) but state thresholds far lower.</t>
        </is>
      </c>
    </row>
    <row r="28">
      <c r="B28" t="n">
        <v>25</v>
      </c>
      <c r="C28" t="inlineStr">
        <is>
          <t>Credits</t>
        </is>
      </c>
      <c r="D28" t="inlineStr">
        <is>
          <t>Child Tax Credit claimed?</t>
        </is>
      </c>
      <c r="E28">
        <f>IF(Control_Panel!C19&gt;0,Control_Panel!C19&amp;" dependents — verify CTC claimed","No dependents — N/A")</f>
        <v/>
      </c>
      <c r="F28" t="inlineStr">
        <is>
          <t>INFO</t>
        </is>
      </c>
      <c r="G28" t="inlineStr">
        <is>
          <t>$2,000/child (2025); refundable portion via ACTC; phase-out &gt; $400K MFJ.</t>
        </is>
      </c>
    </row>
    <row r="29">
      <c r="B29" t="n">
        <v>26</v>
      </c>
      <c r="C29" t="inlineStr">
        <is>
          <t>Reasonable Comp</t>
        </is>
      </c>
      <c r="D29" t="inlineStr">
        <is>
          <t>Reasonable comp / wages-to-income ratio?</t>
        </is>
      </c>
      <c r="E29">
        <f t="array" ref="E29">IF(W2_OWNER&gt;0, "W-2: "&amp;TEXT(W2_OWNER,"$#,##0")&amp;" vs K-1: "&amp;TEXT(BI_ACTIVE_NONSE,"$#,##0")&amp;" ("&amp;TEXT(IFERROR(W2_OWNER/(W2_OWNER+BI_ACTIVE_NONSE),0),"0%")&amp;")", "No S-Corp owner comp")</f>
        <v/>
      </c>
      <c r="F29" t="inlineStr">
        <is>
          <t>—</t>
        </is>
      </c>
      <c r="G29" t="inlineStr">
        <is>
          <t>If wages &gt; 30%: lower comp + raise distribution. If $0: reasonable comp risk.</t>
        </is>
      </c>
    </row>
    <row r="31">
      <c r="B31" t="inlineStr">
        <is>
          <t>PRIORITY SUMMARY</t>
        </is>
      </c>
    </row>
    <row r="32">
      <c r="B32" t="inlineStr">
        <is>
          <t>Action Items (NO):</t>
        </is>
      </c>
      <c r="C32" t="n">
        <v>2</v>
      </c>
      <c r="D32" t="inlineStr">
        <is>
          <t>Review Items:</t>
        </is>
      </c>
      <c r="E32" t="n">
        <v>0</v>
      </c>
      <c r="F32" t="inlineStr">
        <is>
          <t>OK Items:</t>
        </is>
      </c>
      <c r="G32" t="n">
        <v>11</v>
      </c>
    </row>
    <row r="34">
      <c r="B34" t="inlineStr">
        <is>
          <t>🚨 HIGH PRIORITY (Action Required)</t>
        </is>
      </c>
    </row>
    <row r="35">
      <c r="B35" t="inlineStr">
        <is>
          <t>Q15</t>
        </is>
      </c>
      <c r="C35" t="inlineStr">
        <is>
          <t>Retirement</t>
        </is>
      </c>
      <c r="D35" t="inlineStr">
        <is>
          <t>Retirement contributions made?</t>
        </is>
      </c>
      <c r="E35" t="inlineStr">
        <is>
          <t>$0 - No retirement contributions visible</t>
        </is>
      </c>
      <c r="F35" t="inlineStr">
        <is>
          <t>NO</t>
        </is>
      </c>
      <c r="G35" t="inlineStr">
        <is>
          <t>Max 401(k), SEP-IRA, Solo 401(k), DB plan; mega backdoor Roth.</t>
        </is>
      </c>
    </row>
    <row r="36">
      <c r="B36" t="inlineStr">
        <is>
          <t>Q16</t>
        </is>
      </c>
      <c r="C36" t="inlineStr">
        <is>
          <t>HSA</t>
        </is>
      </c>
      <c r="D36" t="inlineStr">
        <is>
          <t>HSA contributions made?</t>
        </is>
      </c>
      <c r="E36" t="inlineStr">
        <is>
          <t>$0 - No HSA visible</t>
        </is>
      </c>
      <c r="F36" t="inlineStr">
        <is>
          <t>NO</t>
        </is>
      </c>
      <c r="G36" t="inlineStr">
        <is>
          <t>Max HSA family contribution ($8,550 in 2025; +$1,000 age 55+).</t>
        </is>
      </c>
    </row>
    <row r="37">
      <c r="B37" t="inlineStr">
        <is>
          <t>Q25</t>
        </is>
      </c>
      <c r="C37" t="inlineStr">
        <is>
          <t>Credits</t>
        </is>
      </c>
      <c r="D37" t="inlineStr">
        <is>
          <t>Child Tax Credit claimed?</t>
        </is>
      </c>
      <c r="E37" t="inlineStr">
        <is>
          <t>No CTC visible</t>
        </is>
      </c>
      <c r="F37" t="inlineStr">
        <is>
          <t>INFO</t>
        </is>
      </c>
      <c r="G37" t="inlineStr">
        <is>
          <t>$2,000/child (2025); refundable portion via ACTC; phase-out &gt; $400K MFJ.</t>
        </is>
      </c>
    </row>
    <row r="39">
      <c r="B39" t="inlineStr">
        <is>
          <t>⚠️ MEDIUM PRIORITY (Planning Opportunity)</t>
        </is>
      </c>
    </row>
    <row r="40">
      <c r="B40" t="inlineStr">
        <is>
          <t>Q3</t>
        </is>
      </c>
      <c r="C40" t="inlineStr">
        <is>
          <t>QBI</t>
        </is>
      </c>
      <c r="D40" t="inlineStr">
        <is>
          <t>QBI Deduction (§199A) — taken or missed?</t>
        </is>
      </c>
      <c r="E40">
        <f>E6</f>
        <v/>
      </c>
      <c r="F40" t="inlineStr">
        <is>
          <t>—</t>
        </is>
      </c>
      <c r="G40" t="inlineStr">
        <is>
          <t>Verify QBI: SSTB status, W-2 wage / UBIA limits, taxable income phase-in.</t>
        </is>
      </c>
    </row>
    <row r="41">
      <c r="B41" t="inlineStr">
        <is>
          <t>Q6</t>
        </is>
      </c>
      <c r="C41" t="inlineStr">
        <is>
          <t>Business</t>
        </is>
      </c>
      <c r="D41" t="inlineStr">
        <is>
          <t>How many business entities (Sch C + K-1s)?</t>
        </is>
      </c>
      <c r="E41">
        <f>E9</f>
        <v/>
      </c>
      <c r="F41" t="inlineStr">
        <is>
          <t>Each entity is a planning surface — see year sheet strategies table.</t>
        </is>
      </c>
      <c r="G41" t="inlineStr">
        <is>
          <t>Each entity is a planning surface — see STRATEGY_INPUTS.</t>
        </is>
      </c>
    </row>
    <row r="42">
      <c r="B42" t="inlineStr">
        <is>
          <t>Q7</t>
        </is>
      </c>
      <c r="C42" t="inlineStr">
        <is>
          <t>Entity Structure</t>
        </is>
      </c>
      <c r="D42" t="inlineStr">
        <is>
          <t>Any Partnership K-1s eligible for S-Corp election?</t>
        </is>
      </c>
      <c r="E42">
        <f>E10</f>
        <v/>
      </c>
      <c r="F42" t="inlineStr">
        <is>
          <t>—</t>
        </is>
      </c>
      <c r="G42" t="inlineStr">
        <is>
          <t>S-Corp election may save SE tax via wage/distribution split.</t>
        </is>
      </c>
    </row>
    <row r="43">
      <c r="B43" t="inlineStr">
        <is>
          <t>Q9</t>
        </is>
      </c>
      <c r="C43" t="inlineStr">
        <is>
          <t>Real Estate</t>
        </is>
      </c>
      <c r="D43" t="inlineStr">
        <is>
          <t>Rental real estate present?</t>
        </is>
      </c>
      <c r="E43">
        <f>E12</f>
        <v/>
      </c>
      <c r="F43" t="inlineStr">
        <is>
          <t>—</t>
        </is>
      </c>
      <c r="G43" t="inlineStr">
        <is>
          <t>Evaluate REPS, short-term rental loophole, cost seg, 1031 timing.</t>
        </is>
      </c>
    </row>
    <row r="44">
      <c r="B44" t="inlineStr">
        <is>
          <t>Q10</t>
        </is>
      </c>
      <c r="C44" t="inlineStr">
        <is>
          <t>Cost Seg</t>
        </is>
      </c>
      <c r="D44" t="inlineStr">
        <is>
          <t>Cost segregation opportunity?</t>
        </is>
      </c>
      <c r="E44">
        <f>E13</f>
        <v/>
      </c>
      <c r="F44" t="inlineStr">
        <is>
          <t>—</t>
        </is>
      </c>
      <c r="G44" t="inlineStr">
        <is>
          <t>Cost seg study on $500K+ basis properties not yet segregated; bonus dep window.</t>
        </is>
      </c>
    </row>
    <row r="45">
      <c r="B45" t="inlineStr">
        <is>
          <t>Q18</t>
        </is>
      </c>
      <c r="C45" t="inlineStr">
        <is>
          <t>Augusta Rule</t>
        </is>
      </c>
      <c r="D45" t="inlineStr">
        <is>
          <t>Augusta Rule (§280A) opportunity?</t>
        </is>
      </c>
      <c r="E45">
        <f>E21</f>
        <v/>
      </c>
      <c r="F45" t="inlineStr">
        <is>
          <t>—</t>
        </is>
      </c>
      <c r="G45" t="inlineStr">
        <is>
          <t>≤14 days home rental to S-Corp at fair market rate; tax-free to homeowner.</t>
        </is>
      </c>
    </row>
    <row r="46">
      <c r="B46" t="inlineStr">
        <is>
          <t>Q26</t>
        </is>
      </c>
      <c r="C46" t="inlineStr">
        <is>
          <t>Reasonable Comp</t>
        </is>
      </c>
      <c r="D46" t="inlineStr">
        <is>
          <t>Reasonable comp / wages-to-income ratio?</t>
        </is>
      </c>
      <c r="E46">
        <f>E29</f>
        <v/>
      </c>
      <c r="F46" t="inlineStr">
        <is>
          <t>—</t>
        </is>
      </c>
      <c r="G46" t="inlineStr">
        <is>
          <t>If wages &gt; 30%: lower comp + raise distribution. If $0: reasonable comp risk.</t>
        </is>
      </c>
    </row>
    <row r="48">
      <c r="B48" t="inlineStr">
        <is>
          <t>ℹ️ INFO (Requires Client Inquiry)</t>
        </is>
      </c>
    </row>
    <row r="49">
      <c r="B49" t="inlineStr">
        <is>
          <t>Q22</t>
        </is>
      </c>
      <c r="C49" t="inlineStr">
        <is>
          <t>International</t>
        </is>
      </c>
      <c r="D49" t="inlineStr">
        <is>
          <t>Foreign income / FBAR / 8938?</t>
        </is>
      </c>
      <c r="E49" t="inlineStr">
        <is>
          <t>Requires client inquiry — FBAR / Form 8938</t>
        </is>
      </c>
      <c r="F49" t="inlineStr">
        <is>
          <t>UNKNOWN</t>
        </is>
      </c>
      <c r="G49" t="inlineStr">
        <is>
          <t>Ask client about foreign accounts, foreign income, foreign entities.</t>
        </is>
      </c>
    </row>
    <row r="50">
      <c r="B50" t="inlineStr">
        <is>
          <t>Q23</t>
        </is>
      </c>
      <c r="C50" t="inlineStr">
        <is>
          <t>Life Changes</t>
        </is>
      </c>
      <c r="D50" t="inlineStr">
        <is>
          <t>Marriage / divorce / new baby / move?</t>
        </is>
      </c>
      <c r="E50" t="inlineStr">
        <is>
          <t>Requires client inquiry — marriage / divorce / birth / move</t>
        </is>
      </c>
      <c r="F50" t="inlineStr">
        <is>
          <t>UNKNOWN</t>
        </is>
      </c>
      <c r="G50" t="inlineStr">
        <is>
          <t>Major life events drive filing status, dependents, and state residency.</t>
        </is>
      </c>
    </row>
    <row r="51">
      <c r="B51" t="inlineStr">
        <is>
          <t>Q24</t>
        </is>
      </c>
      <c r="C51" t="inlineStr">
        <is>
          <t>Estate</t>
        </is>
      </c>
      <c r="D51" t="inlineStr">
        <is>
          <t>Estate planning needs?</t>
        </is>
      </c>
      <c r="E51" t="inlineStr">
        <is>
          <t>Requires client inquiry — estate / gifts / trusts</t>
        </is>
      </c>
      <c r="F51" t="inlineStr">
        <is>
          <t>UNKNOWN</t>
        </is>
      </c>
      <c r="G51" t="inlineStr">
        <is>
          <t>$13.99M federal exemption (2025) but state thresholds far lower.</t>
        </is>
      </c>
    </row>
    <row r="53">
      <c r="B53" t="inlineStr">
        <is>
          <t>✓ OK (No Issue Detected)</t>
        </is>
      </c>
    </row>
    <row r="54">
      <c r="B54" t="inlineStr">
        <is>
          <t>Q1</t>
        </is>
      </c>
      <c r="C54" t="inlineStr">
        <is>
          <t>Tax Rate</t>
        </is>
      </c>
      <c r="D54" t="inlineStr">
        <is>
          <t>Marginal tax bracket — at or above 24%?</t>
        </is>
      </c>
      <c r="E54">
        <f>E4</f>
        <v/>
      </c>
      <c r="F54" t="inlineStr">
        <is>
          <t>OK</t>
        </is>
      </c>
      <c r="G54" t="inlineStr">
        <is>
          <t>Income shifting / deferral; bracket-fill Roth conversions if room.</t>
        </is>
      </c>
    </row>
    <row r="55">
      <c r="B55" t="inlineStr">
        <is>
          <t>Q2</t>
        </is>
      </c>
      <c r="C55" t="inlineStr">
        <is>
          <t>Tax Rate</t>
        </is>
      </c>
      <c r="D55" t="inlineStr">
        <is>
          <t>Effective tax rate &gt; 15%?</t>
        </is>
      </c>
      <c r="E55">
        <f>E5</f>
        <v/>
      </c>
      <c r="F55" t="inlineStr">
        <is>
          <t>OK</t>
        </is>
      </c>
      <c r="G55" t="inlineStr">
        <is>
          <t>High effective rate = optimization opportunity. Review structural levers.</t>
        </is>
      </c>
    </row>
    <row r="56">
      <c r="B56" t="inlineStr">
        <is>
          <t>Q4</t>
        </is>
      </c>
      <c r="C56" t="inlineStr">
        <is>
          <t>AMT</t>
        </is>
      </c>
      <c r="D56" t="inlineStr">
        <is>
          <t>AMT triggered?</t>
        </is>
      </c>
      <c r="E56">
        <f>E7</f>
        <v/>
      </c>
      <c r="F56" t="inlineStr">
        <is>
          <t>OK</t>
        </is>
      </c>
      <c r="G56" t="inlineStr">
        <is>
          <t>Review ISO exercise, large SALT, private-activity muni interest.</t>
        </is>
      </c>
    </row>
    <row r="57">
      <c r="B57" t="inlineStr">
        <is>
          <t>Q5</t>
        </is>
      </c>
      <c r="C57" t="inlineStr">
        <is>
          <t>SE Tax</t>
        </is>
      </c>
      <c r="D57" t="inlineStr">
        <is>
          <t>Self-Employment tax — S-Corp candidate?</t>
        </is>
      </c>
      <c r="E57">
        <f>E8</f>
        <v/>
      </c>
      <c r="F57" t="inlineStr">
        <is>
          <t>OK</t>
        </is>
      </c>
      <c r="G57" t="inlineStr">
        <is>
          <t>Evaluate S-Corp election; reasonable comp vs distribution split.</t>
        </is>
      </c>
    </row>
    <row r="58">
      <c r="B58" t="inlineStr">
        <is>
          <t>Q8</t>
        </is>
      </c>
      <c r="C58" t="inlineStr">
        <is>
          <t>Passive Losses</t>
        </is>
      </c>
      <c r="D58" t="inlineStr">
        <is>
          <t>Suspended passive losses?</t>
        </is>
      </c>
      <c r="E58">
        <f>E11</f>
        <v/>
      </c>
      <c r="F58" t="inlineStr">
        <is>
          <t>—</t>
        </is>
      </c>
      <c r="G58" t="inlineStr">
        <is>
          <t>Review Form 8582; grouping elections, REPS, disposition timing.</t>
        </is>
      </c>
    </row>
    <row r="59">
      <c r="B59" t="inlineStr">
        <is>
          <t>Q11</t>
        </is>
      </c>
      <c r="C59" t="inlineStr">
        <is>
          <t>Dispositions</t>
        </is>
      </c>
      <c r="D59" t="inlineStr">
        <is>
          <t>Property dispositions in current year?</t>
        </is>
      </c>
      <c r="E59" t="inlineStr">
        <is>
          <t>No</t>
        </is>
      </c>
      <c r="F59" t="inlineStr">
        <is>
          <t>OK</t>
        </is>
      </c>
      <c r="G59" t="inlineStr">
        <is>
          <t>1031 exchange? Installment sale? Opp Zone deferral if gain.</t>
        </is>
      </c>
    </row>
    <row r="60">
      <c r="B60" t="inlineStr">
        <is>
          <t>Q12</t>
        </is>
      </c>
      <c r="C60" t="inlineStr">
        <is>
          <t>Capital Gains</t>
        </is>
      </c>
      <c r="D60" t="inlineStr">
        <is>
          <t>Positive capital gains?</t>
        </is>
      </c>
      <c r="E60">
        <f>E15</f>
        <v/>
      </c>
      <c r="F60" t="inlineStr">
        <is>
          <t>OK</t>
        </is>
      </c>
      <c r="G60" t="inlineStr">
        <is>
          <t>Tax loss harvesting; tax-gain harvesting in low-bracket year.</t>
        </is>
      </c>
    </row>
    <row r="61">
      <c r="B61" t="inlineStr">
        <is>
          <t>Q13</t>
        </is>
      </c>
      <c r="C61" t="inlineStr">
        <is>
          <t>Charitable</t>
        </is>
      </c>
      <c r="D61" t="inlineStr">
        <is>
          <t>Charitable contributions claimed?</t>
        </is>
      </c>
      <c r="E61">
        <f>E16</f>
        <v/>
      </c>
      <c r="F61" t="inlineStr">
        <is>
          <t>OK</t>
        </is>
      </c>
      <c r="G61" t="inlineStr">
        <is>
          <t>DAF bunching; QCD from IRA at age 70½+; LTCG property donations.</t>
        </is>
      </c>
    </row>
    <row r="62">
      <c r="B62" t="inlineStr">
        <is>
          <t>Q14</t>
        </is>
      </c>
      <c r="C62" t="inlineStr">
        <is>
          <t>SALT</t>
        </is>
      </c>
      <c r="D62" t="inlineStr">
        <is>
          <t>SALT cap impact?</t>
        </is>
      </c>
      <c r="E62">
        <f>E17</f>
        <v/>
      </c>
      <c r="F62" t="inlineStr">
        <is>
          <t>N/A</t>
        </is>
      </c>
      <c r="G62" t="inlineStr">
        <is>
          <t>PTET election (state-level workaround) may unlock above-cap SALT.</t>
        </is>
      </c>
    </row>
    <row r="63">
      <c r="B63" t="inlineStr">
        <is>
          <t>Q17</t>
        </is>
      </c>
      <c r="C63" t="inlineStr">
        <is>
          <t>Family</t>
        </is>
      </c>
      <c r="D63" t="inlineStr">
        <is>
          <t>Hiring children opportunity?</t>
        </is>
      </c>
      <c r="E63">
        <f>E20</f>
        <v/>
      </c>
      <c r="F63" t="inlineStr">
        <is>
          <t>OK</t>
        </is>
      </c>
      <c r="G63" t="inlineStr">
        <is>
          <t>Strategy #5 LHF — kiddie standard deduction ~$15K/child, no FICA under 18.</t>
        </is>
      </c>
    </row>
    <row r="64">
      <c r="B64" t="inlineStr">
        <is>
          <t>Q19</t>
        </is>
      </c>
      <c r="C64" t="inlineStr">
        <is>
          <t>Accountable Plan</t>
        </is>
      </c>
      <c r="D64" t="inlineStr">
        <is>
          <t>Accountable Plan needed?</t>
        </is>
      </c>
      <c r="E64">
        <f>E22</f>
        <v/>
      </c>
      <c r="F64" t="inlineStr">
        <is>
          <t>—</t>
        </is>
      </c>
      <c r="G64" t="inlineStr">
        <is>
          <t>Written reimbursement plan must be adopted BEFORE expenses incurred.</t>
        </is>
      </c>
    </row>
    <row r="65">
      <c r="B65" t="inlineStr">
        <is>
          <t>Q20</t>
        </is>
      </c>
      <c r="C65" t="inlineStr">
        <is>
          <t>NIIT</t>
        </is>
      </c>
      <c r="D65" t="inlineStr">
        <is>
          <t>NIIT (3.8%) exposure?</t>
        </is>
      </c>
      <c r="E65">
        <f>E23</f>
        <v/>
      </c>
      <c r="F65" t="inlineStr">
        <is>
          <t>OK</t>
        </is>
      </c>
      <c r="G65" t="inlineStr">
        <is>
          <t>Reclassify passive K-1s as active; muni bonds; defer investment income.</t>
        </is>
      </c>
    </row>
    <row r="66">
      <c r="B66" t="inlineStr">
        <is>
          <t>Q21</t>
        </is>
      </c>
      <c r="C66" t="inlineStr">
        <is>
          <t>Withholding</t>
        </is>
      </c>
      <c r="D66" t="inlineStr">
        <is>
          <t>Over-withholding?</t>
        </is>
      </c>
      <c r="E66" t="inlineStr">
        <is>
          <t>OK</t>
        </is>
      </c>
      <c r="F66" t="inlineStr">
        <is>
          <t>OK</t>
        </is>
      </c>
      <c r="G66" t="inlineStr">
        <is>
          <t>Adjust W-4 to reduce over-withholding (interest-free loan to IRS).</t>
        </is>
      </c>
    </row>
    <row r="69">
      <c r="B69" t="inlineStr">
        <is>
          <t>Source: SKILL_Questionnaire_Logic.md (LET-free for openpyxl/Excel compat)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FFC0000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FILE CONNECTIONS — Extraction Integration</t>
        </is>
      </c>
      <c r="B1" s="29" t="n"/>
      <c r="C1" s="29" t="n"/>
      <c r="D1" s="29" t="n"/>
      <c r="E1" s="29" t="n"/>
      <c r="F1" s="29" t="n"/>
    </row>
    <row r="2">
      <c r="A2" t="inlineStr">
        <is>
          <t>Maps extraction source files → target sheets in this workbook. Set file paths below, then use import macro to pull data.</t>
        </is>
      </c>
    </row>
    <row r="4">
      <c r="A4" s="17" t="inlineStr">
        <is>
          <t>SECTION 1 — EXTRACTION FILE PATHS</t>
        </is>
      </c>
    </row>
    <row r="5">
      <c r="A5" t="inlineStr">
        <is>
          <t>Slot</t>
        </is>
      </c>
      <c r="B5" t="inlineStr">
        <is>
          <t>Year</t>
        </is>
      </c>
      <c r="C5" t="inlineStr">
        <is>
          <t>File Path (enter here)</t>
        </is>
      </c>
      <c r="D5" t="inlineStr">
        <is>
          <t>Named Range</t>
        </is>
      </c>
      <c r="E5" t="inlineStr">
        <is>
          <t>What It Fills</t>
        </is>
      </c>
    </row>
    <row r="6">
      <c r="A6" t="inlineStr">
        <is>
          <t>Current Year</t>
        </is>
      </c>
      <c r="B6">
        <f>Active_Year</f>
        <v/>
      </c>
      <c r="D6" t="inlineStr">
        <is>
          <t>CurrentYearExtractionPath</t>
        </is>
      </c>
      <c r="E6" t="inlineStr">
        <is>
          <t>Fills Master_Inputs rows for current year + AsFiled</t>
        </is>
      </c>
    </row>
    <row r="7">
      <c r="A7" t="inlineStr">
        <is>
          <t>Prior Year 1</t>
        </is>
      </c>
      <c r="B7">
        <f>Active_Year-1</f>
        <v/>
      </c>
      <c r="D7" t="inlineStr">
        <is>
          <t>PriorYear1ExtractionPath</t>
        </is>
      </c>
      <c r="E7" t="inlineStr">
        <is>
          <t>Fills AsFiled rows for prior year</t>
        </is>
      </c>
    </row>
    <row r="8">
      <c r="A8" t="inlineStr">
        <is>
          <t>Prior Year 2</t>
        </is>
      </c>
      <c r="B8">
        <f>Active_Year-2</f>
        <v/>
      </c>
      <c r="D8" t="inlineStr">
        <is>
          <t>PriorYear2ExtractionPath</t>
        </is>
      </c>
      <c r="E8" t="inlineStr">
        <is>
          <t>Fills AsFiled rows for PY-2</t>
        </is>
      </c>
    </row>
    <row r="11">
      <c r="A11" s="17" t="inlineStr">
        <is>
          <t>SECTION 2 — SHEET MAPPING (Extraction → This Workbook)</t>
        </is>
      </c>
    </row>
    <row r="12">
      <c r="A12" t="inlineStr">
        <is>
          <t>Extraction Sheet</t>
        </is>
      </c>
      <c r="B12" t="inlineStr">
        <is>
          <t>Target Sheet</t>
        </is>
      </c>
      <c r="C12" t="inlineStr">
        <is>
          <t>How It Maps</t>
        </is>
      </c>
      <c r="D12" t="inlineStr">
        <is>
          <t>Notes</t>
        </is>
      </c>
    </row>
    <row r="13">
      <c r="A13" t="inlineStr">
        <is>
          <t>Form_1040_Summary</t>
        </is>
      </c>
      <c r="B13" t="inlineStr">
        <is>
          <t>Master_Inputs + AsFiled</t>
        </is>
      </c>
      <c r="C13" t="inlineStr">
        <is>
          <t>Line items → rows in tblMaster_Inputs (Baseline_Amount) and tblAsFiled (Filed_Amount)</t>
        </is>
      </c>
      <c r="D13" t="inlineStr">
        <is>
          <t>Year column determines which year's data</t>
        </is>
      </c>
    </row>
    <row r="14">
      <c r="A14" t="inlineStr">
        <is>
          <t>Activity_Detail</t>
        </is>
      </c>
      <c r="B14" t="inlineStr">
        <is>
          <t>Master_Inputs</t>
        </is>
      </c>
      <c r="C14" t="inlineStr">
        <is>
          <t>K-1s, Sch C/E/F → individual rows with Treatment_Profile classification</t>
        </is>
      </c>
      <c r="D14" t="inlineStr">
        <is>
          <t>Use Treatment_Profile_Map for classification</t>
        </is>
      </c>
    </row>
    <row r="15">
      <c r="A15" t="inlineStr">
        <is>
          <t>Deductions_and_Adjustments</t>
        </is>
      </c>
      <c r="B15" t="inlineStr">
        <is>
          <t>Master_Inputs</t>
        </is>
      </c>
      <c r="C15" t="inlineStr">
        <is>
          <t>Above-line adjustments and itemized deductions → rows with Bucket=Adjustment/Itemized</t>
        </is>
      </c>
      <c r="D15" t="inlineStr">
        <is>
          <t>Primary_Line = 10 or 12</t>
        </is>
      </c>
    </row>
    <row r="16">
      <c r="A16" t="inlineStr">
        <is>
          <t>PBC_Checklist</t>
        </is>
      </c>
      <c r="B16" t="inlineStr">
        <is>
          <t>AsFiled</t>
        </is>
      </c>
      <c r="C16" t="inlineStr">
        <is>
          <t>Document status tracking → Provenance column in tblAsFiled</t>
        </is>
      </c>
      <c r="D16" t="inlineStr">
        <is>
          <t>Status = Filed Return</t>
        </is>
      </c>
    </row>
    <row r="17">
      <c r="A17" t="inlineStr">
        <is>
          <t>Tax Strategy Questionnaire</t>
        </is>
      </c>
      <c r="B17" t="inlineStr">
        <is>
          <t>Questionnaire</t>
        </is>
      </c>
      <c r="C17" t="inlineStr">
        <is>
          <t>Pre-answered questions → Detection column</t>
        </is>
      </c>
      <c r="D17" t="inlineStr">
        <is>
          <t>Wire to our named ranges</t>
        </is>
      </c>
    </row>
    <row r="19">
      <c r="A19" s="17" t="inlineStr">
        <is>
          <t>SECTION 3 — OUR WORKBOOK ARCHITECTURE</t>
        </is>
      </c>
    </row>
    <row r="20">
      <c r="A20" t="inlineStr">
        <is>
          <t>Sheet</t>
        </is>
      </c>
      <c r="B20" t="inlineStr">
        <is>
          <t>Purpose</t>
        </is>
      </c>
      <c r="C20" t="inlineStr">
        <is>
          <t>Key Table/Range</t>
        </is>
      </c>
    </row>
    <row r="21">
      <c r="A21" t="inlineStr">
        <is>
          <t>Master_Inputs</t>
        </is>
      </c>
      <c r="B21" t="inlineStr">
        <is>
          <t>Central fact table — all income/deduction items</t>
        </is>
      </c>
      <c r="C21" t="inlineStr">
        <is>
          <t>tblMaster_Inputs (A4:S15+)</t>
        </is>
      </c>
    </row>
    <row r="22">
      <c r="A22" t="inlineStr">
        <is>
          <t>AsFiled</t>
        </is>
      </c>
      <c r="B22" t="inlineStr">
        <is>
          <t>Filed return data by year for PY reconciliation</t>
        </is>
      </c>
      <c r="C22" t="inlineStr">
        <is>
          <t>tblAsFiled (B5:O14+)</t>
        </is>
      </c>
    </row>
    <row r="23">
      <c r="A23" t="inlineStr">
        <is>
          <t>Y2023-Y2028</t>
        </is>
      </c>
      <c r="B23" t="inlineStr">
        <is>
          <t>Year sandboxes with strategies + 7-calculator</t>
        </is>
      </c>
      <c r="C23" t="inlineStr">
        <is>
          <t>tblY{YEAR}_Strategies + rollup H5:O18 + calc H65:K132</t>
        </is>
      </c>
    </row>
    <row r="24">
      <c r="A24" t="inlineStr">
        <is>
          <t>Tax_Ref</t>
        </is>
      </c>
      <c r="B24" t="inlineStr">
        <is>
          <t>Rate tables: FIT, LTCG, StdDed, Thresholds</t>
        </is>
      </c>
      <c r="C24" t="inlineStr">
        <is>
          <t>4 tables (B8:G573)</t>
        </is>
      </c>
    </row>
    <row r="25">
      <c r="A25" t="inlineStr">
        <is>
          <t>Treatment_Profile_Map</t>
        </is>
      </c>
      <c r="B25" t="inlineStr">
        <is>
          <t>Profile → SE/NIIT/QBI/Line/Helper mapping</t>
        </is>
      </c>
      <c r="C25" t="inlineStr">
        <is>
          <t>tblTreatmentProfileMap (A4:I38)</t>
        </is>
      </c>
    </row>
    <row r="26">
      <c r="A26" t="inlineStr">
        <is>
          <t>Plan_Settings</t>
        </is>
      </c>
      <c r="B26" t="inlineStr">
        <is>
          <t>Engagement config (year, client, filing status)</t>
        </is>
      </c>
      <c r="C26" t="inlineStr">
        <is>
          <t>Named ranges: Active_Year, Active_Client, Filing_Status</t>
        </is>
      </c>
    </row>
    <row r="27">
      <c r="A27" t="inlineStr">
        <is>
          <t>Pivot_Summary/Medium/Detailed/Helpers</t>
        </is>
      </c>
      <c r="B27" t="inlineStr">
        <is>
          <t>SUMIFS grids feeding named ranges</t>
        </is>
      </c>
      <c r="C27" t="inlineStr">
        <is>
          <t>DO NOT MODIFY</t>
        </is>
      </c>
    </row>
    <row r="28">
      <c r="A28" t="inlineStr">
        <is>
          <t>Visual_Pivot_*</t>
        </is>
      </c>
      <c r="B28" t="inlineStr">
        <is>
          <t>PivotTables feeding Pivot_GPD via GETPIVOTDATA</t>
        </is>
      </c>
      <c r="C28" t="inlineStr">
        <is>
          <t>4 pivot sheets</t>
        </is>
      </c>
    </row>
    <row r="30">
      <c r="A30" s="17" t="inlineStr">
        <is>
          <t>SECTION 4 — IMPORT WORKFLOW</t>
        </is>
      </c>
    </row>
    <row r="31">
      <c r="A31" t="inlineStr">
        <is>
          <t>1. Set extraction file paths in Section 1 above</t>
        </is>
      </c>
    </row>
    <row r="32">
      <c r="A32" t="inlineStr">
        <is>
          <t>2. Run import macro (VBA) or manually paste data</t>
        </is>
      </c>
    </row>
    <row r="33">
      <c r="A33" t="inlineStr">
        <is>
          <t>3. Classify rows using Treatment_Profile_Map</t>
        </is>
      </c>
    </row>
    <row r="34">
      <c r="A34" t="inlineStr">
        <is>
          <t>4. Verify via PY_Recon (baseline vs AsFiled)</t>
        </is>
      </c>
    </row>
    <row r="35">
      <c r="A35" t="inlineStr">
        <is>
          <t>5. Review year sheet calculators for tax impact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tabColor rgb="FFC00000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PROJECTION HISTORY — Track projection accuracy over time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>
      <c r="A2" t="inlineStr">
        <is>
          <t>Populated by year-end rollover. One row per (Year × Line). Compare against Pivot_Summary and year sheet calculators.</t>
        </is>
      </c>
    </row>
    <row r="4">
      <c r="A4" t="inlineStr">
        <is>
          <t>Year</t>
        </is>
      </c>
      <c r="B4" t="inlineStr">
        <is>
          <t>Line</t>
        </is>
      </c>
      <c r="C4" t="inlineStr">
        <is>
          <t>Description</t>
        </is>
      </c>
      <c r="D4" t="inlineStr">
        <is>
          <t>Projected (when made)</t>
        </is>
      </c>
      <c r="E4" t="inlineStr">
        <is>
          <t>Filed (actual)</t>
        </is>
      </c>
      <c r="F4" t="inlineStr">
        <is>
          <t>Variance $</t>
        </is>
      </c>
      <c r="G4" t="inlineStr">
        <is>
          <t>Variance %</t>
        </is>
      </c>
      <c r="H4" t="inlineStr">
        <is>
          <t>Accuracy Grade</t>
        </is>
      </c>
      <c r="I4" t="inlineStr">
        <is>
          <t>Notes</t>
        </is>
      </c>
    </row>
    <row r="12">
      <c r="A12" t="inlineStr">
        <is>
          <t>HOW TO USE THIS SHEET</t>
        </is>
      </c>
    </row>
    <row r="14">
      <c r="A14" t="inlineStr">
        <is>
          <t>1. The year-end rollover macro (modRollover.ExecuteRollover) automatically appends rows when TaxYear increments.</t>
        </is>
      </c>
    </row>
    <row r="15">
      <c r="A15" t="inlineStr">
        <is>
          <t>2. BEFORE incrementing TaxYear, the macro snapshots the current 'TaxYear+1 PROJECTION' column.</t>
        </is>
      </c>
    </row>
    <row r="16">
      <c r="A16" t="inlineStr">
        <is>
          <t>3. AFTER filing, the actual 'TaxYear Adjusted' values get written into the 'Filed' column.</t>
        </is>
      </c>
    </row>
    <row r="17">
      <c r="A17" t="inlineStr">
        <is>
          <t>4. The 'Variance' and 'Accuracy Grade' columns auto-calculate.</t>
        </is>
      </c>
    </row>
    <row r="18">
      <c r="A18" t="inlineStr">
        <is>
          <t>5. TAX_SUMMARY column 'PY Projected' uses XLOOKUP against this sheet to show prior-year projections.</t>
        </is>
      </c>
    </row>
    <row r="20">
      <c r="A20" t="inlineStr">
        <is>
          <t>ACCURACY GRADES</t>
        </is>
      </c>
    </row>
    <row r="21">
      <c r="A21" t="inlineStr">
        <is>
          <t xml:space="preserve">  A = within 5% of projection</t>
        </is>
      </c>
    </row>
    <row r="22">
      <c r="A22" t="inlineStr">
        <is>
          <t xml:space="preserve">  B = within 10%</t>
        </is>
      </c>
    </row>
    <row r="23">
      <c r="A23" t="inlineStr">
        <is>
          <t xml:space="preserve">  C = within 20%</t>
        </is>
      </c>
    </row>
    <row r="24">
      <c r="A24" t="inlineStr">
        <is>
          <t xml:space="preserve">  D = &gt; 20% variance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tabColor rgb="FF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CHANGE LOG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Track all changes made to inputs for audit trail</t>
        </is>
      </c>
    </row>
    <row r="4">
      <c r="A4" t="inlineStr">
        <is>
          <t>Timestamp</t>
        </is>
      </c>
      <c r="B4" t="inlineStr">
        <is>
          <t>User</t>
        </is>
      </c>
      <c r="C4" t="inlineStr">
        <is>
          <t>Sheet</t>
        </is>
      </c>
      <c r="D4" t="inlineStr">
        <is>
          <t>Cell</t>
        </is>
      </c>
      <c r="E4" t="inlineStr">
        <is>
          <t>Old Value</t>
        </is>
      </c>
      <c r="F4" t="inlineStr">
        <is>
          <t>New Value</t>
        </is>
      </c>
      <c r="G4" t="inlineStr">
        <is>
          <t>Notes</t>
        </is>
      </c>
    </row>
    <row r="5">
      <c r="A5" s="73" t="n"/>
      <c r="F5" s="72" t="n"/>
    </row>
    <row r="6">
      <c r="A6" s="73" t="n"/>
    </row>
    <row r="7">
      <c r="A7" s="73" t="n"/>
    </row>
    <row r="8">
      <c r="A8" s="73" t="n"/>
    </row>
    <row r="9">
      <c r="A9" s="73" t="n"/>
    </row>
    <row r="10">
      <c r="A10" s="73" t="n"/>
      <c r="F10" s="72" t="n"/>
    </row>
    <row r="11">
      <c r="A11" s="73" t="n"/>
    </row>
    <row r="12">
      <c r="A12" s="73" t="n"/>
    </row>
    <row r="13">
      <c r="A13" s="73" t="n"/>
    </row>
    <row r="14">
      <c r="A14" s="73" t="n"/>
    </row>
    <row r="15">
      <c r="A15" s="73" t="n"/>
    </row>
    <row r="16">
      <c r="A16" s="73" t="n"/>
    </row>
    <row r="17">
      <c r="A17" s="73" t="n"/>
    </row>
    <row r="18">
      <c r="A18" s="73" t="n"/>
      <c r="F18" s="100" t="n"/>
    </row>
    <row r="19">
      <c r="A19" s="73" t="n"/>
    </row>
    <row r="22" ht="15.5" customHeight="1" s="99">
      <c r="A22" s="49" t="n"/>
    </row>
    <row r="23">
      <c r="A23" s="70" t="n"/>
      <c r="B23" s="70" t="n"/>
      <c r="C23" s="70" t="n"/>
    </row>
    <row r="24">
      <c r="B24" s="71" t="n"/>
    </row>
    <row r="25">
      <c r="B25" s="71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tabColor rgb="FFC00000"/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4.5"/>
  <sheetData>
    <row r="1" ht="18.5" customHeight="1" s="99">
      <c r="A1" s="14" t="inlineStr">
        <is>
          <t>SETUP GUIDE — Master_Pivot_Framework</t>
        </is>
      </c>
      <c r="B1" s="29" t="n"/>
      <c r="C1" s="29" t="n"/>
      <c r="D1" s="29" t="n"/>
      <c r="E1" s="29" t="n"/>
    </row>
    <row r="2">
      <c r="A2" t="inlineStr">
        <is>
          <t>Quick reference for workbook architecture, data entry, and configuration.</t>
        </is>
      </c>
    </row>
    <row r="4">
      <c r="A4" s="17" t="inlineStr">
        <is>
          <t>1. GETTING STARTED</t>
        </is>
      </c>
    </row>
    <row r="5">
      <c r="A5" t="inlineStr">
        <is>
          <t>• Set Plan Year, Client, Filing Status in Plan_Settings (B6, B9, B13)</t>
        </is>
      </c>
    </row>
    <row r="6">
      <c r="A6" t="inlineStr">
        <is>
          <t>• These drive named ranges (Active_Year, Active_Client, Filing_Status) used throughout</t>
        </is>
      </c>
    </row>
    <row r="7">
      <c r="A7" t="inlineStr">
        <is>
          <t>• Strategy elections (S-Corp, SSTB, REPS, etc.) are also on Plan_Settings</t>
        </is>
      </c>
    </row>
    <row r="9">
      <c r="A9" s="17" t="inlineStr">
        <is>
          <t>2. DATA ENTRY</t>
        </is>
      </c>
    </row>
    <row r="10">
      <c r="A10" t="inlineStr">
        <is>
          <t>Master_Inputs (tblMaster_Inputs):</t>
        </is>
      </c>
    </row>
    <row r="11">
      <c r="A11" t="inlineStr">
        <is>
          <t xml:space="preserve">  • Each row = one income/deduction item from source documents</t>
        </is>
      </c>
    </row>
    <row r="12">
      <c r="A12" t="inlineStr">
        <is>
          <t xml:space="preserve">  • Column F: Treatment_Profile (maps to Treatment_Profile_Map for auto-classification)</t>
        </is>
      </c>
    </row>
    <row r="13">
      <c r="A13" t="inlineStr">
        <is>
          <t xml:space="preserve">  • Column K: Baseline_Amount (the dollar amount)</t>
        </is>
      </c>
    </row>
    <row r="14">
      <c r="A14" t="inlineStr">
        <is>
          <t xml:space="preserve">  • Column L-M: Helper_Amount + Helper_Treatment (for carve-outs: QUAL_DIV, TAX_EXEMPT, SEC1250)</t>
        </is>
      </c>
    </row>
    <row r="15">
      <c r="A15" t="inlineStr">
        <is>
          <t xml:space="preserve">  • Column N-P: SE_Subject, NIIT_Class, QBI_Eligible (tax classification)</t>
        </is>
      </c>
    </row>
    <row r="16">
      <c r="A16" t="inlineStr">
        <is>
          <t xml:space="preserve">  • Column Q: Primary_Line (1040 line: 1z, 2b, 3b, 7, 8, 10, 12)</t>
        </is>
      </c>
    </row>
    <row r="17">
      <c r="A17" t="inlineStr">
        <is>
          <t xml:space="preserve">  • See Input_Table_Mods sheet for full column documentation</t>
        </is>
      </c>
    </row>
    <row r="19">
      <c r="A19" t="inlineStr">
        <is>
          <t>AsFiled (tblAsFiled):</t>
        </is>
      </c>
    </row>
    <row r="20">
      <c r="A20" t="inlineStr">
        <is>
          <t xml:space="preserve">  • Filed return data for PY reconciliation</t>
        </is>
      </c>
    </row>
    <row r="21">
      <c r="A21" t="inlineStr">
        <is>
          <t xml:space="preserve">  • One section per year — use Year column filter</t>
        </is>
      </c>
    </row>
    <row r="22">
      <c r="A22" t="inlineStr">
        <is>
          <t xml:space="preserve">  • PY_Recon compares Master_Inputs baseline vs AsFiled via SUMIFS</t>
        </is>
      </c>
    </row>
    <row r="24">
      <c r="A24" s="17" t="inlineStr">
        <is>
          <t>3. YEAR SHEET SANDBOXES (Y2023-Y2028)</t>
        </is>
      </c>
    </row>
    <row r="25">
      <c r="A25" t="inlineStr">
        <is>
          <t xml:space="preserve">  • Each year sheet = independent planning sandbox</t>
        </is>
      </c>
    </row>
    <row r="26">
      <c r="A26" t="inlineStr">
        <is>
          <t xml:space="preserve">  • Strategies table (A5:F): add sandbox what-if strategies</t>
        </is>
      </c>
    </row>
    <row r="27">
      <c r="A27" t="inlineStr">
        <is>
          <t xml:space="preserve">  • Rollup (H5:O18): 1040 line summary with Baseline, PY?, Override, Strategies, Effective</t>
        </is>
      </c>
    </row>
    <row r="28">
      <c r="A28" t="inlineStr">
        <is>
          <t xml:space="preserve">  • Helpers (H22:K33): tax classification breakdowns (W2, SE, passive, etc.)</t>
        </is>
      </c>
    </row>
    <row r="29">
      <c r="A29" t="inlineStr">
        <is>
          <t xml:space="preserve">  • Tax Calc Inputs (H35:K46): derived values for calculator</t>
        </is>
      </c>
    </row>
    <row r="30">
      <c r="A30" t="inlineStr">
        <is>
          <t xml:space="preserve">  • 7-Calculator (H69:K132): SE, Payroll, Ordinary, Cap Gains, NIIT, QBI, Combined</t>
        </is>
      </c>
    </row>
    <row r="31">
      <c r="A31" t="inlineStr">
        <is>
          <t xml:space="preserve">  • Drill Detail (H48:O63): FILTER lookup into Master_Inputs by line</t>
        </is>
      </c>
    </row>
    <row r="33">
      <c r="A33" s="17" t="inlineStr">
        <is>
          <t>4. WORKFLOW: SANDBOX → COMMITTED</t>
        </is>
      </c>
    </row>
    <row r="34">
      <c r="A34" t="inlineStr">
        <is>
          <t xml:space="preserve">  • Year sheet strategies = sandbox (what-if modeling)</t>
        </is>
      </c>
    </row>
    <row r="35">
      <c r="A35" t="inlineStr">
        <is>
          <t xml:space="preserve">  • When decided, promote to Master_Inputs with Activity_Type='Strategy'</t>
        </is>
      </c>
    </row>
    <row r="36">
      <c r="A36" t="inlineStr">
        <is>
          <t xml:space="preserve">  • Master_Inputs strategies become the committed baseline</t>
        </is>
      </c>
    </row>
    <row r="38">
      <c r="A38" s="17" t="inlineStr">
        <is>
          <t>5. COLOR CODING</t>
        </is>
      </c>
    </row>
    <row r="39">
      <c r="A39" t="inlineStr">
        <is>
          <t xml:space="preserve">  • Blue text = input cells (enter data here)</t>
        </is>
      </c>
    </row>
    <row r="40">
      <c r="A40" t="inlineStr">
        <is>
          <t xml:space="preserve">  • Black text = formulas</t>
        </is>
      </c>
    </row>
    <row r="41">
      <c r="A41" t="inlineStr">
        <is>
          <t xml:space="preserve">  • Green text = cross-sheet references</t>
        </is>
      </c>
    </row>
    <row r="42">
      <c r="A42" t="inlineStr">
        <is>
          <t xml:space="preserve">  • Yellow highlight = key output / attention needed</t>
        </is>
      </c>
    </row>
    <row r="43">
      <c r="A43" s="17" t="n"/>
    </row>
    <row r="44">
      <c r="A44" t="inlineStr">
        <is>
          <t>6. TAB COLORS</t>
        </is>
      </c>
    </row>
    <row r="45">
      <c r="A45" t="inlineStr">
        <is>
          <t xml:space="preserve">  • Green tabs = Input/Config sheets</t>
        </is>
      </c>
    </row>
    <row r="46">
      <c r="A46" t="inlineStr">
        <is>
          <t xml:space="preserve">  • Blue tabs = Year sandboxes</t>
        </is>
      </c>
    </row>
    <row r="47">
      <c r="A47" t="inlineStr">
        <is>
          <t xml:space="preserve">  • Gold tabs = Dashboards/Reconciliation</t>
        </is>
      </c>
    </row>
    <row r="48">
      <c r="A48" t="inlineStr">
        <is>
          <t xml:space="preserve">  • Gray tabs = Pivot engine (DO NOT MODIFY)</t>
        </is>
      </c>
    </row>
    <row r="49">
      <c r="A49" t="inlineStr">
        <is>
          <t xml:space="preserve">  • Purple tabs = Visual pivot tables</t>
        </is>
      </c>
    </row>
    <row r="50">
      <c r="A50" s="17" t="inlineStr">
        <is>
          <t xml:space="preserve">  • Red tabs = Reference documentation</t>
        </is>
      </c>
    </row>
    <row r="52">
      <c r="A52" t="inlineStr">
        <is>
          <t>7. KEY NAMED RANGES</t>
        </is>
      </c>
    </row>
    <row r="53">
      <c r="A53" t="inlineStr">
        <is>
          <t xml:space="preserve">  • Active_Year → Plan_Settings!C6</t>
        </is>
      </c>
    </row>
    <row r="54">
      <c r="A54" t="inlineStr">
        <is>
          <t xml:space="preserve">  • Active_Client → Plan_Settings!C9</t>
        </is>
      </c>
    </row>
    <row r="55">
      <c r="A55" t="inlineStr">
        <is>
          <t xml:space="preserve">  • Filing_Status → Plan_Settings!C13</t>
        </is>
      </c>
    </row>
    <row r="56">
      <c r="A56" t="inlineStr">
        <is>
          <t xml:space="preserve">  • TaxableIncome, AGI, OrdIncome, MAGI, NII, etc. → Y2025 (active year sheet)</t>
        </is>
      </c>
    </row>
    <row r="57">
      <c r="A57" t="inlineStr">
        <is>
          <t xml:space="preserve">  • VP_* (13 ranges) → Pivot_GPD active year column</t>
        </is>
      </c>
    </row>
    <row r="60">
      <c r="A60" t="inlineStr">
        <is>
          <t>═══════════════════════════════════════════════════════</t>
        </is>
      </c>
    </row>
    <row r="61" ht="18.5" customHeight="1" s="99">
      <c r="A61" s="14" t="inlineStr">
        <is>
          <t>MASTER_INPUTS COLUMN SCHEMA — tblMaster_Inputs (A4:S)</t>
        </is>
      </c>
    </row>
    <row r="62">
      <c r="A62" t="inlineStr">
        <is>
          <t>Documents the current column structure of our Master_Inputs table.</t>
        </is>
      </c>
    </row>
    <row r="64">
      <c r="A64" t="inlineStr">
        <is>
          <t>Column</t>
        </is>
      </c>
      <c r="B64" t="inlineStr">
        <is>
          <t>Header</t>
        </is>
      </c>
      <c r="C64" t="inlineStr">
        <is>
          <t>Description</t>
        </is>
      </c>
    </row>
    <row r="65">
      <c r="A65" t="inlineStr">
        <is>
          <t>A</t>
        </is>
      </c>
      <c r="B65" t="inlineStr">
        <is>
          <t>InputID</t>
        </is>
      </c>
      <c r="C65" t="inlineStr">
        <is>
          <t>Unique row identifier (e.g., SAM|2025|Wages|01)</t>
        </is>
      </c>
    </row>
    <row r="66">
      <c r="A66" t="inlineStr">
        <is>
          <t>B</t>
        </is>
      </c>
      <c r="B66" t="inlineStr">
        <is>
          <t>Year</t>
        </is>
      </c>
      <c r="C66" t="inlineStr">
        <is>
          <t>Tax year this item belongs to (2023-2028)</t>
        </is>
      </c>
    </row>
    <row r="67">
      <c r="A67" t="inlineStr">
        <is>
          <t>C</t>
        </is>
      </c>
      <c r="B67" t="inlineStr">
        <is>
          <t>ClientID</t>
        </is>
      </c>
      <c r="C67" t="inlineStr">
        <is>
          <t>Client code (e.g., SAMPLE, CEDILLO)</t>
        </is>
      </c>
    </row>
    <row r="68">
      <c r="A68" t="inlineStr">
        <is>
          <t>D</t>
        </is>
      </c>
      <c r="B68" t="inlineStr">
        <is>
          <t>ClientName</t>
        </is>
      </c>
      <c r="C68" t="inlineStr">
        <is>
          <t>Full client name</t>
        </is>
      </c>
    </row>
    <row r="69">
      <c r="A69" t="inlineStr">
        <is>
          <t>E</t>
        </is>
      </c>
      <c r="B69" t="inlineStr">
        <is>
          <t>Bucket</t>
        </is>
      </c>
      <c r="C69" t="inlineStr">
        <is>
          <t>Income category: Wages, Business Income, Investment Income, Capital Gains, Adjustment, Itemized, Credit, Payment</t>
        </is>
      </c>
    </row>
    <row r="70">
      <c r="A70" t="inlineStr">
        <is>
          <t>F</t>
        </is>
      </c>
      <c r="B70" t="inlineStr">
        <is>
          <t>Treatment_Profile</t>
        </is>
      </c>
      <c r="C70" t="inlineStr">
        <is>
          <t>Specific tax treatment (e.g., W2_SCorpOwner, K1_SCorp_Active, LTCG_Stock). Maps to Treatment_Profile_Map.</t>
        </is>
      </c>
    </row>
    <row r="71">
      <c r="A71" t="inlineStr">
        <is>
          <t>G</t>
        </is>
      </c>
      <c r="B71" t="inlineStr">
        <is>
          <t>Source_Document</t>
        </is>
      </c>
      <c r="C71" t="inlineStr">
        <is>
          <t>Document type (W-2, K-1, 1099, etc.)</t>
        </is>
      </c>
    </row>
    <row r="72">
      <c r="A72" t="inlineStr">
        <is>
          <t>H</t>
        </is>
      </c>
      <c r="B72" t="inlineStr">
        <is>
          <t>Activity_Type</t>
        </is>
      </c>
      <c r="C72" t="inlineStr">
        <is>
          <t>Baseline or Strategy</t>
        </is>
      </c>
    </row>
    <row r="73">
      <c r="A73" t="inlineStr">
        <is>
          <t>I</t>
        </is>
      </c>
      <c r="B73" t="inlineStr">
        <is>
          <t>Provenance</t>
        </is>
      </c>
      <c r="C73" t="inlineStr">
        <is>
          <t>Data source (Estimate, Filed Return, QB Export, etc.)</t>
        </is>
      </c>
    </row>
    <row r="74">
      <c r="A74" t="inlineStr">
        <is>
          <t>J</t>
        </is>
      </c>
      <c r="B74" t="inlineStr">
        <is>
          <t>Payor</t>
        </is>
      </c>
      <c r="C74" t="inlineStr">
        <is>
          <t>Entity/payor name</t>
        </is>
      </c>
    </row>
    <row r="75">
      <c r="A75" t="inlineStr">
        <is>
          <t>K</t>
        </is>
      </c>
      <c r="B75" t="inlineStr">
        <is>
          <t>Baseline_Amount</t>
        </is>
      </c>
      <c r="C75" t="inlineStr">
        <is>
          <t>Dollar amount for this item</t>
        </is>
      </c>
    </row>
    <row r="76">
      <c r="A76" t="inlineStr">
        <is>
          <t>L</t>
        </is>
      </c>
      <c r="B76" t="inlineStr">
        <is>
          <t>Helper_Amount</t>
        </is>
      </c>
      <c r="C76" t="inlineStr">
        <is>
          <t>Sub-amount for carve-outs (qualified div portion, tax-exempt portion, etc.)</t>
        </is>
      </c>
    </row>
    <row r="77">
      <c r="A77" t="inlineStr">
        <is>
          <t>M</t>
        </is>
      </c>
      <c r="B77" t="inlineStr">
        <is>
          <t>Helper_Treatment</t>
        </is>
      </c>
      <c r="C77" t="inlineStr">
        <is>
          <t>Carve-out type: QUAL_DIV, TAX_EXEMPT, SEC1250, OWNER_PAY, etc.</t>
        </is>
      </c>
    </row>
    <row r="78">
      <c r="A78" t="inlineStr">
        <is>
          <t>N</t>
        </is>
      </c>
      <c r="B78" t="inlineStr">
        <is>
          <t>SE_Subject</t>
        </is>
      </c>
      <c r="C78" t="inlineStr">
        <is>
          <t>Yes/No — subject to self-employment tax</t>
        </is>
      </c>
    </row>
    <row r="79">
      <c r="A79" t="inlineStr">
        <is>
          <t>O</t>
        </is>
      </c>
      <c r="B79" t="inlineStr">
        <is>
          <t>NIIT_Class</t>
        </is>
      </c>
      <c r="C79" t="inlineStr">
        <is>
          <t>Active/Passive/Portfolio/N/A — for NIIT and PAL classification</t>
        </is>
      </c>
    </row>
    <row r="80">
      <c r="A80" t="inlineStr">
        <is>
          <t>P</t>
        </is>
      </c>
      <c r="B80" t="inlineStr">
        <is>
          <t>QBI_Eligible</t>
        </is>
      </c>
      <c r="C80" t="inlineStr">
        <is>
          <t>Yes/No — eligible for §199A QBI deduction</t>
        </is>
      </c>
    </row>
    <row r="81">
      <c r="A81" t="inlineStr">
        <is>
          <t>Q</t>
        </is>
      </c>
      <c r="B81" t="inlineStr">
        <is>
          <t>Primary_Line</t>
        </is>
      </c>
      <c r="C81" t="inlineStr">
        <is>
          <t>Form 1040 line number (1z, 2b, 3b, 7, 8, 10, 12, etc.)</t>
        </is>
      </c>
    </row>
    <row r="82">
      <c r="A82" t="inlineStr">
        <is>
          <t>R</t>
        </is>
      </c>
      <c r="B82" t="inlineStr">
        <is>
          <t>Consider</t>
        </is>
      </c>
      <c r="C82" t="inlineStr">
        <is>
          <t>Prompt for preparer review</t>
        </is>
      </c>
    </row>
    <row r="83">
      <c r="A83" t="inlineStr">
        <is>
          <t>S</t>
        </is>
      </c>
      <c r="B83" t="inlineStr">
        <is>
          <t>Notes</t>
        </is>
      </c>
      <c r="C83" t="inlineStr">
        <is>
          <t>Free-text notes</t>
        </is>
      </c>
    </row>
    <row r="86">
      <c r="A86" t="inlineStr">
        <is>
          <t>═══════════════════════════════════════════════════════</t>
        </is>
      </c>
    </row>
    <row r="87" ht="18.5" customHeight="1" s="99">
      <c r="A87" s="14" t="inlineStr">
        <is>
          <t>LAMBDA FUNCTION DEFINITIONS — Adapted for Master_Pivot_Framework</t>
        </is>
      </c>
    </row>
    <row r="88">
      <c r="A88" t="inlineStr">
        <is>
          <t>Define in Name Manager (Ctrl+F3 → New). Formulas reference tblBrackets_FIT, tblBrackets_LTCG, tblThresholds on Tax_Ref sheet.</t>
        </is>
      </c>
    </row>
    <row r="90">
      <c r="A90" t="inlineStr">
        <is>
          <t>Name</t>
        </is>
      </c>
      <c r="B90" t="inlineStr">
        <is>
          <t>Description</t>
        </is>
      </c>
      <c r="C90" t="inlineStr">
        <is>
          <t>Parameters</t>
        </is>
      </c>
    </row>
    <row r="91">
      <c r="A91" t="inlineStr">
        <is>
          <t>Calc_OrdinaryTax</t>
        </is>
      </c>
      <c r="B91" t="inlineStr">
        <is>
          <t>Progressive bracket tax on ordinary income (uses tblBrackets_FIT via SUMPRODUCT)</t>
        </is>
      </c>
      <c r="C91" t="inlineStr">
        <is>
          <t>taxable_income, filing_status, tax_year</t>
        </is>
      </c>
    </row>
    <row r="92">
      <c r="B92" t="inlineStr">
        <is>
      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      </is>
      </c>
    </row>
    <row r="93">
      <c r="B93" t="inlineStr">
        <is>
          <t>NOTE: tblBrackets_FIT structured refs fail in cross-sheet SUMPRODUCT. Year sheets use direct cell refs (Tax_Ref!$B$9:$B$176 etc.) instead.</t>
        </is>
      </c>
    </row>
    <row r="95">
      <c r="A95" t="inlineStr">
        <is>
          <t>Calc_CapGainsTax</t>
        </is>
      </c>
      <c r="B95" t="inlineStr">
        <is>
          <t>LTCG/QD tax with stacking on ordinary income (uses tblBrackets_LTCG)</t>
        </is>
      </c>
      <c r="C95" t="inlineStr">
        <is>
          <t>cap_gains, ord_income, filing_status, tax_year</t>
        </is>
      </c>
    </row>
    <row r="96">
      <c r="B96" t="inlineStr">
        <is>
          <t>Stacking method: compute CG-rate tax on (ord+CG), subtract CG-rate tax on (ord). Delta = incremental CG tax.</t>
        </is>
      </c>
    </row>
    <row r="97">
      <c r="B97" t="inlineStr">
        <is>
          <t>Year sheets use direct refs: Tax_Ref!$B$210:$B$281 (Year), $C$ (FS), $D$ (Lower), $E$ (Upper), $F$ (Rate)</t>
        </is>
      </c>
    </row>
    <row r="99">
      <c r="A99" t="inlineStr">
        <is>
          <t>Calc_1250Tax</t>
        </is>
      </c>
      <c r="B99" t="inlineStr">
        <is>
          <t>Sec 1250 unrecaptured gain tax at 25% max rate</t>
        </is>
      </c>
      <c r="C99" t="inlineStr">
        <is>
          <t>sec1250_gain</t>
        </is>
      </c>
    </row>
    <row r="100">
      <c r="B100" t="inlineStr">
        <is>
          <t>Formula: =sec1250_gain * 0.25</t>
        </is>
      </c>
    </row>
    <row r="102">
      <c r="A102" t="inlineStr">
        <is>
          <t>Calc_SE_Tax</t>
        </is>
      </c>
      <c r="B102" t="inlineStr">
        <is>
          <t>Self-employment tax with W-2 wage interaction</t>
        </is>
      </c>
      <c r="C102" t="inlineStr">
        <is>
          <t>se_income, w2_wages, filing_status, tax_year</t>
        </is>
      </c>
    </row>
    <row r="103">
      <c r="B103" t="inlineStr">
        <is>
          <t>Uses tblThresholds for: SS_Wage_Base, SS_Rate_Combined, Medicare_Rate_Combined, Addl_Medicare_Threshold, Addl_Medicare_Rate, SE_Earnings_Factor</t>
        </is>
      </c>
    </row>
    <row r="104">
      <c r="B104" t="inlineStr">
        <is>
          <t>SE Base = se_income × SE_Earnings_Factor. SS portion capped at (SS_Wage_Base - w2_wages). Medicare uncapped.</t>
        </is>
      </c>
    </row>
    <row r="106">
      <c r="A106" t="inlineStr">
        <is>
          <t>Calc_NIIT</t>
        </is>
      </c>
      <c r="B106" t="inlineStr">
        <is>
          <t>Net Investment Income Tax (3.8%)</t>
        </is>
      </c>
      <c r="C106" t="inlineStr">
        <is>
          <t>magi, nii, filing_status, tax_year</t>
        </is>
      </c>
    </row>
    <row r="107">
      <c r="B107" t="inlineStr">
        <is>
          <t>Formula: =MIN(MAX(0,nii), MAX(0,magi-NIIT_Threshold)) × NIIT_Rate</t>
        </is>
      </c>
    </row>
    <row r="108">
      <c r="B108" t="inlineStr">
        <is>
          <t>Uses tblThresholds for NIIT_Threshold ($250K MFJ, $200K Single) and NIIT_Rate (0.038)</t>
        </is>
      </c>
    </row>
    <row r="110">
      <c r="A110" t="inlineStr">
        <is>
          <t>Calc_QBI_Simple</t>
        </is>
      </c>
      <c r="B110" t="inlineStr">
        <is>
          <t>Simplified QBI deduction (20%)</t>
        </is>
      </c>
      <c r="C110" t="inlineStr">
        <is>
          <t>qbi_income, taxable_income, filing_status, tax_year, is_sstb, w2_wages, ubia</t>
        </is>
      </c>
    </row>
    <row r="111">
      <c r="B111" t="inlineStr">
        <is>
          <t>If below QBI_Threshold_Start: MIN(QBI×20%, TI×20%). If above: MIN(QBI×20%, TI×20%, W2/UBIA limit). SSTB above QBI_Threshold_End: $0.</t>
        </is>
      </c>
    </row>
    <row r="112">
      <c r="B112" t="inlineStr">
        <is>
          <t>Uses tblThresholds for QBI_Threshold_Start, QBI_Threshold_End</t>
        </is>
      </c>
    </row>
    <row r="114">
      <c r="A114" t="inlineStr">
        <is>
          <t>HOW TO DEPLOY: Formulas → Name Manager → New → paste formula. Year sheets already compute these inline via SUMPRODUCT + cell math (hybrid approach).</t>
        </is>
      </c>
    </row>
    <row r="117">
      <c r="A117" t="inlineStr">
        <is>
          <t>═══════════════════════════════════════════════════════</t>
        </is>
      </c>
    </row>
    <row r="118" ht="18.5" customHeight="1" s="99">
      <c r="A118" s="68" t="inlineStr">
        <is>
          <t>⚠️ VBA MACRO REFERENCE — FROM V3 PRODUCTION WORKBOOK</t>
        </is>
      </c>
    </row>
    <row r="119">
      <c r="A119" s="63" t="inlineStr">
        <is>
          <t>DISCLAIMER: Column references below (I:AM) match the v3 Master_Inputs schema, NOT our current schema (A:S). Adapt before using.</t>
        </is>
      </c>
    </row>
    <row r="121">
      <c r="A121" t="inlineStr">
        <is>
          <t>Copy this code into VBA Editor (Alt+F11)</t>
        </is>
      </c>
    </row>
    <row r="123">
      <c r="A123" t="inlineStr">
        <is>
          <t>TRACKING COLUMNS (Auto-updated by the Worksheet_Change event):</t>
        </is>
      </c>
    </row>
    <row r="124">
      <c r="A124" t="inlineStr">
        <is>
          <t xml:space="preserve">  Column E: Update_Date - Date/time of last change to that row</t>
        </is>
      </c>
    </row>
    <row r="125">
      <c r="A125" t="inlineStr">
        <is>
          <t xml:space="preserve">  Column F: Updated_By - Username who made the change  </t>
        </is>
      </c>
    </row>
    <row r="126">
      <c r="A126" t="inlineStr">
        <is>
          <t xml:space="preserve">  Column G: Prior_Value - Value before the change was made</t>
        </is>
      </c>
    </row>
    <row r="128">
      <c r="A128" t="inlineStr">
        <is>
          <t>Change_Log sheet columns (auto-populated):</t>
        </is>
      </c>
    </row>
    <row r="129">
      <c r="A129" t="inlineStr">
        <is>
          <t xml:space="preserve">  A: Timestamp  B: User  C: Sheet  D: Cell  E: Old Value  F: New Value  G: Notes</t>
        </is>
      </c>
    </row>
    <row r="132">
      <c r="A132" t="inlineStr">
        <is>
          <t>SECTION 1: ThisWorkbook MODULE</t>
        </is>
      </c>
    </row>
    <row r="134">
      <c r="A134" t="inlineStr">
        <is>
          <t>Right-click "ThisWorkbook" in VBA Project Explorer and View Code.</t>
        </is>
      </c>
    </row>
    <row r="135">
      <c r="A135" t="inlineStr">
        <is>
          <t>Paste this code:</t>
        </is>
      </c>
    </row>
    <row r="137">
      <c r="A137" t="inlineStr">
        <is>
          <t>Private Sub Workbook_Open()</t>
        </is>
      </c>
    </row>
    <row r="138">
      <c r="A138" t="inlineStr">
        <is>
          <t xml:space="preserve">    Dim ws As Worksheet</t>
        </is>
      </c>
    </row>
    <row r="139">
      <c r="A139" t="inlineStr">
        <is>
          <t xml:space="preserve">    On Error Resume Next</t>
        </is>
      </c>
    </row>
    <row r="140">
      <c r="A140" t="inlineStr">
        <is>
          <t xml:space="preserve">    Set ws = ThisWorkbook.Sheets("Field_Mapping")</t>
        </is>
      </c>
    </row>
    <row r="141">
      <c r="A141" t="inlineStr">
        <is>
          <t xml:space="preserve">    If ws Is Nothing Then</t>
        </is>
      </c>
    </row>
    <row r="142">
      <c r="A142" t="inlineStr">
        <is>
          <t xml:space="preserve">        MsgBox "Warning: Field_Mapping sheet not found.", vbExclamation</t>
        </is>
      </c>
    </row>
    <row r="143">
      <c r="A143" t="inlineStr">
        <is>
          <t xml:space="preserve">    End If</t>
        </is>
      </c>
    </row>
    <row r="144">
      <c r="A144" t="inlineStr">
        <is>
          <t xml:space="preserve">    On Error GoTo 0</t>
        </is>
      </c>
    </row>
    <row r="145">
      <c r="A145" t="inlineStr">
        <is>
          <t xml:space="preserve">    Application.Calculation = xlCalculationAutomatic</t>
        </is>
      </c>
    </row>
    <row r="146">
      <c r="A146" t="inlineStr">
        <is>
          <t>End Sub</t>
        </is>
      </c>
    </row>
    <row r="149">
      <c r="A149" t="inlineStr">
        <is>
          <t>SECTION 2: Master_Inputs SHEET MODULE</t>
        </is>
      </c>
    </row>
    <row r="151">
      <c r="A151" t="inlineStr">
        <is>
          <t>Right-click "Master_Inputs" sheet tab and select View Code.</t>
        </is>
      </c>
    </row>
    <row r="152">
      <c r="A152" t="inlineStr">
        <is>
          <t>Paste ALL of this code:</t>
        </is>
      </c>
    </row>
    <row r="154">
      <c r="A154" t="inlineStr">
        <is>
          <t>Option Explicit</t>
        </is>
      </c>
    </row>
    <row r="155">
      <c r="A155" t="inlineStr">
        <is>
          <t>Private mPriorValue As Variant</t>
        </is>
      </c>
    </row>
    <row r="156">
      <c r="A156" t="inlineStr">
        <is>
          <t>Private mPriorCell As String</t>
        </is>
      </c>
    </row>
    <row r="158">
      <c r="A158" t="inlineStr">
        <is>
          <t>Private Sub Worksheet_SelectionChange(ByVal Target As Range)</t>
        </is>
      </c>
    </row>
    <row r="159">
      <c r="A159" t="inlineStr">
        <is>
          <t xml:space="preserve">    ' Capture prior value BEFORE user makes changes</t>
        </is>
      </c>
    </row>
    <row r="160">
      <c r="A160" t="inlineStr">
        <is>
          <t xml:space="preserve">    If Target.Cells.Count = 1 And Target.Row &gt;= 4 Then</t>
        </is>
      </c>
    </row>
    <row r="161">
      <c r="A161" t="inlineStr">
        <is>
          <t xml:space="preserve">        mPriorValue = Target.Value</t>
        </is>
      </c>
    </row>
    <row r="162">
      <c r="A162" t="inlineStr">
        <is>
          <t xml:space="preserve">        mPriorCell = Target.Address</t>
        </is>
      </c>
    </row>
    <row r="163">
      <c r="A163" t="inlineStr">
        <is>
          <t xml:space="preserve">    End If</t>
        </is>
      </c>
    </row>
    <row r="165">
      <c r="A165" t="inlineStr">
        <is>
          <t xml:space="preserve">    ' Show field info in status bar</t>
        </is>
      </c>
    </row>
    <row r="166">
      <c r="A166" t="inlineStr">
        <is>
          <t xml:space="preserve">    Dim inputRange As Range</t>
        </is>
      </c>
    </row>
    <row r="167">
      <c r="A167" t="inlineStr">
        <is>
          <t xml:space="preserve">    Set inputRange = Me.Range("R:AM")</t>
        </is>
      </c>
    </row>
    <row r="168">
      <c r="A168" t="inlineStr">
        <is>
          <t xml:space="preserve">    If Intersect(Target, inputRange) Is Nothing Then</t>
        </is>
      </c>
    </row>
    <row r="169">
      <c r="A169" t="inlineStr">
        <is>
          <t xml:space="preserve">        Application.StatusBar = False</t>
        </is>
      </c>
    </row>
    <row r="170">
      <c r="A170" t="inlineStr">
        <is>
          <t xml:space="preserve">        Exit Sub</t>
        </is>
      </c>
    </row>
    <row r="171">
      <c r="A171" t="inlineStr">
        <is>
          <t xml:space="preserve">    End If</t>
        </is>
      </c>
    </row>
    <row r="173">
      <c r="A173" t="inlineStr">
        <is>
          <t xml:space="preserve">    If Target.Row &lt; 4 Or Target.Cells.Count &gt; 1 Then Exit Sub</t>
        </is>
      </c>
    </row>
    <row r="175">
      <c r="A175" t="inlineStr">
        <is>
          <t xml:space="preserve">    Dim inputType As String, sourceType As String</t>
        </is>
      </c>
    </row>
    <row r="176">
      <c r="A176" t="inlineStr">
        <is>
          <t xml:space="preserve">    inputType = Me.Cells(Target.Row, "I").Value</t>
        </is>
      </c>
    </row>
    <row r="177">
      <c r="A177" t="inlineStr">
        <is>
          <t xml:space="preserve">    sourceType = Me.Cells(Target.Row, "K").Value</t>
        </is>
      </c>
    </row>
    <row r="179">
      <c r="A179" t="inlineStr">
        <is>
          <t xml:space="preserve">    If inputType = "" Then</t>
        </is>
      </c>
    </row>
    <row r="180">
      <c r="A180" t="inlineStr">
        <is>
          <t xml:space="preserve">        Application.StatusBar = "Select Input Type and Source Type first"</t>
        </is>
      </c>
    </row>
    <row r="181">
      <c r="A181" t="inlineStr">
        <is>
          <t xml:space="preserve">    Else</t>
        </is>
      </c>
    </row>
    <row r="182">
      <c r="A182" t="inlineStr">
        <is>
          <t xml:space="preserve">        Application.StatusBar = Me.Cells(3, Target.Column).Value &amp; " | " &amp; inputType &amp; " | " &amp; sourceType</t>
        </is>
      </c>
    </row>
    <row r="183">
      <c r="A183" t="inlineStr">
        <is>
          <t xml:space="preserve">    End If</t>
        </is>
      </c>
    </row>
    <row r="184">
      <c r="A184" t="inlineStr">
        <is>
          <t>End Sub</t>
        </is>
      </c>
    </row>
    <row r="186">
      <c r="A186" t="inlineStr">
        <is>
          <t>Private Sub Worksheet_Change(ByVal Target As Range)</t>
        </is>
      </c>
    </row>
    <row r="187">
      <c r="A187" t="inlineStr">
        <is>
          <t xml:space="preserve">    ' MAIN CHANGE HANDLER - Updates tracking columns and logs changes</t>
        </is>
      </c>
    </row>
    <row r="188">
      <c r="A188" t="inlineStr">
        <is>
          <t xml:space="preserve">    Dim dataRange As Range, cell As Range</t>
        </is>
      </c>
    </row>
    <row r="189">
      <c r="A189" t="inlineStr">
        <is>
          <t xml:space="preserve">    Dim logSheet As Worksheet</t>
        </is>
      </c>
    </row>
    <row r="190">
      <c r="A190" t="inlineStr">
        <is>
          <t xml:space="preserve">    Dim logRow As Long</t>
        </is>
      </c>
    </row>
    <row r="191">
      <c r="A191" t="inlineStr">
        <is>
          <t xml:space="preserve">    Dim oldValue As Variant</t>
        </is>
      </c>
    </row>
    <row r="193">
      <c r="A193" t="inlineStr">
        <is>
          <t xml:space="preserve">    ' Only track changes in data area (columns I onwards, row 4+)</t>
        </is>
      </c>
    </row>
    <row r="194">
      <c r="A194" t="inlineStr">
        <is>
          <t xml:space="preserve">    Set dataRange = Me.Range("I:AM")</t>
        </is>
      </c>
    </row>
    <row r="195">
      <c r="A195" t="inlineStr">
        <is>
          <t xml:space="preserve">    If Intersect(Target, dataRange) Is Nothing Then Exit Sub</t>
        </is>
      </c>
    </row>
    <row r="196">
      <c r="A196" t="inlineStr">
        <is>
          <t xml:space="preserve">    If Target.Row &lt; 4 Then Exit Sub</t>
        </is>
      </c>
    </row>
    <row r="198">
      <c r="A198" t="inlineStr">
        <is>
          <t xml:space="preserve">    Application.EnableEvents = False</t>
        </is>
      </c>
    </row>
    <row r="199">
      <c r="A199" t="inlineStr">
        <is>
          <t xml:space="preserve">    On Error GoTo CleanExit</t>
        </is>
      </c>
    </row>
    <row r="201">
      <c r="A201" t="inlineStr">
        <is>
          <t xml:space="preserve">    ' Get Change_Log sheet</t>
        </is>
      </c>
    </row>
    <row r="202">
      <c r="A202" t="inlineStr">
        <is>
          <t xml:space="preserve">    On Error Resume Next</t>
        </is>
      </c>
    </row>
    <row r="203">
      <c r="A203" t="inlineStr">
        <is>
          <t xml:space="preserve">    Set logSheet = ThisWorkbook.Sheets("Change_Log")</t>
        </is>
      </c>
    </row>
    <row r="204">
      <c r="A204" t="inlineStr">
        <is>
          <t xml:space="preserve">    On Error GoTo 0</t>
        </is>
      </c>
    </row>
    <row r="206">
      <c r="A206" t="inlineStr">
        <is>
          <t xml:space="preserve">    For Each cell In Intersect(Target, dataRange)</t>
        </is>
      </c>
    </row>
    <row r="207">
      <c r="A207" t="inlineStr">
        <is>
          <t xml:space="preserve">        If cell.Row &gt;= 4 Then</t>
        </is>
      </c>
    </row>
    <row r="208">
      <c r="A208" t="inlineStr">
        <is>
          <t xml:space="preserve">            ' Get captured prior value</t>
        </is>
      </c>
    </row>
    <row r="209">
      <c r="A209" t="inlineStr">
        <is>
          <t xml:space="preserve">            If mPriorCell = cell.Address Then</t>
        </is>
      </c>
    </row>
    <row r="210">
      <c r="A210" t="inlineStr">
        <is>
          <t xml:space="preserve">                oldValue = mPriorValue</t>
        </is>
      </c>
    </row>
    <row r="211">
      <c r="A211" t="inlineStr">
        <is>
          <t xml:space="preserve">            Else</t>
        </is>
      </c>
    </row>
    <row r="212">
      <c r="A212" t="inlineStr">
        <is>
          <t xml:space="preserve">                oldValue = ""</t>
        </is>
      </c>
    </row>
    <row r="213">
      <c r="A213" t="inlineStr">
        <is>
          <t xml:space="preserve">            End If</t>
        </is>
      </c>
    </row>
    <row r="215">
      <c r="A215" t="inlineStr">
        <is>
          <t xml:space="preserve">            ' UPDATE TRACKING COLUMNS</t>
        </is>
      </c>
    </row>
    <row r="216">
      <c r="A216" t="inlineStr">
        <is>
          <t xml:space="preserve">            ' Column E: Update_Date</t>
        </is>
      </c>
    </row>
    <row r="217">
      <c r="A217" t="inlineStr">
        <is>
          <t xml:space="preserve">            Me.Cells(cell.Row, "E").Value = Now()</t>
        </is>
      </c>
    </row>
    <row r="220">
      <c r="A220" t="inlineStr">
        <is>
          <t>═══════════════════════════════════════════════════════</t>
        </is>
      </c>
    </row>
    <row r="221" ht="18.5" customHeight="1" s="99">
      <c r="A221" s="15" t="inlineStr">
        <is>
          <t>STRATEGY ARCHITECTURE</t>
        </is>
      </c>
    </row>
    <row r="223">
      <c r="A223" t="inlineStr">
        <is>
          <t>SINGLE SOURCE OF TRUTH: tblMaster_Inputs (Master_Inputs sheet)</t>
        </is>
      </c>
    </row>
    <row r="224">
      <c r="A224" t="inlineStr">
        <is>
          <t>Activity_Type column distinguishes Baseline from Strategy rows.</t>
        </is>
      </c>
    </row>
    <row r="226">
      <c r="A226" t="inlineStr">
        <is>
          <t>DATA FLOW:</t>
        </is>
      </c>
    </row>
    <row r="227">
      <c r="A227" t="inlineStr">
        <is>
          <t xml:space="preserve">  Master_Inputs (Activity_Type=Baseline) → Year sheet J column (Baseline amounts)</t>
        </is>
      </c>
    </row>
    <row r="228">
      <c r="A228" t="inlineStr">
        <is>
          <t xml:space="preserve">  Master_Inputs (Activity_Type=Strategy) → Year sheet M column (Strategy impacts)</t>
        </is>
      </c>
    </row>
    <row r="229">
      <c r="A229" t="inlineStr">
        <is>
          <t xml:space="preserve">  J + M → Year sheet N column (Effective = Baseline + Strategies)</t>
        </is>
      </c>
    </row>
    <row r="230">
      <c r="A230" t="inlineStr">
        <is>
          <t xml:space="preserve">  N column → 7-Calculator, Helpers, Tax Calc Inputs</t>
        </is>
      </c>
    </row>
    <row r="231">
      <c r="A231" t="inlineStr">
        <is>
          <t xml:space="preserve">  tblMaster_Inputs → Pivots, Dashboards (sees both Baseline and Strategy)</t>
        </is>
      </c>
    </row>
    <row r="233">
      <c r="A233" t="inlineStr">
        <is>
          <t>MULTI-LINE STRATEGIES:</t>
        </is>
      </c>
    </row>
    <row r="234">
      <c r="A234" t="inlineStr">
        <is>
          <t xml:space="preserve">  Strategies that affect multiple 1040 lines get multiple rows in Master_Inputs.</t>
        </is>
      </c>
    </row>
    <row r="235">
      <c r="A235" t="inlineStr">
        <is>
          <t xml:space="preserve">  Example: S-Corp Wage Optimization</t>
        </is>
      </c>
    </row>
    <row r="236">
      <c r="A236" t="inlineStr">
        <is>
          <t xml:space="preserve">    Row 1: Activity_Type=Strategy, Primary_Line=1z, Amount=-25000 (reduce W-2)</t>
        </is>
      </c>
    </row>
    <row r="237">
      <c r="A237" t="inlineStr">
        <is>
          <t xml:space="preserve">    Row 2: Activity_Type=Strategy, Primary_Line=8, Amount=+25000 (increase K-1)</t>
        </is>
      </c>
    </row>
    <row r="238">
      <c r="A238" t="inlineStr">
        <is>
          <t xml:space="preserve">  The net tax impact is calculated by the year sheet 7-calculator.</t>
        </is>
      </c>
    </row>
    <row r="240">
      <c r="A240" t="inlineStr">
        <is>
          <t>YEAR SHEET STRATEGY VIEW (A5:D10):</t>
        </is>
      </c>
    </row>
    <row r="241">
      <c r="A241" t="inlineStr">
        <is>
          <t xml:space="preserve">  Read-only summary pulled from Master_Inputs via INDEX formulas.</t>
        </is>
      </c>
    </row>
    <row r="242">
      <c r="A242" t="inlineStr">
        <is>
          <t xml:space="preserve">  Shows count, net impact, and first 4 strategy line items for that year.</t>
        </is>
      </c>
    </row>
    <row r="243">
      <c r="A243" t="inlineStr">
        <is>
          <t xml:space="preserve">  To add/edit strategies, go to Master_Inputs.</t>
        </is>
      </c>
    </row>
    <row r="245">
      <c r="A245" t="inlineStr">
        <is>
          <t>PROPERTY/ENTITY TRACKING:</t>
        </is>
      </c>
    </row>
    <row r="246">
      <c r="A246" t="inlineStr">
        <is>
          <t xml:space="preserve">  Use the Payor column for property addresses (cost seg, rental) or entity names.</t>
        </is>
      </c>
    </row>
    <row r="247">
      <c r="A247" t="inlineStr">
        <is>
          <t xml:space="preserve">  This feeds Visual_Pivot_ByPayor for per-property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2026-05-19T15:47:59Z</dcterms:modified>
  <cp:lastModifiedBy>Seth Johnson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156bfd61-5fca-4d93-adea-b344b9a60064</vt:lpwstr>
  </property>
</Properties>
</file>
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5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Master_Strategies" sheetId="25" state="visible" r:id="rId25"/>
    <sheet name="Glossary" sheetId="26" state="visible" r:id="rId26"/>
    <sheet name="Carryovers" sheetId="27" state="visible" r:id="rId27"/>
    <sheet name="Property_Appendix" sheetId="28" state="visible" r:id="rId28"/>
    <sheet name="Questionnaire" sheetId="29" state="visible" r:id="rId29"/>
    <sheet name="Connections" sheetId="30" state="visible" r:id="rId30"/>
    <sheet name="Projection_History" sheetId="31" state="visible" r:id="rId31"/>
    <sheet name="Change_Log" sheetId="32" state="visible" r:id="rId32"/>
    <sheet name="Setup_Guide" sheetId="33" state="visible" r:id="rId33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  <definedName name="TAX_ORD">_xlfn.LAMBDA(taxable_income,year,fs,_xlfn.LET(rows,_xlfn._xlws.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definedName>
    <definedName name="TAX_CG">_xlfn.LAMBDA(cg_amount,taxable_income,year,fs,_xlfn.LET(rows,_xlfn._xlws.FILTER(tblBrackets_LTCG,(tblBrackets_LTCG[Year]=year)*(tblBrackets_LTCG[FilingStatus]=fs)*(tblBrackets_LTCG[Lower]&lt;=taxable_income)*(tblBrackets_LTCG[Upper]&gt;taxable_income)),rate,INDEX(rows,1,5),cg_amount*rate))</definedName>
    <definedName name="TAX_NIIT">_xlfn.LAMBDA(net_inv_income,magi,fs,year,_xlfn.LET(threshold,INDEX(_xlfn._xlws.FILTER(tblThresholds[Value],(tblThresholds[Item]="NIIT_Threshold")*(tblThresholds[Year]=year)*(tblThresholds[FilingStatus]=fs)),1),rate,0.038,MAX(0,MIN(net_inv_income,magi-threshold))*rate))</definedName>
    <definedName name="TAX_SE">_xlfn.LAMBDA(se_net_earnings,year,_xlfn.LET(se_base,se_net_earnings*0.9235,ss_cap,INDEX(_xlfn._xlws.FILTER(tblThresholds[Value],(tblThresholds[Item]="SS_Wage_Base")*(tblThresholds[Year]=year)),1),ss_tax,MIN(se_base,ss_cap)*0.124,medi_tax,se_base*0.029,ss_tax+medi_tax))</definedName>
    <definedName name="STD_DED">_xlfn.LAMBDA(year,fs,INDEX(_xlfn._xlws.FILTER(tblStdDed[Amount],(tblStdDed[Year]=year)*(tblStdDed[FilingStatus]=fs)),1))</definedName>
    <definedName name="TAX_STATE">_xlfn.LAMBDA(taxable_income,state,taxable_income*_xlfn.XLOOKUP(state,tblStateRates[State],tblStateRates[Top_Marginal_Rate],0))</definedName>
    <definedName name="fn_StrategyMarginal">_xlfn.LAMBDA(target_line,amount,year,fs,ti_with_strats,_xlfn.LET(income_change,-amount,is_credit,target_line="20",is_cg,target_line="7",is_info,OR(target_line="—",target_line="13",target_line=""),IF(is_info,0,IF(is_credit,income_change,IF(is_cg,TAX_CG(income_change,ti_with_strats+income_change,year,fs),TAX_ORD(ti_with_strats+income_change,year,fs)-TAX_ORD(ti_with_strats,year,fs))))))</definedName>
  </definedNames>
  <calcPr calcId="191029" fullCalcOnLoad="1" iterate="1"/>
  <pivotCaches>
    <pivotCache cacheId="10" r:id="rId34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0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</fonts>
  <fills count="2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0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pivotCacheDefinition" Target="/xl/pivotCache/pivotCacheDefinition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IF(OR(I8="Committed",I8="Implemented"),fn_StrategyMarginal(INDIRECT("Y"&amp;$C$4&amp;"!C6"),J8,$C$4,Filing_Status,INDIRECT("Y"&amp;$C$4&amp;"!$K$94")),0)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IF(OR(I9="Committed",I9="Implemented"),fn_StrategyMarginal(INDIRECT("Y"&amp;$C$4&amp;"!C7"),J9,$C$4,Filing_Status,INDIRECT("Y"&amp;$C$4&amp;"!$K$94")),0)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IF(OR(I10="Committed",I10="Implemented"),fn_StrategyMarginal(INDIRECT("Y"&amp;$C$4&amp;"!C8"),J10,$C$4,Filing_Status,INDIRECT("Y"&amp;$C$4&amp;"!$K$94")),0)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IF(OR(I11="Committed",I11="Implemented"),fn_StrategyMarginal(INDIRECT("Y"&amp;$C$4&amp;"!C9"),J11,$C$4,Filing_Status,INDIRECT("Y"&amp;$C$4&amp;"!$K$94")),0)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IF(OR(I12="Committed",I12="Implemented"),fn_StrategyMarginal(INDIRECT("Y"&amp;$C$4&amp;"!C10"),J12,$C$4,Filing_Status,INDIRECT("Y"&amp;$C$4&amp;"!$K$94")),0)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IF(OR(I13="Committed",I13="Implemented"),fn_StrategyMarginal(INDIRECT("Y"&amp;$C$4&amp;"!C11"),J13,$C$4,Filing_Status,INDIRECT("Y"&amp;$C$4&amp;"!$K$94")),0)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IF(OR(I14="Committed",I14="Implemented"),fn_StrategyMarginal(INDIRECT("Y"&amp;$C$4&amp;"!C12"),J14,$C$4,Filing_Status,INDIRECT("Y"&amp;$C$4&amp;"!$K$94")),0)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IF(OR(I15="Committed",I15="Implemented"),fn_StrategyMarginal(INDIRECT("Y"&amp;$C$4&amp;"!C13"),J15,$C$4,Filing_Status,INDIRECT("Y"&amp;$C$4&amp;"!$K$94")),0)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IF(OR(I16="Committed",I16="Implemented"),fn_StrategyMarginal(INDIRECT("Y"&amp;$C$4&amp;"!C14"),J16,$C$4,Filing_Status,INDIRECT("Y"&amp;$C$4&amp;"!$K$94")),0)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IF(OR(I17="Committed",I17="Implemented"),fn_StrategyMarginal(INDIRECT("Y"&amp;$C$4&amp;"!C15"),J17,$C$4,Filing_Status,INDIRECT("Y"&amp;$C$4&amp;"!$K$94")),0)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IF(OR(I18="Committed",I18="Implemented"),fn_StrategyMarginal(INDIRECT("Y"&amp;$C$4&amp;"!C16"),J18,$C$4,Filing_Status,INDIRECT("Y"&amp;$C$4&amp;"!$K$94")),0)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IF(OR(I19="Committed",I19="Implemented"),fn_StrategyMarginal(INDIRECT("Y"&amp;$C$4&amp;"!C17"),J19,$C$4,Filing_Status,INDIRECT("Y"&amp;$C$4&amp;"!$K$94")),0)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IF(OR(I20="Committed",I20="Implemented"),fn_StrategyMarginal(INDIRECT("Y"&amp;$C$4&amp;"!C18"),J20,$C$4,Filing_Status,INDIRECT("Y"&amp;$C$4&amp;"!$K$94")),0)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IF(OR(I21="Committed",I21="Implemented"),fn_StrategyMarginal(INDIRECT("Y"&amp;$C$4&amp;"!C19"),J21,$C$4,Filing_Status,INDIRECT("Y"&amp;$C$4&amp;"!$K$94")),0)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IF(OR(I22="Committed",I22="Implemented"),fn_StrategyMarginal(INDIRECT("Y"&amp;$C$4&amp;"!C20"),J22,$C$4,Filing_Status,INDIRECT("Y"&amp;$C$4&amp;"!$K$94")),0)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fn_StrategyMarginal: federal ordinary + CG + credits via TAX_ORD/TAX_CG. SE/payroll savings NOT included (Phase 3c-SE).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IF(OR(E6="Committed",E6="Implemented"),fn_StrategyMarginal(C6,D6,2023,Filing_Status,$K$94),0)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IF(OR(E7="Committed",E7="Implemented"),fn_StrategyMarginal(C7,D7,2023,Filing_Status,$K$94),0)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IF(OR(E8="Committed",E8="Implemented"),fn_StrategyMarginal(C8,D8,2023,Filing_Status,$K$94),0)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IF(OR(E9="Committed",E9="Implemented"),fn_StrategyMarginal(C9,D9,2023,Filing_Status,$K$94),0)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IF(OR(E10="Committed",E10="Implemented"),fn_StrategyMarginal(C10,D10,2023,Filing_Status,$K$94),0)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IF(OR(E11="Committed",E11="Implemented"),fn_StrategyMarginal(C11,D11,2023,Filing_Status,$K$94),0)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IF(OR(E12="Committed",E12="Implemented"),fn_StrategyMarginal(C12,D12,2023,Filing_Status,$K$94),0)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IF(OR(E13="Committed",E13="Implemented"),fn_StrategyMarginal(C13,D13,2023,Filing_Status,$K$94),0)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IF(OR(E14="Committed",E14="Implemented"),fn_StrategyMarginal(C14,D14,2023,Filing_Status,$K$94),0)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IF(OR(E15="Committed",E15="Implemented"),fn_StrategyMarginal(C15,D15,2023,Filing_Status,$K$94),0)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IF(OR(E16="Committed",E16="Implemented"),fn_StrategyMarginal(C16,D16,2023,Filing_Status,$K$94),0)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IF(OR(E17="Committed",E17="Implemented"),fn_StrategyMarginal(C17,D17,2023,Filing_Status,$K$94),0)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IF(OR(E18="Committed",E18="Implemented"),fn_StrategyMarginal(C18,D18,2023,Filing_Status,$K$94),0)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IF(OR(E19="Committed",E19="Implemented"),fn_StrategyMarginal(C19,D19,2023,Filing_Status,$K$94),0)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IF(OR(E20="Committed",E20="Implemented"),fn_StrategyMarginal(C20,D20,2023,Filing_Status,$K$94),0)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fn_StrategyMarginal: federal ordinary + CG + credits. SE/payroll savings NOT included — see Phase 3c-SE.)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IF(OR(E6="Committed",E6="Implemented"),fn_StrategyMarginal(C6,D6,2024,Filing_Status,$K$94),0)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IF(OR(E7="Committed",E7="Implemented"),fn_StrategyMarginal(C7,D7,2024,Filing_Status,$K$94),0)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IF(OR(E8="Committed",E8="Implemented"),fn_StrategyMarginal(C8,D8,2024,Filing_Status,$K$94),0)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IF(OR(E9="Committed",E9="Implemented"),fn_StrategyMarginal(C9,D9,2024,Filing_Status,$K$94),0)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IF(OR(E10="Committed",E10="Implemented"),fn_StrategyMarginal(C10,D10,2024,Filing_Status,$K$94),0)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IF(OR(E11="Committed",E11="Implemented"),fn_StrategyMarginal(C11,D11,2024,Filing_Status,$K$94),0)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IF(OR(E12="Committed",E12="Implemented"),fn_StrategyMarginal(C12,D12,2024,Filing_Status,$K$94),0)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IF(OR(E13="Committed",E13="Implemented"),fn_StrategyMarginal(C13,D13,2024,Filing_Status,$K$94),0)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IF(OR(E14="Committed",E14="Implemented"),fn_StrategyMarginal(C14,D14,2024,Filing_Status,$K$94),0)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IF(OR(E15="Committed",E15="Implemented"),fn_StrategyMarginal(C15,D15,2024,Filing_Status,$K$94),0)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IF(OR(E16="Committed",E16="Implemented"),fn_StrategyMarginal(C16,D16,2024,Filing_Status,$K$94),0)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IF(OR(E17="Committed",E17="Implemented"),fn_StrategyMarginal(C17,D17,2024,Filing_Status,$K$94),0)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IF(OR(E18="Committed",E18="Implemented"),fn_StrategyMarginal(C18,D18,2024,Filing_Status,$K$94),0)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IF(OR(E19="Committed",E19="Implemented"),fn_StrategyMarginal(C19,D19,2024,Filing_Status,$K$94),0)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IF(OR(E20="Committed",E20="Implemented"),fn_StrategyMarginal(C20,D20,2024,Filing_Status,$K$94),0)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fn_StrategyMarginal: federal ordinary + CG + credits. SE/payroll savings NOT included — see Phase 3c-SE.)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IF(OR(E6="Committed",E6="Implemented"),fn_StrategyMarginal(C6,D6,2025,Filing_Status,$K$94),0)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IF(OR(E7="Committed",E7="Implemented"),fn_StrategyMarginal(C7,D7,2025,Filing_Status,$K$94),0)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IF(OR(E8="Committed",E8="Implemented"),fn_StrategyMarginal(C8,D8,2025,Filing_Status,$K$94),0)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IF(OR(E9="Committed",E9="Implemented"),fn_StrategyMarginal(C9,D9,2025,Filing_Status,$K$94),0)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IF(OR(E10="Committed",E10="Implemented"),fn_StrategyMarginal(C10,D10,2025,Filing_Status,$K$94),0)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IF(OR(E11="Committed",E11="Implemented"),fn_StrategyMarginal(C11,D11,2025,Filing_Status,$K$94),0)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IF(OR(E12="Committed",E12="Implemented"),fn_StrategyMarginal(C12,D12,2025,Filing_Status,$K$94),0)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IF(OR(E13="Committed",E13="Implemented"),fn_StrategyMarginal(C13,D13,2025,Filing_Status,$K$94),0)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IF(OR(E14="Committed",E14="Implemented"),fn_StrategyMarginal(C14,D14,2025,Filing_Status,$K$94),0)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IF(OR(E15="Committed",E15="Implemented"),fn_StrategyMarginal(C15,D15,2025,Filing_Status,$K$94),0)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IF(OR(E16="Committed",E16="Implemented"),fn_StrategyMarginal(C16,D16,2025,Filing_Status,$K$94),0)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IF(OR(E17="Committed",E17="Implemented"),fn_StrategyMarginal(C17,D17,2025,Filing_Status,$K$94),0)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IF(OR(E18="Committed",E18="Implemented"),fn_StrategyMarginal(C18,D18,2025,Filing_Status,$K$94),0)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IF(OR(E19="Committed",E19="Implemented"),fn_StrategyMarginal(C19,D19,2025,Filing_Status,$K$94),0)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IF(OR(E20="Committed",E20="Implemented"),fn_StrategyMarginal(C20,D20,2025,Filing_Status,$K$94),0)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fn_StrategyMarginal: federal ordinary + CG + credits. SE/payroll savings NOT included — see Phase 3c-SE.)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IF(OR(E6="Committed",E6="Implemented"),fn_StrategyMarginal(C6,D6,2026,Filing_Status,$K$94),0)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IF(OR(E7="Committed",E7="Implemented"),fn_StrategyMarginal(C7,D7,2026,Filing_Status,$K$94),0)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IF(OR(E8="Committed",E8="Implemented"),fn_StrategyMarginal(C8,D8,2026,Filing_Status,$K$94),0)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IF(OR(E9="Committed",E9="Implemented"),fn_StrategyMarginal(C9,D9,2026,Filing_Status,$K$94),0)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IF(OR(E10="Committed",E10="Implemented"),fn_StrategyMarginal(C10,D10,2026,Filing_Status,$K$94),0)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IF(OR(E11="Committed",E11="Implemented"),fn_StrategyMarginal(C11,D11,2026,Filing_Status,$K$94),0)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IF(OR(E12="Committed",E12="Implemented"),fn_StrategyMarginal(C12,D12,2026,Filing_Status,$K$94),0)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IF(OR(E13="Committed",E13="Implemented"),fn_StrategyMarginal(C13,D13,2026,Filing_Status,$K$94),0)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IF(OR(E14="Committed",E14="Implemented"),fn_StrategyMarginal(C14,D14,2026,Filing_Status,$K$94),0)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IF(OR(E15="Committed",E15="Implemented"),fn_StrategyMarginal(C15,D15,2026,Filing_Status,$K$94),0)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IF(OR(E16="Committed",E16="Implemented"),fn_StrategyMarginal(C16,D16,2026,Filing_Status,$K$94),0)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IF(OR(E17="Committed",E17="Implemented"),fn_StrategyMarginal(C17,D17,2026,Filing_Status,$K$94),0)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IF(OR(E18="Committed",E18="Implemented"),fn_StrategyMarginal(C18,D18,2026,Filing_Status,$K$94),0)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IF(OR(E19="Committed",E19="Implemented"),fn_StrategyMarginal(C19,D19,2026,Filing_Status,$K$94),0)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IF(OR(E20="Committed",E20="Implemented"),fn_StrategyMarginal(C20,D20,2026,Filing_Status,$K$94),0)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fn_StrategyMarginal: federal ordinary + CG + credits. SE/payroll savings NOT included — see Phase 3c-SE.)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IF(OR(E6="Committed",E6="Implemented"),fn_StrategyMarginal(C6,D6,2027,Filing_Status,$K$94),0)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IF(OR(E7="Committed",E7="Implemented"),fn_StrategyMarginal(C7,D7,2027,Filing_Status,$K$94),0)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IF(OR(E8="Committed",E8="Implemented"),fn_StrategyMarginal(C8,D8,2027,Filing_Status,$K$94),0)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IF(OR(E9="Committed",E9="Implemented"),fn_StrategyMarginal(C9,D9,2027,Filing_Status,$K$94),0)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IF(OR(E10="Committed",E10="Implemented"),fn_StrategyMarginal(C10,D10,2027,Filing_Status,$K$94),0)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IF(OR(E11="Committed",E11="Implemented"),fn_StrategyMarginal(C11,D11,2027,Filing_Status,$K$94),0)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IF(OR(E12="Committed",E12="Implemented"),fn_StrategyMarginal(C12,D12,2027,Filing_Status,$K$94),0)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IF(OR(E13="Committed",E13="Implemented"),fn_StrategyMarginal(C13,D13,2027,Filing_Status,$K$94),0)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IF(OR(E14="Committed",E14="Implemented"),fn_StrategyMarginal(C14,D14,2027,Filing_Status,$K$94),0)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IF(OR(E15="Committed",E15="Implemented"),fn_StrategyMarginal(C15,D15,2027,Filing_Status,$K$94),0)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IF(OR(E16="Committed",E16="Implemented"),fn_StrategyMarginal(C16,D16,2027,Filing_Status,$K$94),0)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IF(OR(E17="Committed",E17="Implemented"),fn_StrategyMarginal(C17,D17,2027,Filing_Status,$K$94),0)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IF(OR(E18="Committed",E18="Implemented"),fn_StrategyMarginal(C18,D18,2027,Filing_Status,$K$94),0)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IF(OR(E19="Committed",E19="Implemented"),fn_StrategyMarginal(C19,D19,2027,Filing_Status,$K$94),0)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IF(OR(E20="Committed",E20="Implemented"),fn_StrategyMarginal(C20,D20,2027,Filing_Status,$K$94),0)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fn_StrategyMarginal: federal ordinary + CG + credits. SE/payroll savings NOT included — see Phase 3c-SE.)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IF(OR(E6="Committed",E6="Implemented"),fn_StrategyMarginal(C6,D6,2028,Filing_Status,$K$94),0)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IF(OR(E7="Committed",E7="Implemented"),fn_StrategyMarginal(C7,D7,2028,Filing_Status,$K$94),0)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IF(OR(E8="Committed",E8="Implemented"),fn_StrategyMarginal(C8,D8,2028,Filing_Status,$K$94),0)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IF(OR(E9="Committed",E9="Implemented"),fn_StrategyMarginal(C9,D9,2028,Filing_Status,$K$94),0)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IF(OR(E10="Committed",E10="Implemented"),fn_StrategyMarginal(C10,D10,2028,Filing_Status,$K$94),0)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IF(OR(E11="Committed",E11="Implemented"),fn_StrategyMarginal(C11,D11,2028,Filing_Status,$K$94),0)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IF(OR(E12="Committed",E12="Implemented"),fn_StrategyMarginal(C12,D12,2028,Filing_Status,$K$94),0)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IF(OR(E13="Committed",E13="Implemented"),fn_StrategyMarginal(C13,D13,2028,Filing_Status,$K$94),0)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IF(OR(E14="Committed",E14="Implemented"),fn_StrategyMarginal(C14,D14,2028,Filing_Status,$K$94),0)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IF(OR(E15="Committed",E15="Implemented"),fn_StrategyMarginal(C15,D15,2028,Filing_Status,$K$94),0)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IF(OR(E16="Committed",E16="Implemented"),fn_StrategyMarginal(C16,D16,2028,Filing_Status,$K$94),0)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IF(OR(E17="Committed",E17="Implemented"),fn_StrategyMarginal(C17,D17,2028,Filing_Status,$K$94),0)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IF(OR(E18="Committed",E18="Implemented"),fn_StrategyMarginal(C18,D18,2028,Filing_Status,$K$94),0)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IF(OR(E19="Committed",E19="Implemented"),fn_StrategyMarginal(C19,D19,2028,Filing_Status,$K$94),0)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IF(OR(E20="Committed",E20="Implemented"),fn_StrategyMarginal(C20,D20,2028,Filing_Status,$K$94),0)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fn_StrategyMarginal: federal ordinary + CG + credits. SE/payroll savings NOT included — see Phase 3c-SE.)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1z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income; revisit TargetLine — canonical is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Reshape entity (HoldCo over OpCo, F-reorg, P→S conv)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Reasonable comp adjustment after restructure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12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revisit TargetLine — canonical reduces K-1 (8)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OPEN RECONCILIATION ITEMS (REVISIT)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190" t="inlineStr">
        <is>
          <t>ITEM-RECON-1</t>
        </is>
      </c>
      <c r="C61" s="172" t="inlineStr">
        <is>
          <t>STR-006 Roth Conversion</t>
        </is>
      </c>
      <c r="D61" s="176" t="inlineStr">
        <is>
          <t>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190" t="inlineStr">
        <is>
          <t>ITEM-RECON-2</t>
        </is>
      </c>
      <c r="C62" s="172" t="inlineStr">
        <is>
          <t>STR-014 SALT PTE Election</t>
        </is>
      </c>
      <c r="D62" s="176" t="inlineStr">
        <is>
          <t>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190" t="inlineStr">
        <is>
          <t>ITEM-RECON-3</t>
        </is>
      </c>
      <c r="C63" s="172" t="inlineStr">
        <is>
          <t>STR-002 HSA Family Max</t>
        </is>
      </c>
      <c r="D63" s="176" t="inlineStr">
        <is>
          <t>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190" t="inlineStr">
        <is>
          <t>ITEM-RECON-5</t>
        </is>
      </c>
      <c r="C65" s="172" t="inlineStr">
        <is>
          <t>STR-010 Entity Restructure</t>
        </is>
      </c>
      <c r="D65" s="176" t="inlineStr">
        <is>
          <t>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190" t="inlineStr">
        <is>
          <t>ITEM-RECON-6</t>
        </is>
      </c>
      <c r="C66" s="172" t="inlineStr">
        <is>
          <t>Bucket alignment</t>
        </is>
      </c>
      <c r="D66" s="176" t="inlineStr">
        <is>
          <t>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2">
      <c r="A262" s="171" t="inlineStr">
        <is>
          <t>▸ LAMBDA bodies (for reference/audit)</t>
        </is>
      </c>
    </row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</sheetData>
  <mergeCells count="9">
    <mergeCell ref="A251:F251"/>
    <mergeCell ref="B272:F272"/>
    <mergeCell ref="B266:F266"/>
    <mergeCell ref="B270:F270"/>
    <mergeCell ref="A250:F250"/>
    <mergeCell ref="A262:F262"/>
    <mergeCell ref="B264:F264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2026-05-19T16:32:36Z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
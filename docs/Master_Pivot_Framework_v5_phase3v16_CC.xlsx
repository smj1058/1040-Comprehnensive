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2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3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ables/table15.xml" ContentType="application/vnd.openxmlformats-officedocument.spreadsheetml.table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Audit_Report" sheetId="2" state="visible" r:id="rId2"/>
    <sheet name="Master_Inputs" sheetId="3" state="visible" r:id="rId3"/>
    <sheet name="AsFiled" sheetId="4" state="visible" r:id="rId4"/>
    <sheet name="Tax_Plan_Dashboard" sheetId="5" state="visible" r:id="rId5"/>
    <sheet name="Deliverable" sheetId="6" state="visible" r:id="rId6"/>
    <sheet name="PY_Recon" sheetId="7" state="visible" r:id="rId7"/>
    <sheet name="Pivot_GPD" sheetId="8" state="visible" r:id="rId8"/>
    <sheet name="Y2023" sheetId="9" state="visible" r:id="rId9"/>
    <sheet name="Y2024" sheetId="10" state="visible" r:id="rId10"/>
    <sheet name="Y2025" sheetId="11" state="visible" r:id="rId11"/>
    <sheet name="Y2026" sheetId="12" state="visible" r:id="rId12"/>
    <sheet name="Y2027" sheetId="13" state="visible" r:id="rId13"/>
    <sheet name="Y2028" sheetId="14" state="visible" r:id="rId14"/>
    <sheet name="Pivot_Summary" sheetId="15" state="visible" r:id="rId15"/>
    <sheet name="Pivot_Medium" sheetId="16" state="visible" r:id="rId16"/>
    <sheet name="Pivot_Detailed" sheetId="17" state="visible" r:id="rId17"/>
    <sheet name="Pivot_Helpers" sheetId="18" state="visible" r:id="rId18"/>
    <sheet name="Visual_Pivot_Income" sheetId="19" state="visible" r:id="rId19"/>
    <sheet name="Visual_Pivot_BusinessIncome" sheetId="20" state="visible" r:id="rId20"/>
    <sheet name="Visual_Pivot_ByPayor" sheetId="21" state="visible" r:id="rId21"/>
    <sheet name="Visual_Pivot_HelperCarveOuts" sheetId="22" state="visible" r:id="rId22"/>
    <sheet name="Tax_Ref" sheetId="23" state="visible" r:id="rId23"/>
    <sheet name="Dropdown_Lists" sheetId="24" state="visible" r:id="rId24"/>
    <sheet name="Framework_Ref" sheetId="25" state="visible" r:id="rId25"/>
    <sheet name="Master_Strategies" sheetId="26" state="visible" r:id="rId26"/>
    <sheet name="Glossary" sheetId="27" state="visible" r:id="rId27"/>
    <sheet name="Carryovers" sheetId="28" state="visible" r:id="rId28"/>
    <sheet name="Property_Appendix" sheetId="29" state="visible" r:id="rId29"/>
    <sheet name="Questionnaire" sheetId="30" state="visible" r:id="rId30"/>
    <sheet name="Connections" sheetId="31" state="visible" r:id="rId31"/>
    <sheet name="Projection_History" sheetId="32" state="visible" r:id="rId32"/>
    <sheet name="Change_Log" sheetId="33" state="visible" r:id="rId33"/>
    <sheet name="Setup_Guide" sheetId="34" state="visible" r:id="rId34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  <definedName name="Taxpayer_Name">Control_Panel!$C$23</definedName>
    <definedName name="Spouse_Name">Control_Panel!$C$24</definedName>
    <definedName name="Taxpayer_65Plus">Control_Panel!$C$25</definedName>
    <definedName name="Spouse_65Plus">Control_Panel!$C$26</definedName>
    <definedName name="Taxpayer_Blind">Control_Panel!$C$27</definedName>
    <definedName name="Spouse_Blind">Control_Panel!$C$28</definedName>
    <definedName name="Dep_CTC_Count">Control_Panel!$C$29</definedName>
    <definedName name="Dep_ODC_Count">Control_Panel!$C$30</definedName>
    <definedName name="SE_Health_Ins_Eligible">Control_Panel!$C$31</definedName>
    <definedName name="Itemize_Override">Control_Panel!$C$32</definedName>
    <definedName name="PY_Total_Tax">Control_Panel!$C$33</definedName>
    <definedName name="MasterStrategies">Master_Strategies!$B7:$L26</definedName>
    <definedName name="States">Dropdown_Lists!$I$4:$I$54</definedName>
    <definedName name="tblStateRates">Tax_Ref!$B$619:$F$669</definedName>
    <definedName name="PTET_States">Tax_Ref!$B$619:$D$669</definedName>
    <definedName name="TAX_ORD">_xlfn.LAMBDA(taxable_income,year,fs,_xlfn.LET(rows,_xlfn._xlws.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definedName>
    <definedName name="TAX_CG">_xlfn.LAMBDA(cg_amount,taxable_income,year,fs,_xlfn.LET(rows,_xlfn._xlws.FILTER(tblBrackets_LTCG,(tblBrackets_LTCG[Year]=year)*(tblBrackets_LTCG[FilingStatus]=fs)*(tblBrackets_LTCG[Lower]&lt;=taxable_income)*(tblBrackets_LTCG[Upper]&gt;taxable_income)),rate,INDEX(rows,1,5),cg_amount*rate))</definedName>
    <definedName name="TAX_NIIT">_xlfn.LAMBDA(net_inv_income,magi,fs,year,_xlfn.LET(threshold,INDEX(_xlfn._xlws.FILTER(tblThresholds[Value],(tblThresholds[Item]="NIIT_Threshold")*(tblThresholds[Year]=year)*(tblThresholds[FilingStatus]=fs)),1),rate,0.038,MAX(0,MIN(net_inv_income,magi-threshold))*rate))</definedName>
    <definedName name="TAX_SE">_xlfn.LAMBDA(se_net_earnings,year,_xlfn.LET(se_base,se_net_earnings*0.9235,ss_cap,INDEX(_xlfn._xlws.FILTER(tblThresholds[Value],(tblThresholds[Item]="SS_Wage_Base")*(tblThresholds[Year]=year)),1),ss_tax,MIN(se_base,ss_cap)*0.124,medi_tax,se_base*0.029,ss_tax+medi_tax))</definedName>
    <definedName name="STD_DED">_xlfn.LAMBDA(year,fs,INDEX(_xlfn._xlws.FILTER(tblStdDed[Amount],(tblStdDed[Year]=year)*(tblStdDed[FilingStatus]=fs)),1))</definedName>
    <definedName name="TAX_STATE">_xlfn.LAMBDA(taxable_income,state,taxable_income*_xlfn.XLOOKUP(state,tblStateRates[State],tblStateRates[Top_Marginal_Rate],0))</definedName>
    <definedName name="fn_StrategyMarginal">_xlfn.LAMBDA(target_line,amount,counter_line,year,fs,ti_with_strats,_xlfn.LET(p_delta,-amount,p_credit,target_line="20",p_cg,target_line="7",p_info,OR(target_line="—",target_line=""),p_wages,target_line="1z",p_fed,IF(p_info,0,IF(p_credit,p_delta,IF(p_cg,TAX_CG(p_delta,ti_with_strats+p_delta,year,fs),TAX_ORD(ti_with_strats+p_delta,year,fs)-TAX_ORD(ti_with_strats,year,fs)))),p_fica,IF(p_wages,p_delta*0.153,0),has_c,AND(counter_line&lt;&gt;"",counter_line&lt;&gt;0),c_delta,IF(has_c,amount,0),c_wages,counter_line="1z",c_cg,counter_line="7",c_credit,counter_line="20",c_fed,IF(NOT(has_c),0,IF(c_credit,c_delta,IF(c_cg,TAX_CG(c_delta,ti_with_strats+c_delta,year,fs),TAX_ORD(ti_with_strats+c_delta,year,fs)-TAX_ORD(ti_with_strats,year,fs)))),c_fica,IF(AND(has_c,c_wages),c_delta*0.153,0),p_fed+p_fica+c_fed+c_fica))</definedName>
  </definedNames>
  <calcPr calcId="191029" fullCalcOnLoad="1" iterate="1"/>
  <pivotCaches>
    <pivotCache cacheId="10" r:id="rId35"/>
  </pivotCaches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  <numFmt numFmtId="169" formatCode="&quot;$&quot;#,##0;(&quot;$&quot;#,##0)"/>
    <numFmt numFmtId="170" formatCode="&quot;$&quot;#,##0;(&quot;$&quot;#,##0);&quot;-&quot;"/>
    <numFmt numFmtId="171" formatCode="0&quot;)&quot;"/>
  </numFmts>
  <fonts count="84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  <font>
      <name val="Calibri"/>
      <b val="1"/>
      <color rgb="00305496"/>
      <sz val="20"/>
    </font>
    <font>
      <name val="Calibri"/>
      <b val="1"/>
      <color rgb="00305496"/>
      <sz val="14"/>
    </font>
    <font>
      <name val="Calibri"/>
      <color rgb="00595959"/>
      <sz val="11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2E7D32"/>
      <sz val="12"/>
    </font>
    <font>
      <name val="Calibri"/>
      <b val="1"/>
      <color rgb="002E7D32"/>
      <sz val="16"/>
    </font>
    <font>
      <name val="Calibri"/>
      <b val="1"/>
      <color rgb="00305496"/>
      <sz val="12"/>
    </font>
    <font>
      <name val="Calibri"/>
      <sz val="10"/>
    </font>
    <font>
      <name val="Calibri"/>
      <b val="1"/>
      <color rgb="001F4E79"/>
      <sz val="11"/>
    </font>
    <font>
      <name val="Calibri"/>
      <sz val="11"/>
    </font>
    <font>
      <name val="Calibri"/>
      <color rgb="001F4E79"/>
      <sz val="11"/>
    </font>
    <font>
      <name val="Calibri"/>
      <i val="1"/>
      <color rgb="007F7F7F"/>
      <sz val="10"/>
    </font>
    <font/>
    <font>
      <name val="Calibri"/>
      <b val="1"/>
      <color rgb="001F4E79"/>
      <sz val="18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i val="1"/>
      <color rgb="007F7F7F"/>
      <sz val="9"/>
    </font>
    <font>
      <name val="Calibri"/>
      <b val="1"/>
      <color rgb="001F4E79"/>
      <sz val="14"/>
    </font>
    <font>
      <name val="Calibri"/>
      <i val="1"/>
      <color rgb="00808080"/>
      <sz val="9"/>
    </font>
    <font>
      <name val="Calibri"/>
      <i val="1"/>
      <color rgb="003F3F3F"/>
      <sz val="9"/>
    </font>
    <font>
      <name val="Calibri"/>
      <i val="1"/>
      <color rgb="00C00000"/>
      <sz val="9"/>
    </font>
    <font>
      <name val="Calibri"/>
      <i val="1"/>
      <color rgb="003F3F3F"/>
      <sz val="10"/>
    </font>
    <font>
      <name val="Calibri"/>
      <i val="1"/>
      <sz val="9"/>
    </font>
    <font>
      <name val="Calibri"/>
      <b val="1"/>
      <color rgb="00C00000"/>
      <sz val="9"/>
    </font>
    <font>
      <name val="Consolas"/>
      <color rgb="001F4E79"/>
      <sz val="9"/>
    </font>
    <font>
      <name val="Consolas"/>
      <b val="1"/>
      <color rgb="001F4E79"/>
      <sz val="10"/>
    </font>
    <font>
      <name val="Consolas"/>
      <color rgb="003F3F3F"/>
      <sz val="8"/>
    </font>
    <font>
      <name val="Calibri"/>
      <b val="1"/>
      <color rgb="00C00000"/>
      <sz val="10"/>
    </font>
    <font>
      <name val="Calibri"/>
      <b val="1"/>
      <color rgb="00C00000"/>
      <sz val="18"/>
    </font>
    <font>
      <name val="Calibri"/>
      <color rgb="00BF8F00"/>
      <sz val="10"/>
    </font>
    <font>
      <name val="Calibri"/>
      <sz val="9"/>
    </font>
  </fonts>
  <fills count="25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2">
    <xf numFmtId="0" fontId="0" fillId="0" borderId="0"/>
    <xf numFmtId="0" fontId="9" fillId="0" borderId="0"/>
  </cellStyleXfs>
  <cellXfs count="21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18" borderId="0" pivotButton="0" quotePrefix="0" xfId="0"/>
    <xf numFmtId="168" fontId="53" fillId="0" borderId="0" pivotButton="0" quotePrefix="0" xfId="0"/>
    <xf numFmtId="0" fontId="57" fillId="0" borderId="0" pivotButton="0" quotePrefix="0" xfId="0"/>
    <xf numFmtId="168" fontId="58" fillId="0" borderId="0" pivotButton="0" quotePrefix="0" xfId="0"/>
    <xf numFmtId="0" fontId="59" fillId="0" borderId="0" pivotButton="0" quotePrefix="0" xfId="0"/>
    <xf numFmtId="0" fontId="60" fillId="0" borderId="3" pivotButton="0" quotePrefix="0" xfId="0"/>
    <xf numFmtId="0" fontId="50" fillId="0" borderId="3" pivotButton="0" quotePrefix="0" xfId="0"/>
    <xf numFmtId="168" fontId="57" fillId="0" borderId="3" pivotButton="0" quotePrefix="0" xfId="0"/>
    <xf numFmtId="168" fontId="57" fillId="0" borderId="0" pivotButton="0" quotePrefix="0" xfId="0"/>
    <xf numFmtId="167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0" borderId="3" pivotButton="0" quotePrefix="0" xfId="0"/>
    <xf numFmtId="0" fontId="64" fillId="0" borderId="0" pivotButton="0" quotePrefix="0" xfId="0"/>
    <xf numFmtId="169" fontId="63" fillId="20" borderId="3" pivotButton="0" quotePrefix="0" xfId="0"/>
    <xf numFmtId="0" fontId="65" fillId="0" borderId="4" pivotButton="0" quotePrefix="0" xfId="0"/>
    <xf numFmtId="0" fontId="66" fillId="0" borderId="4" pivotButton="0" quotePrefix="0" xfId="0"/>
    <xf numFmtId="0" fontId="64" fillId="0" borderId="4" pivotButton="0" quotePrefix="0" xfId="0"/>
    <xf numFmtId="0" fontId="60" fillId="0" borderId="4" applyAlignment="1" pivotButton="0" quotePrefix="0" xfId="0">
      <alignment horizontal="right" vertical="center"/>
    </xf>
    <xf numFmtId="0" fontId="67" fillId="20" borderId="3" applyAlignment="1" pivotButton="0" quotePrefix="0" xfId="0">
      <alignment horizontal="center" vertical="center"/>
    </xf>
    <xf numFmtId="0" fontId="56" fillId="21" borderId="4" applyAlignment="1" pivotButton="0" quotePrefix="0" xfId="0">
      <alignment horizontal="left" vertical="center"/>
    </xf>
    <xf numFmtId="0" fontId="48" fillId="19" borderId="3" applyAlignment="1" pivotButton="0" quotePrefix="0" xfId="0">
      <alignment horizontal="center" vertical="center"/>
    </xf>
    <xf numFmtId="0" fontId="60" fillId="0" borderId="3" applyAlignment="1" pivotButton="0" quotePrefix="0" xfId="0">
      <alignment horizontal="left" vertical="center"/>
    </xf>
    <xf numFmtId="170" fontId="68" fillId="0" borderId="3" applyAlignment="1" pivotButton="0" quotePrefix="0" xfId="0">
      <alignment horizontal="right" vertical="center"/>
    </xf>
    <xf numFmtId="10" fontId="68" fillId="0" borderId="3" applyAlignment="1" pivotButton="0" quotePrefix="0" xfId="0">
      <alignment horizontal="right" vertical="center"/>
    </xf>
    <xf numFmtId="0" fontId="67" fillId="22" borderId="3" applyAlignment="1" pivotButton="0" quotePrefix="0" xfId="0">
      <alignment horizontal="left" vertical="center"/>
    </xf>
    <xf numFmtId="170" fontId="67" fillId="22" borderId="3" applyAlignment="1" pivotButton="0" quotePrefix="0" xfId="0">
      <alignment horizontal="right" vertical="center"/>
    </xf>
    <xf numFmtId="170" fontId="68" fillId="20" borderId="3" applyAlignment="1" pivotButton="0" quotePrefix="0" xfId="0">
      <alignment horizontal="right" vertical="center"/>
    </xf>
    <xf numFmtId="0" fontId="69" fillId="0" borderId="4" applyAlignment="1" pivotButton="0" quotePrefix="0" xfId="0">
      <alignment horizontal="left" vertical="center"/>
    </xf>
    <xf numFmtId="0" fontId="70" fillId="0" borderId="3" applyAlignment="1" pivotButton="0" quotePrefix="0" xfId="0">
      <alignment horizontal="center" vertical="center"/>
    </xf>
    <xf numFmtId="0" fontId="69" fillId="0" borderId="0" applyAlignment="1" pivotButton="0" quotePrefix="0" xfId="0">
      <alignment horizontal="left" vertical="center"/>
    </xf>
    <xf numFmtId="1" fontId="67" fillId="20" borderId="3" applyAlignment="1" pivotButton="0" quotePrefix="0" xfId="0">
      <alignment horizontal="center" vertical="center"/>
    </xf>
    <xf numFmtId="0" fontId="69" fillId="0" borderId="4" applyAlignment="1" pivotButton="0" quotePrefix="0" xfId="0">
      <alignment horizontal="right" vertical="center"/>
    </xf>
    <xf numFmtId="171" fontId="69" fillId="0" borderId="4" applyAlignment="1" pivotButton="0" quotePrefix="0" xfId="0">
      <alignment horizontal="left" vertical="center"/>
    </xf>
    <xf numFmtId="0" fontId="60" fillId="0" borderId="3" applyAlignment="1" pivotButton="0" quotePrefix="0" xfId="0">
      <alignment horizontal="center" vertical="center"/>
    </xf>
    <xf numFmtId="0" fontId="69" fillId="0" borderId="3" applyAlignment="1" pivotButton="0" quotePrefix="0" xfId="0">
      <alignment horizontal="left" vertical="center"/>
    </xf>
    <xf numFmtId="0" fontId="66" fillId="0" borderId="0" pivotButton="0" quotePrefix="0" xfId="0"/>
    <xf numFmtId="0" fontId="56" fillId="21" borderId="0" applyAlignment="1" pivotButton="0" quotePrefix="0" xfId="0">
      <alignment horizontal="left" vertical="center"/>
    </xf>
    <xf numFmtId="0" fontId="71" fillId="0" borderId="3" applyAlignment="1" pivotButton="0" quotePrefix="0" xfId="0">
      <alignment horizontal="center" vertical="center"/>
    </xf>
    <xf numFmtId="164" fontId="71" fillId="0" borderId="3" applyAlignment="1" pivotButton="0" quotePrefix="0" xfId="0">
      <alignment horizontal="center" vertical="center"/>
    </xf>
    <xf numFmtId="10" fontId="71" fillId="0" borderId="3" applyAlignment="1" pivotButton="0" quotePrefix="0" xfId="0">
      <alignment horizontal="center" vertical="center"/>
    </xf>
    <xf numFmtId="0" fontId="60" fillId="20" borderId="3" pivotButton="0" quotePrefix="0" xfId="0"/>
    <xf numFmtId="164" fontId="60" fillId="20" borderId="3" pivotButton="0" quotePrefix="0" xfId="0"/>
    <xf numFmtId="10" fontId="60" fillId="20" borderId="3" pivotButton="0" quotePrefix="0" xfId="0"/>
    <xf numFmtId="0" fontId="72" fillId="0" borderId="0" pivotButton="0" quotePrefix="0" xfId="0"/>
    <xf numFmtId="3" fontId="60" fillId="20" borderId="3" pivotButton="0" quotePrefix="0" xfId="0"/>
    <xf numFmtId="0" fontId="69" fillId="0" borderId="3" pivotButton="0" quotePrefix="0" xfId="0"/>
    <xf numFmtId="0" fontId="56" fillId="21" borderId="0" applyAlignment="1" pivotButton="0" quotePrefix="0" xfId="0">
      <alignment horizontal="left" vertical="center" wrapText="1"/>
    </xf>
    <xf numFmtId="0" fontId="60" fillId="0" borderId="3" applyAlignment="1" pivotButton="0" quotePrefix="0" xfId="0">
      <alignment horizontal="left" vertical="center" wrapText="1"/>
    </xf>
    <xf numFmtId="0" fontId="49" fillId="0" borderId="3" applyAlignment="1" pivotButton="0" quotePrefix="0" xfId="0">
      <alignment horizontal="center" vertical="center"/>
    </xf>
    <xf numFmtId="0" fontId="61" fillId="0" borderId="3" applyAlignment="1" pivotButton="0" quotePrefix="0" xfId="0">
      <alignment horizontal="center" vertical="center"/>
    </xf>
    <xf numFmtId="0" fontId="49" fillId="0" borderId="3" applyAlignment="1" pivotButton="0" quotePrefix="0" xfId="0">
      <alignment horizontal="left" vertical="center" wrapText="1"/>
    </xf>
    <xf numFmtId="0" fontId="72" fillId="0" borderId="3" applyAlignment="1" pivotButton="0" quotePrefix="0" xfId="0">
      <alignment horizontal="left" vertical="center" wrapText="1"/>
    </xf>
    <xf numFmtId="0" fontId="49" fillId="0" borderId="0" applyAlignment="1" pivotButton="0" quotePrefix="0" xfId="0">
      <alignment horizontal="right" vertical="center"/>
    </xf>
    <xf numFmtId="0" fontId="61" fillId="20" borderId="3" applyAlignment="1" pivotButton="0" quotePrefix="0" xfId="0">
      <alignment horizontal="center" vertical="center"/>
    </xf>
    <xf numFmtId="164" fontId="61" fillId="20" borderId="3" applyAlignment="1" pivotButton="0" quotePrefix="0" xfId="0">
      <alignment horizontal="center" vertical="center"/>
    </xf>
    <xf numFmtId="0" fontId="73" fillId="0" borderId="3" applyAlignment="1" pivotButton="0" quotePrefix="0" xfId="0">
      <alignment horizontal="left" vertical="center" wrapText="1"/>
    </xf>
    <xf numFmtId="0" fontId="74" fillId="0" borderId="0" pivotButton="0" quotePrefix="0" xfId="0"/>
    <xf numFmtId="170" fontId="67" fillId="0" borderId="3" applyAlignment="1" pivotButton="0" quotePrefix="0" xfId="0">
      <alignment horizontal="right" vertical="center"/>
    </xf>
    <xf numFmtId="0" fontId="75" fillId="0" borderId="3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left" vertical="center" wrapText="1"/>
    </xf>
    <xf numFmtId="0" fontId="67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56" fillId="23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76" fillId="0" borderId="3" applyAlignment="1" pivotButton="0" quotePrefix="0" xfId="0">
      <alignment horizontal="center" vertical="center"/>
    </xf>
    <xf numFmtId="0" fontId="60" fillId="20" borderId="3" applyAlignment="1" pivotButton="0" quotePrefix="0" xfId="0">
      <alignment horizontal="center" vertical="center"/>
    </xf>
    <xf numFmtId="0" fontId="69" fillId="0" borderId="0" pivotButton="0" quotePrefix="0" xfId="0"/>
    <xf numFmtId="10" fontId="60" fillId="0" borderId="3" applyAlignment="1" pivotButton="0" quotePrefix="0" xfId="0">
      <alignment horizontal="right" vertical="center"/>
    </xf>
    <xf numFmtId="0" fontId="72" fillId="0" borderId="3" applyAlignment="1" pivotButton="0" quotePrefix="0" xfId="0">
      <alignment horizontal="left" vertical="center"/>
    </xf>
    <xf numFmtId="0" fontId="60" fillId="0" borderId="3" applyAlignment="1" pivotButton="0" quotePrefix="0" xfId="0">
      <alignment horizontal="right" vertical="center"/>
    </xf>
    <xf numFmtId="0" fontId="48" fillId="19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48" fillId="23" borderId="3" applyAlignment="1" pivotButton="0" quotePrefix="0" xfId="0">
      <alignment horizontal="center" vertical="center"/>
    </xf>
    <xf numFmtId="0" fontId="77" fillId="0" borderId="3" applyAlignment="1" pivotButton="0" quotePrefix="0" xfId="0">
      <alignment horizontal="left" vertical="center" wrapText="1"/>
    </xf>
    <xf numFmtId="0" fontId="78" fillId="0" borderId="0" applyAlignment="1" pivotButton="0" quotePrefix="0" xfId="0">
      <alignment horizontal="left" vertical="center" wrapText="1"/>
    </xf>
    <xf numFmtId="0" fontId="79" fillId="0" borderId="0" applyAlignment="1" pivotButton="0" quotePrefix="0" xfId="0">
      <alignment horizontal="left" vertical="top" wrapText="1"/>
    </xf>
    <xf numFmtId="0" fontId="56" fillId="23" borderId="0" applyAlignment="1" pivotButton="0" quotePrefix="0" xfId="0">
      <alignment horizontal="left" vertical="center"/>
    </xf>
    <xf numFmtId="0" fontId="80" fillId="0" borderId="0" applyAlignment="1" pivotButton="0" quotePrefix="0" xfId="0">
      <alignment horizontal="center" vertical="top"/>
    </xf>
    <xf numFmtId="0" fontId="60" fillId="0" borderId="0" applyAlignment="1" pivotButton="0" quotePrefix="0" xfId="0">
      <alignment horizontal="left" vertical="top" wrapText="1"/>
    </xf>
    <xf numFmtId="0" fontId="76" fillId="24" borderId="3" applyAlignment="1" pivotButton="0" quotePrefix="0" xfId="0">
      <alignment horizontal="center" vertical="center"/>
    </xf>
    <xf numFmtId="0" fontId="81" fillId="0" borderId="0" pivotButton="0" quotePrefix="0" xfId="0"/>
    <xf numFmtId="0" fontId="60" fillId="0" borderId="0" pivotButton="0" quotePrefix="0" xfId="0"/>
    <xf numFmtId="0" fontId="49" fillId="0" borderId="0" applyAlignment="1" pivotButton="0" quotePrefix="0" xfId="0">
      <alignment horizontal="center" vertical="center"/>
    </xf>
    <xf numFmtId="0" fontId="82" fillId="20" borderId="3" applyAlignment="1" pivotButton="0" quotePrefix="0" xfId="0">
      <alignment horizontal="center" vertical="center"/>
    </xf>
    <xf numFmtId="0" fontId="83" fillId="0" borderId="3" applyAlignment="1" pivotButton="0" quotePrefix="0" xfId="0">
      <alignment horizontal="center" vertical="center"/>
    </xf>
    <xf numFmtId="0" fontId="83" fillId="0" borderId="3" applyAlignment="1" pivotButton="0" quotePrefix="0" xfId="0">
      <alignment horizontal="left" vertical="center" wrapText="1"/>
    </xf>
  </cellXfs>
  <cellStyles count="2">
    <cellStyle name="Normal" xfId="0" builtinId="0"/>
    <cellStyle name="Hyperlink" xfId="1" builtinId="8"/>
  </cellStyles>
  <dxfs count="71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name val="Calibri"/>
        <color rgb="00548235"/>
        <sz val="10"/>
      </font>
      <fill>
        <patternFill patternType="solid">
          <fgColor rgb="00E2EFDA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D6"/>
        </patternFill>
      </fill>
    </dxf>
    <dxf>
      <font/>
      <fill>
        <patternFill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pivotCacheDefinition" Target="/xl/pivotCache/pivotCacheDefinition1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V18" headerRowCount="1">
  <autoFilter ref="A4:S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StateRates" displayName="tblStateRates" ref="B618:F669" headerRowCount="1">
  <autoFilter ref="B618:F669"/>
  <tableColumns count="5">
    <tableColumn id="2" name="State"/>
    <tableColumn id="3" name="Top_Marginal_Rate"/>
    <tableColumn id="4" name="Has_PTET"/>
    <tableColumn id="5" name="PTET_Rate"/>
    <tableColumn id="6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MasterStrategies" displayName="tblMasterStrategies" ref="B7:L26" headerRowCount="1">
  <autoFilter ref="B7:L26"/>
  <tableColumns count="11">
    <tableColumn id="2" name="Strategy_ID"/>
    <tableColumn id="3" name="Impact_Num"/>
    <tableColumn id="4" name="Strategy_Name"/>
    <tableColumn id="5" name="Bucket"/>
    <tableColumn id="6" name="Framework_Ref"/>
    <tableColumn id="7" name="TargetLine"/>
    <tableColumn id="8" name="HelperTreatment"/>
    <tableColumn id="9" name="Sign"/>
    <tableColumn id="10" name="Cap_Rule"/>
    <tableColumn id="11" name="Plan_Maturity_Min"/>
    <tableColumn id="1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2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Relationship Type="http://schemas.openxmlformats.org/officeDocument/2006/relationships/table" Target="/xl/tables/table14.xml" Id="rId6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92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2">
      <c r="B22" s="134" t="inlineStr">
        <is>
          <t>▸ HOUSEHOLD DETAILS</t>
        </is>
      </c>
    </row>
    <row r="23">
      <c r="B23" s="135" t="inlineStr">
        <is>
          <t>Taxpayer Name</t>
        </is>
      </c>
      <c r="C23" s="136" t="inlineStr">
        <is>
          <t>TAXPAYER</t>
        </is>
      </c>
      <c r="D23" s="137" t="inlineStr">
        <is>
          <t>Used in Deliverable header</t>
        </is>
      </c>
    </row>
    <row r="24">
      <c r="B24" s="135" t="inlineStr">
        <is>
          <t>Spouse Name</t>
        </is>
      </c>
      <c r="C24" s="136" t="inlineStr">
        <is>
          <t>SPOUSE</t>
        </is>
      </c>
      <c r="D24" s="137" t="inlineStr">
        <is>
          <t>Only used if Filing_Status = MFJ</t>
        </is>
      </c>
    </row>
    <row r="25">
      <c r="B25" s="135" t="inlineStr">
        <is>
          <t>Taxpayer 65+</t>
        </is>
      </c>
      <c r="C25" s="136" t="inlineStr">
        <is>
          <t>No</t>
        </is>
      </c>
      <c r="D25" s="137" t="inlineStr">
        <is>
          <t>Adds $1,550 to standard deduction (2024)</t>
        </is>
      </c>
    </row>
    <row r="26">
      <c r="B26" s="135" t="inlineStr">
        <is>
          <t>Spouse 65+</t>
        </is>
      </c>
      <c r="C26" s="136" t="inlineStr">
        <is>
          <t>No</t>
        </is>
      </c>
      <c r="D26" s="137" t="inlineStr">
        <is>
          <t>Adds $1,550 to standard deduction (2024)</t>
        </is>
      </c>
    </row>
    <row r="27">
      <c r="B27" s="135" t="inlineStr">
        <is>
          <t>Taxpayer Blind</t>
        </is>
      </c>
      <c r="C27" s="136" t="inlineStr">
        <is>
          <t>No</t>
        </is>
      </c>
      <c r="D27" s="137" t="inlineStr">
        <is>
          <t>Adds $1,550 to standard deduction (2024)</t>
        </is>
      </c>
    </row>
    <row r="28">
      <c r="B28" s="135" t="inlineStr">
        <is>
          <t>Spouse Blind</t>
        </is>
      </c>
      <c r="C28" s="136" t="inlineStr">
        <is>
          <t>No</t>
        </is>
      </c>
      <c r="D28" s="137" t="inlineStr">
        <is>
          <t>Adds $1,550 to standard deduction (2024)</t>
        </is>
      </c>
    </row>
    <row r="29">
      <c r="B29" s="135" t="inlineStr">
        <is>
          <t>Dep — CTC Qualifying</t>
        </is>
      </c>
      <c r="C29" s="136" t="n">
        <v>2</v>
      </c>
      <c r="D29" s="137" t="inlineStr">
        <is>
          <t>Children under 17 — $2,000 CTC each</t>
        </is>
      </c>
    </row>
    <row r="30" ht="15.5" customHeight="1" s="99">
      <c r="B30" s="135" t="inlineStr">
        <is>
          <t>Dep — ODC Qualifying</t>
        </is>
      </c>
      <c r="C30" s="136" t="n">
        <v>0</v>
      </c>
      <c r="D30" s="137" t="inlineStr">
        <is>
          <t>Other dependents — $500 ODC each</t>
        </is>
      </c>
    </row>
    <row r="31">
      <c r="B31" s="135" t="inlineStr">
        <is>
          <t>Self-Employed Health Ins</t>
        </is>
      </c>
      <c r="C31" s="136" t="inlineStr">
        <is>
          <t>No</t>
        </is>
      </c>
      <c r="D31" s="137" t="inlineStr">
        <is>
          <t>Eligible to deduct SE health ins above-line</t>
        </is>
      </c>
    </row>
    <row r="32">
      <c r="B32" s="135" t="inlineStr">
        <is>
          <t>Itemize Override</t>
        </is>
      </c>
      <c r="C32" s="136" t="inlineStr">
        <is>
          <t>Auto</t>
        </is>
      </c>
      <c r="D32" s="137" t="inlineStr">
        <is>
          <t>Auto / Force Itemize / Force Standard</t>
        </is>
      </c>
    </row>
    <row r="33">
      <c r="B33" s="135" t="inlineStr">
        <is>
          <t>Prior Year Total Tax</t>
        </is>
      </c>
      <c r="C33" s="138" t="n">
        <v>0</v>
      </c>
      <c r="D33" s="137" t="inlineStr">
        <is>
          <t>For 110% safe harbor calc</t>
        </is>
      </c>
    </row>
    <row r="35">
      <c r="B35" s="66" t="inlineStr">
        <is>
          <t>▸ ACTIVE YEAR SNAPSHOT</t>
        </is>
      </c>
    </row>
    <row r="36">
      <c r="B36" s="85" t="inlineStr">
        <is>
          <t>AGI</t>
        </is>
      </c>
      <c r="C36" s="26">
        <f t="array" ref="C24">TEXT(AGI,"$#,##0")</f>
        <v/>
      </c>
    </row>
    <row r="37">
      <c r="B37" s="85" t="inlineStr">
        <is>
          <t>Taxable Income</t>
        </is>
      </c>
      <c r="C37" s="26">
        <f t="array" ref="C25">TEXT(TaxableIncome,"$#,##0")</f>
        <v/>
      </c>
    </row>
    <row r="38">
      <c r="B38" s="85" t="inlineStr">
        <is>
          <t>Effective Rate</t>
        </is>
      </c>
      <c r="C38" s="26">
        <f t="array" ref="C26">TEXT(IFERROR(INDIRECT("Y"&amp;Active_Year&amp;"!I130"),0),"0.0%")</f>
        <v/>
      </c>
    </row>
    <row r="39">
      <c r="B39" s="85" t="inlineStr">
        <is>
          <t>Total Tax</t>
        </is>
      </c>
      <c r="C39" s="26">
        <f t="array" ref="C27">TEXT(IFERROR(INDIRECT("Y"&amp;Active_Year&amp;"!I129"),0),"$#,##0")</f>
        <v/>
      </c>
    </row>
    <row r="40">
      <c r="B40" s="85" t="inlineStr">
        <is>
          <t>QBI Deduction</t>
        </is>
      </c>
      <c r="C40" s="26">
        <f t="array" ref="C28">TEXT(QBI_Deduction,"($#,##0)")</f>
        <v/>
      </c>
    </row>
    <row r="42">
      <c r="B42" s="67" t="inlineStr">
        <is>
          <t>▸ NAVIGATION</t>
        </is>
      </c>
    </row>
    <row r="44">
      <c r="B44" s="74" t="inlineStr">
        <is>
          <t>INPUT / CONFIG</t>
        </is>
      </c>
      <c r="C44" s="74" t="n"/>
    </row>
    <row r="45">
      <c r="B45" s="75">
        <f>HYPERLINK("#Master_Inputs!A1", "Master_Inputs")</f>
        <v/>
      </c>
      <c r="C45" s="62" t="inlineStr">
        <is>
          <t>Baseline income/deductions + committed strategies</t>
        </is>
      </c>
    </row>
    <row r="46">
      <c r="B46" s="75">
        <f>HYPERLINK("#AsFiled!A1", "AsFiled")</f>
        <v/>
      </c>
      <c r="C46" s="62" t="inlineStr">
        <is>
          <t>Filed return data by year for PY reconciliation</t>
        </is>
      </c>
    </row>
    <row r="47">
      <c r="B47" s="75">
        <f>HYPERLINK("#Carryovers!A1", "Carryovers")</f>
        <v/>
      </c>
      <c r="C47" s="62" t="inlineStr">
        <is>
          <t>PAL, CL, NOL manual inputs + calculator</t>
        </is>
      </c>
    </row>
    <row r="49">
      <c r="B49" s="47" t="inlineStr">
        <is>
          <t>YEAR SANDBOXES</t>
        </is>
      </c>
      <c r="C49" s="47" t="n"/>
    </row>
    <row r="50">
      <c r="B50" s="75">
        <f>HYPERLINK("#Y2023!A1", "Y2023")</f>
        <v/>
      </c>
      <c r="C50" s="62" t="inlineStr">
        <is>
          <t>Strategies (A5:F10), rollup, 7-calculator</t>
        </is>
      </c>
    </row>
    <row r="51">
      <c r="B51" s="75">
        <f>HYPERLINK("#Y2024!A1", "Y2024")</f>
        <v/>
      </c>
      <c r="C51" s="62" t="inlineStr">
        <is>
          <t>Strategies (A5:F10), rollup, 7-calculator</t>
        </is>
      </c>
    </row>
    <row r="52">
      <c r="B52" s="75">
        <f>HYPERLINK("#Y2025!A1", "Y2025")</f>
        <v/>
      </c>
      <c r="C52" s="62" t="inlineStr">
        <is>
          <t>Strategies (A5:F10), rollup, 7-calculator</t>
        </is>
      </c>
    </row>
    <row r="53">
      <c r="B53" s="75">
        <f>HYPERLINK("#Y2026!A1", "Y2026")</f>
        <v/>
      </c>
      <c r="C53" s="62" t="inlineStr">
        <is>
          <t>Strategies (A5:F10), rollup, 7-calculator</t>
        </is>
      </c>
    </row>
    <row r="54">
      <c r="B54" s="75">
        <f>HYPERLINK("#Y2027!A1", "Y2027")</f>
        <v/>
      </c>
      <c r="C54" s="62" t="inlineStr">
        <is>
          <t>Strategies (A5:F10), rollup, 7-calculator</t>
        </is>
      </c>
    </row>
    <row r="55">
      <c r="B55" s="75">
        <f>HYPERLINK("#Y2028!A1", "Y2028")</f>
        <v/>
      </c>
      <c r="C55" s="62" t="inlineStr">
        <is>
          <t>Strategies (A5:F10), rollup, 7-calculator</t>
        </is>
      </c>
    </row>
    <row r="57">
      <c r="B57" s="76" t="inlineStr">
        <is>
          <t>DASHBOARDS / RECON</t>
        </is>
      </c>
      <c r="C57" s="76" t="n"/>
    </row>
    <row r="58">
      <c r="B58" s="75">
        <f>HYPERLINK("#Tax_Plan_Dashboard!A1", "Tax_Plan_Dashboard")</f>
        <v/>
      </c>
      <c r="C58" s="62" t="inlineStr">
        <is>
          <t>KPIs + charts with year dropdown</t>
        </is>
      </c>
    </row>
    <row r="59">
      <c r="B59" s="75">
        <f>HYPERLINK("#PY_Recon!A1", "PY_Recon")</f>
        <v/>
      </c>
      <c r="C59" s="62" t="inlineStr">
        <is>
          <t>Prior year baseline vs AsFiled reconciliation</t>
        </is>
      </c>
    </row>
    <row r="60">
      <c r="B60" s="75">
        <f>HYPERLINK("#Pivot_GPD!A1", "Pivot_GPD")</f>
        <v/>
      </c>
      <c r="C60" s="62" t="inlineStr">
        <is>
          <t>Multi-year GETPIVOTDATA bridge + VP_ named ranges</t>
        </is>
      </c>
    </row>
    <row r="62">
      <c r="B62" s="77" t="inlineStr">
        <is>
          <t>PIVOT ENGINE (do not modify)</t>
        </is>
      </c>
      <c r="C62" s="77" t="n"/>
    </row>
    <row r="63">
      <c r="B63" s="75">
        <f>HYPERLINK("#Pivot_Summary!A1", "Pivot_Summary")</f>
        <v/>
      </c>
      <c r="C63" s="62" t="inlineStr">
        <is>
          <t>SUMIFS grid: 1040 lines × years</t>
        </is>
      </c>
    </row>
    <row r="64">
      <c r="B64" s="75">
        <f>HYPERLINK("#Pivot_Medium!A1", "Pivot_Medium")</f>
        <v/>
      </c>
      <c r="C64" s="62" t="inlineStr">
        <is>
          <t>SUMIFS grid: Line 8 breakout by treatment</t>
        </is>
      </c>
    </row>
    <row r="65">
      <c r="B65" s="75">
        <f>HYPERLINK("#Pivot_Detailed!A1", "Pivot_Detailed")</f>
        <v/>
      </c>
      <c r="C65" s="62" t="inlineStr">
        <is>
          <t>SUMIFS grid: informational lines (2a, 3a)</t>
        </is>
      </c>
    </row>
    <row r="66">
      <c r="B66" s="75">
        <f>HYPERLINK("#Pivot_Helpers!A1", "Pivot_Helpers")</f>
        <v/>
      </c>
      <c r="C66" s="62" t="inlineStr">
        <is>
          <t>SUMIFS grid: helper amounts × years</t>
        </is>
      </c>
    </row>
    <row r="68">
      <c r="B68" s="78" t="inlineStr">
        <is>
          <t>VISUAL PIVOTS</t>
        </is>
      </c>
      <c r="C68" s="78" t="n"/>
    </row>
    <row r="69">
      <c r="B69" s="75">
        <f>HYPERLINK("#Visual_Pivot_Income!A1", "Visual_Pivot_Income")</f>
        <v/>
      </c>
      <c r="C69" s="62" t="inlineStr">
        <is>
          <t>PivotTable: income by 1040 line</t>
        </is>
      </c>
    </row>
    <row r="70">
      <c r="B70" s="75">
        <f>HYPERLINK("#Visual_Pivot_BusinessIncome!A1", "Visual_Pivot_BusinessIncome")</f>
        <v/>
      </c>
      <c r="C70" s="62" t="inlineStr">
        <is>
          <t>PivotTable: business by treatment</t>
        </is>
      </c>
    </row>
    <row r="71">
      <c r="B71" s="75">
        <f>HYPERLINK("#Visual_Pivot_ByPayor!A1", "Visual_Pivot_ByPayor")</f>
        <v/>
      </c>
      <c r="C71" s="62" t="inlineStr">
        <is>
          <t>PivotTable: income by payor</t>
        </is>
      </c>
    </row>
    <row r="72">
      <c r="B72" s="75">
        <f>HYPERLINK("#Visual_Pivot_HelperCarveOuts!A1", "Visual_Pivot_HelperCarveOuts")</f>
        <v/>
      </c>
      <c r="C72" s="62" t="inlineStr">
        <is>
          <t>PivotTable: helper carve-outs</t>
        </is>
      </c>
    </row>
    <row r="74">
      <c r="B74" s="79" t="inlineStr">
        <is>
          <t>REFERENCE</t>
        </is>
      </c>
      <c r="C74" s="79" t="n"/>
    </row>
    <row r="75">
      <c r="B75" s="75">
        <f>HYPERLINK("#Tax_Ref!A1", "Tax_Ref")</f>
        <v/>
      </c>
      <c r="C75" s="62" t="inlineStr">
        <is>
          <t>Rate tables + Treatment_Profile_Map (5 tables)</t>
        </is>
      </c>
    </row>
    <row r="76">
      <c r="B76" s="75">
        <f>HYPERLINK("#Dropdown_Lists!A1", "Dropdown_Lists")</f>
        <v/>
      </c>
      <c r="C76" s="62" t="inlineStr">
        <is>
          <t>Validation source lists</t>
        </is>
      </c>
    </row>
    <row r="77">
      <c r="B77" s="75">
        <f>HYPERLINK("#Framework_Ref!A1", "Framework_Ref")</f>
        <v/>
      </c>
      <c r="C77" s="62" t="inlineStr">
        <is>
          <t>Canon v1.4 + Pecking Order + Strategies catalog</t>
        </is>
      </c>
    </row>
    <row r="78">
      <c r="B78" s="75">
        <f>HYPERLINK("#Glossary!A1", "Glossary")</f>
        <v/>
      </c>
      <c r="C78" s="62" t="inlineStr">
        <is>
          <t>100+ terms, PTET table + Tax Limitations</t>
        </is>
      </c>
    </row>
    <row r="79">
      <c r="B79" s="75">
        <f>HYPERLINK("#Questionnaire!A1", "Questionnaire")</f>
        <v/>
      </c>
      <c r="C79" s="62" t="inlineStr">
        <is>
          <t>26-question strategy intake (auto-detects from data)</t>
        </is>
      </c>
    </row>
    <row r="80">
      <c r="B80" s="75">
        <f>HYPERLINK("#Connections!A1", "Connections")</f>
        <v/>
      </c>
      <c r="C80" s="62" t="inlineStr">
        <is>
          <t>External file paths + extraction mapping</t>
        </is>
      </c>
    </row>
    <row r="81">
      <c r="B81" s="75">
        <f>HYPERLINK("#Projection_History!A1", "Projection_History")</f>
        <v/>
      </c>
      <c r="C81" s="62" t="inlineStr">
        <is>
          <t>Projected vs filed accuracy tracking</t>
        </is>
      </c>
    </row>
    <row r="82">
      <c r="B82" s="75">
        <f>HYPERLINK("#Change_Log!A1", "Change_Log")</f>
        <v/>
      </c>
      <c r="C82" s="62" t="inlineStr">
        <is>
          <t>Audit trail</t>
        </is>
      </c>
    </row>
    <row r="83">
      <c r="B83" s="75">
        <f>HYPERLINK("#Setup_Guide!A1", "Setup_Guide")</f>
        <v/>
      </c>
      <c r="C83" s="62" t="inlineStr">
        <is>
          <t>Onboarding + LAMBDA/VBA/Schema docs</t>
        </is>
      </c>
    </row>
    <row r="92">
      <c r="B92" s="75" t="n"/>
      <c r="C92" s="62" t="n"/>
    </row>
  </sheetData>
  <dataValidations count="7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  <dataValidation sqref="C25:C28 C31" showDropDown="0" showInputMessage="0" showErrorMessage="0" allowBlank="0" type="list">
      <formula1>"Yes,No"</formula1>
    </dataValidation>
    <dataValidation sqref="C32" showDropDown="0" showInputMessage="0" showErrorMessage="0" allowBlank="0" type="list">
      <formula1>"Auto,Force Itemize,Force Standard"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B2:G523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0" customWidth="1" style="99" min="2" max="2"/>
    <col width="22" customWidth="1" style="99" min="3" max="3"/>
    <col width="10" customWidth="1" style="99" min="4" max="4"/>
    <col width="22" customWidth="1" style="99" min="5" max="5"/>
    <col width="70" customWidth="1" style="99" min="6" max="6"/>
    <col width="50" customWidth="1" style="99" min="7" max="7"/>
  </cols>
  <sheetData>
    <row r="2" ht="26" customHeight="1" s="99">
      <c r="B2" s="206" t="inlineStr">
        <is>
          <t>AUDIT REPORT</t>
        </is>
      </c>
    </row>
    <row r="3">
      <c r="B3" s="137" t="inlineStr">
        <is>
          <t>Static scan of 19 non-reference sheets (7,057 cells). Flags hardcoded numbers/strings/thresholds. Re-run via phase3v16 script after edits.</t>
        </is>
      </c>
    </row>
    <row r="5">
      <c r="B5" s="171" t="inlineStr">
        <is>
          <t>▸ SECTION A — SUMMARY</t>
        </is>
      </c>
    </row>
    <row r="7">
      <c r="B7" s="207" t="inlineStr">
        <is>
          <t>Sheets scanned</t>
        </is>
      </c>
      <c r="C7" s="208" t="n">
        <v>19</v>
      </c>
    </row>
    <row r="8">
      <c r="B8" s="207" t="inlineStr">
        <is>
          <t>Cells scanned</t>
        </is>
      </c>
      <c r="C8" s="208" t="n">
        <v>7057</v>
      </c>
    </row>
    <row r="9">
      <c r="B9" s="207" t="inlineStr">
        <is>
          <t>🔴 FLAG (high-confidence bug)</t>
        </is>
      </c>
      <c r="C9" s="208" t="n">
        <v>0</v>
      </c>
    </row>
    <row r="10">
      <c r="B10" s="207" t="inlineStr">
        <is>
          <t>🟡 WARN (review)</t>
        </is>
      </c>
      <c r="C10" s="208" t="n">
        <v>1476</v>
      </c>
    </row>
    <row r="13">
      <c r="B13" s="171" t="inlineStr">
        <is>
          <t>▸ SECTION B — BREAKDOWN BY KIND</t>
        </is>
      </c>
    </row>
    <row r="15">
      <c r="B15" s="207" t="inlineStr">
        <is>
          <t>String literal in formula</t>
        </is>
      </c>
      <c r="C15" s="208" t="n">
        <v>1362</v>
      </c>
    </row>
    <row r="16">
      <c r="B16" s="207" t="inlineStr">
        <is>
          <t>Hardcoded rate</t>
        </is>
      </c>
      <c r="C16" s="208" t="n">
        <v>96</v>
      </c>
    </row>
    <row r="17">
      <c r="B17" s="207" t="inlineStr">
        <is>
          <t>Hardcoded threshold</t>
        </is>
      </c>
      <c r="C17" s="208" t="n">
        <v>18</v>
      </c>
    </row>
    <row r="20">
      <c r="B20" s="171" t="inlineStr">
        <is>
          <t>▸ SECTION C — FINDINGS (1476 total, sorted FLAG → WARN by sheet/cell. First 500 shown.)</t>
        </is>
      </c>
    </row>
    <row r="22">
      <c r="B22" s="145" t="inlineStr">
        <is>
          <t>Severity</t>
        </is>
      </c>
      <c r="C22" s="145" t="inlineStr">
        <is>
          <t>Sheet</t>
        </is>
      </c>
      <c r="D22" s="145" t="inlineStr">
        <is>
          <t>Cell</t>
        </is>
      </c>
      <c r="E22" s="145" t="inlineStr">
        <is>
          <t>Kind</t>
        </is>
      </c>
      <c r="F22" s="145" t="inlineStr">
        <is>
          <t>Detail</t>
        </is>
      </c>
      <c r="G22" s="145" t="inlineStr">
        <is>
          <t>Suggested action</t>
        </is>
      </c>
    </row>
    <row r="23">
      <c r="B23" s="209" t="inlineStr">
        <is>
          <t>WARN</t>
        </is>
      </c>
      <c r="C23" s="158" t="inlineStr">
        <is>
          <t>Deliverable</t>
        </is>
      </c>
      <c r="D23" s="210" t="inlineStr">
        <is>
          <t>B3</t>
        </is>
      </c>
      <c r="E23" s="211" t="inlineStr">
        <is>
          <t>String literal in formula</t>
        </is>
      </c>
      <c r="F23" s="211" t="inlineStr">
        <is>
          <t>String ' — Plan Year '. Formula: =Active_Client&amp;" — Plan Year "&amp;Active_Year</t>
        </is>
      </c>
      <c r="G23" s="211" t="inlineStr">
        <is>
          <t>If enum (status/state/etc.), pull from Dropdown_Lists.</t>
        </is>
      </c>
    </row>
    <row r="24">
      <c r="B24" s="209" t="inlineStr">
        <is>
          <t>WARN</t>
        </is>
      </c>
      <c r="C24" s="158" t="inlineStr">
        <is>
          <t>Deliverable</t>
        </is>
      </c>
      <c r="D24" s="210" t="inlineStr">
        <is>
          <t>B4</t>
        </is>
      </c>
      <c r="E24" s="211" t="inlineStr">
        <is>
          <t>String literal in formula</t>
        </is>
      </c>
      <c r="F24" s="211" t="inlineStr">
        <is>
          <t>String ' · Last Refresh: '. Formula: =Filing_Status&amp;" · Last Refresh: "&amp;TEXT(NOW(),"yyyy-mm-dd")</t>
        </is>
      </c>
      <c r="G24" s="211" t="inlineStr">
        <is>
          <t>If enum (status/state/etc.), pull from Dropdown_Lists.</t>
        </is>
      </c>
    </row>
    <row r="25">
      <c r="B25" s="209" t="inlineStr">
        <is>
          <t>WARN</t>
        </is>
      </c>
      <c r="C25" s="158" t="inlineStr">
        <is>
          <t>PY_Recon</t>
        </is>
      </c>
      <c r="D25" s="210" t="inlineStr">
        <is>
          <t>C21</t>
        </is>
      </c>
      <c r="E25" s="211" t="inlineStr">
        <is>
          <t>String literal in formula</t>
        </is>
      </c>
      <c r="F25" s="211" t="inlineStr">
        <is>
          <t>String '✓ OK'. Formula: =COUNTIF(G8:G18,"✓ OK")</t>
        </is>
      </c>
      <c r="G25" s="211" t="inlineStr">
        <is>
          <t>If enum (status/state/etc.), pull from Dropdown_Lists.</t>
        </is>
      </c>
    </row>
    <row r="26">
      <c r="B26" s="209" t="inlineStr">
        <is>
          <t>WARN</t>
        </is>
      </c>
      <c r="C26" s="158" t="inlineStr">
        <is>
          <t>PY_Recon</t>
        </is>
      </c>
      <c r="D26" s="210" t="inlineStr">
        <is>
          <t>C22</t>
        </is>
      </c>
      <c r="E26" s="211" t="inlineStr">
        <is>
          <t>String literal in formula</t>
        </is>
      </c>
      <c r="F26" s="211" t="inlineStr">
        <is>
          <t>String '✓ ALL LINES MATCH'. Formula: =IF(C21=E21,"✓ ALL LINES MATCH","⚠ VARIANCES FOUND — REVIEW BEFORE PLANNING")</t>
        </is>
      </c>
      <c r="G26" s="211" t="inlineStr">
        <is>
          <t>If enum (status/state/etc.), pull from Dropdown_Lists.</t>
        </is>
      </c>
    </row>
    <row r="27">
      <c r="B27" s="209" t="inlineStr">
        <is>
          <t>WARN</t>
        </is>
      </c>
      <c r="C27" s="158" t="inlineStr">
        <is>
          <t>PY_Recon</t>
        </is>
      </c>
      <c r="D27" s="210" t="inlineStr">
        <is>
          <t>C22</t>
        </is>
      </c>
      <c r="E27" s="211" t="inlineStr">
        <is>
          <t>String literal in formula</t>
        </is>
      </c>
      <c r="F27" s="211" t="inlineStr">
        <is>
          <t>String '⚠ VARIANCES FOUND — REVIEW BEFORE PLANNING'. Formula: =IF(C21=E21,"✓ ALL LINES MATCH","⚠ VARIANCES FOUND — REVIEW BEFORE PLANNING")</t>
        </is>
      </c>
      <c r="G27" s="211" t="inlineStr">
        <is>
          <t>If enum (status/state/etc.), pull from Dropdown_Lists.</t>
        </is>
      </c>
    </row>
    <row r="28">
      <c r="B28" s="209" t="inlineStr">
        <is>
          <t>WARN</t>
        </is>
      </c>
      <c r="C28" s="158" t="inlineStr">
        <is>
          <t>PY_Recon</t>
        </is>
      </c>
      <c r="D28" s="210" t="inlineStr">
        <is>
          <t>G10</t>
        </is>
      </c>
      <c r="E28" s="211" t="inlineStr">
        <is>
          <t>String literal in formula</t>
        </is>
      </c>
      <c r="F28" s="211" t="inlineStr">
        <is>
          <t>String '✓ OK'. Formula: =IF(ABS(F10)&lt;1,"✓ OK","⚠ CHECK")</t>
        </is>
      </c>
      <c r="G28" s="211" t="inlineStr">
        <is>
          <t>If enum (status/state/etc.), pull from Dropdown_Lists.</t>
        </is>
      </c>
    </row>
    <row r="29">
      <c r="B29" s="209" t="inlineStr">
        <is>
          <t>WARN</t>
        </is>
      </c>
      <c r="C29" s="158" t="inlineStr">
        <is>
          <t>PY_Recon</t>
        </is>
      </c>
      <c r="D29" s="210" t="inlineStr">
        <is>
          <t>G10</t>
        </is>
      </c>
      <c r="E29" s="211" t="inlineStr">
        <is>
          <t>String literal in formula</t>
        </is>
      </c>
      <c r="F29" s="211" t="inlineStr">
        <is>
          <t>String '⚠ CHECK'. Formula: =IF(ABS(F10)&lt;1,"✓ OK","⚠ CHECK")</t>
        </is>
      </c>
      <c r="G29" s="211" t="inlineStr">
        <is>
          <t>If enum (status/state/etc.), pull from Dropdown_Lists.</t>
        </is>
      </c>
    </row>
    <row r="30">
      <c r="B30" s="209" t="inlineStr">
        <is>
          <t>WARN</t>
        </is>
      </c>
      <c r="C30" s="158" t="inlineStr">
        <is>
          <t>PY_Recon</t>
        </is>
      </c>
      <c r="D30" s="210" t="inlineStr">
        <is>
          <t>G11</t>
        </is>
      </c>
      <c r="E30" s="211" t="inlineStr">
        <is>
          <t>String literal in formula</t>
        </is>
      </c>
      <c r="F30" s="211" t="inlineStr">
        <is>
          <t>String '✓ OK'. Formula: =IF(ABS(F11)&lt;1,"✓ OK","⚠ CHECK")</t>
        </is>
      </c>
      <c r="G30" s="211" t="inlineStr">
        <is>
          <t>If enum (status/state/etc.), pull from Dropdown_Lists.</t>
        </is>
      </c>
    </row>
    <row r="31">
      <c r="B31" s="209" t="inlineStr">
        <is>
          <t>WARN</t>
        </is>
      </c>
      <c r="C31" s="158" t="inlineStr">
        <is>
          <t>PY_Recon</t>
        </is>
      </c>
      <c r="D31" s="210" t="inlineStr">
        <is>
          <t>G11</t>
        </is>
      </c>
      <c r="E31" s="211" t="inlineStr">
        <is>
          <t>String literal in formula</t>
        </is>
      </c>
      <c r="F31" s="211" t="inlineStr">
        <is>
          <t>String '⚠ CHECK'. Formula: =IF(ABS(F11)&lt;1,"✓ OK","⚠ CHECK")</t>
        </is>
      </c>
      <c r="G31" s="211" t="inlineStr">
        <is>
          <t>If enum (status/state/etc.), pull from Dropdown_Lists.</t>
        </is>
      </c>
    </row>
    <row r="32">
      <c r="B32" s="209" t="inlineStr">
        <is>
          <t>WARN</t>
        </is>
      </c>
      <c r="C32" s="158" t="inlineStr">
        <is>
          <t>PY_Recon</t>
        </is>
      </c>
      <c r="D32" s="210" t="inlineStr">
        <is>
          <t>G12</t>
        </is>
      </c>
      <c r="E32" s="211" t="inlineStr">
        <is>
          <t>String literal in formula</t>
        </is>
      </c>
      <c r="F32" s="211" t="inlineStr">
        <is>
          <t>String '✓ OK'. Formula: =IF(ABS(F12)&lt;1,"✓ OK","⚠ CHECK")</t>
        </is>
      </c>
      <c r="G32" s="211" t="inlineStr">
        <is>
          <t>If enum (status/state/etc.), pull from Dropdown_Lists.</t>
        </is>
      </c>
    </row>
    <row r="33">
      <c r="B33" s="209" t="inlineStr">
        <is>
          <t>WARN</t>
        </is>
      </c>
      <c r="C33" s="158" t="inlineStr">
        <is>
          <t>PY_Recon</t>
        </is>
      </c>
      <c r="D33" s="210" t="inlineStr">
        <is>
          <t>G12</t>
        </is>
      </c>
      <c r="E33" s="211" t="inlineStr">
        <is>
          <t>String literal in formula</t>
        </is>
      </c>
      <c r="F33" s="211" t="inlineStr">
        <is>
          <t>String '⚠ CHECK'. Formula: =IF(ABS(F12)&lt;1,"✓ OK","⚠ CHECK")</t>
        </is>
      </c>
      <c r="G33" s="211" t="inlineStr">
        <is>
          <t>If enum (status/state/etc.), pull from Dropdown_Lists.</t>
        </is>
      </c>
    </row>
    <row r="34">
      <c r="B34" s="209" t="inlineStr">
        <is>
          <t>WARN</t>
        </is>
      </c>
      <c r="C34" s="158" t="inlineStr">
        <is>
          <t>PY_Recon</t>
        </is>
      </c>
      <c r="D34" s="210" t="inlineStr">
        <is>
          <t>G13</t>
        </is>
      </c>
      <c r="E34" s="211" t="inlineStr">
        <is>
          <t>String literal in formula</t>
        </is>
      </c>
      <c r="F34" s="211" t="inlineStr">
        <is>
          <t>String '✓ OK'. Formula: =IF(ABS(F13)&lt;1,"✓ OK","⚠ CHECK")</t>
        </is>
      </c>
      <c r="G34" s="211" t="inlineStr">
        <is>
          <t>If enum (status/state/etc.), pull from Dropdown_Lists.</t>
        </is>
      </c>
    </row>
    <row r="35">
      <c r="B35" s="209" t="inlineStr">
        <is>
          <t>WARN</t>
        </is>
      </c>
      <c r="C35" s="158" t="inlineStr">
        <is>
          <t>PY_Recon</t>
        </is>
      </c>
      <c r="D35" s="210" t="inlineStr">
        <is>
          <t>G13</t>
        </is>
      </c>
      <c r="E35" s="211" t="inlineStr">
        <is>
          <t>String literal in formula</t>
        </is>
      </c>
      <c r="F35" s="211" t="inlineStr">
        <is>
          <t>String '⚠ CHECK'. Formula: =IF(ABS(F13)&lt;1,"✓ OK","⚠ CHECK")</t>
        </is>
      </c>
      <c r="G35" s="211" t="inlineStr">
        <is>
          <t>If enum (status/state/etc.), pull from Dropdown_Lists.</t>
        </is>
      </c>
    </row>
    <row r="36">
      <c r="B36" s="209" t="inlineStr">
        <is>
          <t>WARN</t>
        </is>
      </c>
      <c r="C36" s="158" t="inlineStr">
        <is>
          <t>PY_Recon</t>
        </is>
      </c>
      <c r="D36" s="210" t="inlineStr">
        <is>
          <t>G14</t>
        </is>
      </c>
      <c r="E36" s="211" t="inlineStr">
        <is>
          <t>String literal in formula</t>
        </is>
      </c>
      <c r="F36" s="211" t="inlineStr">
        <is>
          <t>String '✓ OK'. Formula: =IF(ABS(F14)&lt;1,"✓ OK","⚠ CHECK")</t>
        </is>
      </c>
      <c r="G36" s="211" t="inlineStr">
        <is>
          <t>If enum (status/state/etc.), pull from Dropdown_Lists.</t>
        </is>
      </c>
    </row>
    <row r="37">
      <c r="B37" s="209" t="inlineStr">
        <is>
          <t>WARN</t>
        </is>
      </c>
      <c r="C37" s="158" t="inlineStr">
        <is>
          <t>PY_Recon</t>
        </is>
      </c>
      <c r="D37" s="210" t="inlineStr">
        <is>
          <t>G14</t>
        </is>
      </c>
      <c r="E37" s="211" t="inlineStr">
        <is>
          <t>String literal in formula</t>
        </is>
      </c>
      <c r="F37" s="211" t="inlineStr">
        <is>
          <t>String '⚠ CHECK'. Formula: =IF(ABS(F14)&lt;1,"✓ OK","⚠ CHECK")</t>
        </is>
      </c>
      <c r="G37" s="211" t="inlineStr">
        <is>
          <t>If enum (status/state/etc.), pull from Dropdown_Lists.</t>
        </is>
      </c>
    </row>
    <row r="38">
      <c r="B38" s="209" t="inlineStr">
        <is>
          <t>WARN</t>
        </is>
      </c>
      <c r="C38" s="158" t="inlineStr">
        <is>
          <t>PY_Recon</t>
        </is>
      </c>
      <c r="D38" s="210" t="inlineStr">
        <is>
          <t>G15</t>
        </is>
      </c>
      <c r="E38" s="211" t="inlineStr">
        <is>
          <t>String literal in formula</t>
        </is>
      </c>
      <c r="F38" s="211" t="inlineStr">
        <is>
          <t>String '✓ OK'. Formula: =IF(ABS(F15)&lt;1,"✓ OK","⚠ CHECK")</t>
        </is>
      </c>
      <c r="G38" s="211" t="inlineStr">
        <is>
          <t>If enum (status/state/etc.), pull from Dropdown_Lists.</t>
        </is>
      </c>
    </row>
    <row r="39">
      <c r="B39" s="209" t="inlineStr">
        <is>
          <t>WARN</t>
        </is>
      </c>
      <c r="C39" s="158" t="inlineStr">
        <is>
          <t>PY_Recon</t>
        </is>
      </c>
      <c r="D39" s="210" t="inlineStr">
        <is>
          <t>G15</t>
        </is>
      </c>
      <c r="E39" s="211" t="inlineStr">
        <is>
          <t>String literal in formula</t>
        </is>
      </c>
      <c r="F39" s="211" t="inlineStr">
        <is>
          <t>String '⚠ CHECK'. Formula: =IF(ABS(F15)&lt;1,"✓ OK","⚠ CHECK")</t>
        </is>
      </c>
      <c r="G39" s="211" t="inlineStr">
        <is>
          <t>If enum (status/state/etc.), pull from Dropdown_Lists.</t>
        </is>
      </c>
    </row>
    <row r="40">
      <c r="B40" s="209" t="inlineStr">
        <is>
          <t>WARN</t>
        </is>
      </c>
      <c r="C40" s="158" t="inlineStr">
        <is>
          <t>PY_Recon</t>
        </is>
      </c>
      <c r="D40" s="210" t="inlineStr">
        <is>
          <t>G16</t>
        </is>
      </c>
      <c r="E40" s="211" t="inlineStr">
        <is>
          <t>String literal in formula</t>
        </is>
      </c>
      <c r="F40" s="211" t="inlineStr">
        <is>
          <t>String '✓ OK'. Formula: =IF(ABS(F16)&lt;1,"✓ OK","⚠ CHECK")</t>
        </is>
      </c>
      <c r="G40" s="211" t="inlineStr">
        <is>
          <t>If enum (status/state/etc.), pull from Dropdown_Lists.</t>
        </is>
      </c>
    </row>
    <row r="41">
      <c r="B41" s="209" t="inlineStr">
        <is>
          <t>WARN</t>
        </is>
      </c>
      <c r="C41" s="158" t="inlineStr">
        <is>
          <t>PY_Recon</t>
        </is>
      </c>
      <c r="D41" s="210" t="inlineStr">
        <is>
          <t>G16</t>
        </is>
      </c>
      <c r="E41" s="211" t="inlineStr">
        <is>
          <t>String literal in formula</t>
        </is>
      </c>
      <c r="F41" s="211" t="inlineStr">
        <is>
          <t>String '⚠ CHECK'. Formula: =IF(ABS(F16)&lt;1,"✓ OK","⚠ CHECK")</t>
        </is>
      </c>
      <c r="G41" s="211" t="inlineStr">
        <is>
          <t>If enum (status/state/etc.), pull from Dropdown_Lists.</t>
        </is>
      </c>
    </row>
    <row r="42">
      <c r="B42" s="209" t="inlineStr">
        <is>
          <t>WARN</t>
        </is>
      </c>
      <c r="C42" s="158" t="inlineStr">
        <is>
          <t>PY_Recon</t>
        </is>
      </c>
      <c r="D42" s="210" t="inlineStr">
        <is>
          <t>G17</t>
        </is>
      </c>
      <c r="E42" s="211" t="inlineStr">
        <is>
          <t>String literal in formula</t>
        </is>
      </c>
      <c r="F42" s="211" t="inlineStr">
        <is>
          <t>String '✓ OK'. Formula: =IF(ABS(F17)&lt;1,"✓ OK","⚠ CHECK")</t>
        </is>
      </c>
      <c r="G42" s="211" t="inlineStr">
        <is>
          <t>If enum (status/state/etc.), pull from Dropdown_Lists.</t>
        </is>
      </c>
    </row>
    <row r="43">
      <c r="B43" s="209" t="inlineStr">
        <is>
          <t>WARN</t>
        </is>
      </c>
      <c r="C43" s="158" t="inlineStr">
        <is>
          <t>PY_Recon</t>
        </is>
      </c>
      <c r="D43" s="210" t="inlineStr">
        <is>
          <t>G17</t>
        </is>
      </c>
      <c r="E43" s="211" t="inlineStr">
        <is>
          <t>String literal in formula</t>
        </is>
      </c>
      <c r="F43" s="211" t="inlineStr">
        <is>
          <t>String '⚠ CHECK'. Formula: =IF(ABS(F17)&lt;1,"✓ OK","⚠ CHECK")</t>
        </is>
      </c>
      <c r="G43" s="211" t="inlineStr">
        <is>
          <t>If enum (status/state/etc.), pull from Dropdown_Lists.</t>
        </is>
      </c>
    </row>
    <row r="44">
      <c r="B44" s="209" t="inlineStr">
        <is>
          <t>WARN</t>
        </is>
      </c>
      <c r="C44" s="158" t="inlineStr">
        <is>
          <t>PY_Recon</t>
        </is>
      </c>
      <c r="D44" s="210" t="inlineStr">
        <is>
          <t>G18</t>
        </is>
      </c>
      <c r="E44" s="211" t="inlineStr">
        <is>
          <t>String literal in formula</t>
        </is>
      </c>
      <c r="F44" s="211" t="inlineStr">
        <is>
          <t>String '✓ OK'. Formula: =IF(ABS(F18)&lt;1,"✓ OK","⚠ CHECK")</t>
        </is>
      </c>
      <c r="G44" s="211" t="inlineStr">
        <is>
          <t>If enum (status/state/etc.), pull from Dropdown_Lists.</t>
        </is>
      </c>
    </row>
    <row r="45">
      <c r="B45" s="209" t="inlineStr">
        <is>
          <t>WARN</t>
        </is>
      </c>
      <c r="C45" s="158" t="inlineStr">
        <is>
          <t>PY_Recon</t>
        </is>
      </c>
      <c r="D45" s="210" t="inlineStr">
        <is>
          <t>G18</t>
        </is>
      </c>
      <c r="E45" s="211" t="inlineStr">
        <is>
          <t>String literal in formula</t>
        </is>
      </c>
      <c r="F45" s="211" t="inlineStr">
        <is>
          <t>String '⚠ CHECK'. Formula: =IF(ABS(F18)&lt;1,"✓ OK","⚠ CHECK")</t>
        </is>
      </c>
      <c r="G45" s="211" t="inlineStr">
        <is>
          <t>If enum (status/state/etc.), pull from Dropdown_Lists.</t>
        </is>
      </c>
    </row>
    <row r="46">
      <c r="B46" s="209" t="inlineStr">
        <is>
          <t>WARN</t>
        </is>
      </c>
      <c r="C46" s="158" t="inlineStr">
        <is>
          <t>PY_Recon</t>
        </is>
      </c>
      <c r="D46" s="210" t="inlineStr">
        <is>
          <t>G8</t>
        </is>
      </c>
      <c r="E46" s="211" t="inlineStr">
        <is>
          <t>String literal in formula</t>
        </is>
      </c>
      <c r="F46" s="211" t="inlineStr">
        <is>
          <t>String '✓ OK'. Formula: =IF(ABS(F8)&lt;1,"✓ OK","⚠ CHECK")</t>
        </is>
      </c>
      <c r="G46" s="211" t="inlineStr">
        <is>
          <t>If enum (status/state/etc.), pull from Dropdown_Lists.</t>
        </is>
      </c>
    </row>
    <row r="47">
      <c r="B47" s="209" t="inlineStr">
        <is>
          <t>WARN</t>
        </is>
      </c>
      <c r="C47" s="158" t="inlineStr">
        <is>
          <t>PY_Recon</t>
        </is>
      </c>
      <c r="D47" s="210" t="inlineStr">
        <is>
          <t>G8</t>
        </is>
      </c>
      <c r="E47" s="211" t="inlineStr">
        <is>
          <t>String literal in formula</t>
        </is>
      </c>
      <c r="F47" s="211" t="inlineStr">
        <is>
          <t>String '⚠ CHECK'. Formula: =IF(ABS(F8)&lt;1,"✓ OK","⚠ CHECK")</t>
        </is>
      </c>
      <c r="G47" s="211" t="inlineStr">
        <is>
          <t>If enum (status/state/etc.), pull from Dropdown_Lists.</t>
        </is>
      </c>
    </row>
    <row r="48">
      <c r="B48" s="209" t="inlineStr">
        <is>
          <t>WARN</t>
        </is>
      </c>
      <c r="C48" s="158" t="inlineStr">
        <is>
          <t>PY_Recon</t>
        </is>
      </c>
      <c r="D48" s="210" t="inlineStr">
        <is>
          <t>G9</t>
        </is>
      </c>
      <c r="E48" s="211" t="inlineStr">
        <is>
          <t>String literal in formula</t>
        </is>
      </c>
      <c r="F48" s="211" t="inlineStr">
        <is>
          <t>String '✓ OK'. Formula: =IF(ABS(F9)&lt;1,"✓ OK","⚠ CHECK")</t>
        </is>
      </c>
      <c r="G48" s="211" t="inlineStr">
        <is>
          <t>If enum (status/state/etc.), pull from Dropdown_Lists.</t>
        </is>
      </c>
    </row>
    <row r="49">
      <c r="B49" s="209" t="inlineStr">
        <is>
          <t>WARN</t>
        </is>
      </c>
      <c r="C49" s="158" t="inlineStr">
        <is>
          <t>PY_Recon</t>
        </is>
      </c>
      <c r="D49" s="210" t="inlineStr">
        <is>
          <t>G9</t>
        </is>
      </c>
      <c r="E49" s="211" t="inlineStr">
        <is>
          <t>String literal in formula</t>
        </is>
      </c>
      <c r="F49" s="211" t="inlineStr">
        <is>
          <t>String '⚠ CHECK'. Formula: =IF(ABS(F9)&lt;1,"✓ OK","⚠ CHECK")</t>
        </is>
      </c>
      <c r="G49" s="211" t="inlineStr">
        <is>
          <t>If enum (status/state/etc.), pull from Dropdown_Lists.</t>
        </is>
      </c>
    </row>
    <row r="50">
      <c r="B50" s="209" t="inlineStr">
        <is>
          <t>WARN</t>
        </is>
      </c>
      <c r="C50" s="158" t="inlineStr">
        <is>
          <t>Pivot_Detailed</t>
        </is>
      </c>
      <c r="D50" s="210" t="inlineStr">
        <is>
          <t>C6</t>
        </is>
      </c>
      <c r="E50" s="211" t="inlineStr">
        <is>
          <t>String literal in formula</t>
        </is>
      </c>
      <c r="F50" s="211" t="inlineStr">
        <is>
          <t>String 'TAX_EXEMPT'. Formula: =SUMIFS(tblMaster_Inputs[Helper_Amount], tblMaster_Inputs[Year], 2023, tblMaster</t>
        </is>
      </c>
      <c r="G50" s="211" t="inlineStr">
        <is>
          <t>If enum (status/state/etc.), pull from Dropdown_Lists.</t>
        </is>
      </c>
    </row>
    <row r="51">
      <c r="B51" s="209" t="inlineStr">
        <is>
          <t>WARN</t>
        </is>
      </c>
      <c r="C51" s="158" t="inlineStr">
        <is>
          <t>Pivot_Detailed</t>
        </is>
      </c>
      <c r="D51" s="210" t="inlineStr">
        <is>
          <t>C8</t>
        </is>
      </c>
      <c r="E51" s="211" t="inlineStr">
        <is>
          <t>String literal in formula</t>
        </is>
      </c>
      <c r="F51" s="211" t="inlineStr">
        <is>
          <t>String 'QUAL_DIV'. Formula: =SUMIFS(tblMaster_Inputs[Helper_Amount], tblMaster_Inputs[Year], 2023, tblMaster</t>
        </is>
      </c>
      <c r="G51" s="211" t="inlineStr">
        <is>
          <t>If enum (status/state/etc.), pull from Dropdown_Lists.</t>
        </is>
      </c>
    </row>
    <row r="52">
      <c r="B52" s="209" t="inlineStr">
        <is>
          <t>WARN</t>
        </is>
      </c>
      <c r="C52" s="158" t="inlineStr">
        <is>
          <t>Pivot_Detailed</t>
        </is>
      </c>
      <c r="D52" s="210" t="inlineStr">
        <is>
          <t>D6</t>
        </is>
      </c>
      <c r="E52" s="211" t="inlineStr">
        <is>
          <t>String literal in formula</t>
        </is>
      </c>
      <c r="F52" s="211" t="inlineStr">
        <is>
          <t>String 'TAX_EXEMPT'. Formula: =SUMIFS(tblMaster_Inputs[Helper_Amount], tblMaster_Inputs[Year], 2024, tblMaster</t>
        </is>
      </c>
      <c r="G52" s="211" t="inlineStr">
        <is>
          <t>If enum (status/state/etc.), pull from Dropdown_Lists.</t>
        </is>
      </c>
    </row>
    <row r="53">
      <c r="B53" s="209" t="inlineStr">
        <is>
          <t>WARN</t>
        </is>
      </c>
      <c r="C53" s="158" t="inlineStr">
        <is>
          <t>Pivot_Detailed</t>
        </is>
      </c>
      <c r="D53" s="210" t="inlineStr">
        <is>
          <t>D8</t>
        </is>
      </c>
      <c r="E53" s="211" t="inlineStr">
        <is>
          <t>String literal in formula</t>
        </is>
      </c>
      <c r="F53" s="211" t="inlineStr">
        <is>
          <t>String 'QUAL_DIV'. Formula: =SUMIFS(tblMaster_Inputs[Helper_Amount], tblMaster_Inputs[Year], 2024, tblMaster</t>
        </is>
      </c>
      <c r="G53" s="211" t="inlineStr">
        <is>
          <t>If enum (status/state/etc.), pull from Dropdown_Lists.</t>
        </is>
      </c>
    </row>
    <row r="54">
      <c r="B54" s="209" t="inlineStr">
        <is>
          <t>WARN</t>
        </is>
      </c>
      <c r="C54" s="158" t="inlineStr">
        <is>
          <t>Pivot_Detailed</t>
        </is>
      </c>
      <c r="D54" s="210" t="inlineStr">
        <is>
          <t>E6</t>
        </is>
      </c>
      <c r="E54" s="211" t="inlineStr">
        <is>
          <t>String literal in formula</t>
        </is>
      </c>
      <c r="F54" s="211" t="inlineStr">
        <is>
          <t>String 'TAX_EXEMPT'. Formula: =SUMIFS(tblMaster_Inputs[Helper_Amount], tblMaster_Inputs[Year], 2025, tblMaster</t>
        </is>
      </c>
      <c r="G54" s="211" t="inlineStr">
        <is>
          <t>If enum (status/state/etc.), pull from Dropdown_Lists.</t>
        </is>
      </c>
    </row>
    <row r="55">
      <c r="B55" s="209" t="inlineStr">
        <is>
          <t>WARN</t>
        </is>
      </c>
      <c r="C55" s="158" t="inlineStr">
        <is>
          <t>Pivot_Detailed</t>
        </is>
      </c>
      <c r="D55" s="210" t="inlineStr">
        <is>
          <t>E8</t>
        </is>
      </c>
      <c r="E55" s="211" t="inlineStr">
        <is>
          <t>String literal in formula</t>
        </is>
      </c>
      <c r="F55" s="211" t="inlineStr">
        <is>
          <t>String 'QUAL_DIV'. Formula: =SUMIFS(tblMaster_Inputs[Helper_Amount], tblMaster_Inputs[Year], 2025, tblMaster</t>
        </is>
      </c>
      <c r="G55" s="211" t="inlineStr">
        <is>
          <t>If enum (status/state/etc.), pull from Dropdown_Lists.</t>
        </is>
      </c>
    </row>
    <row r="56">
      <c r="B56" s="209" t="inlineStr">
        <is>
          <t>WARN</t>
        </is>
      </c>
      <c r="C56" s="158" t="inlineStr">
        <is>
          <t>Pivot_Detailed</t>
        </is>
      </c>
      <c r="D56" s="210" t="inlineStr">
        <is>
          <t>F6</t>
        </is>
      </c>
      <c r="E56" s="211" t="inlineStr">
        <is>
          <t>String literal in formula</t>
        </is>
      </c>
      <c r="F56" s="211" t="inlineStr">
        <is>
          <t>String 'TAX_EXEMPT'. Formula: =SUMIFS(tblMaster_Inputs[Helper_Amount], tblMaster_Inputs[Year], 2026, tblMaster</t>
        </is>
      </c>
      <c r="G56" s="211" t="inlineStr">
        <is>
          <t>If enum (status/state/etc.), pull from Dropdown_Lists.</t>
        </is>
      </c>
    </row>
    <row r="57">
      <c r="B57" s="209" t="inlineStr">
        <is>
          <t>WARN</t>
        </is>
      </c>
      <c r="C57" s="158" t="inlineStr">
        <is>
          <t>Pivot_Detailed</t>
        </is>
      </c>
      <c r="D57" s="210" t="inlineStr">
        <is>
          <t>F8</t>
        </is>
      </c>
      <c r="E57" s="211" t="inlineStr">
        <is>
          <t>String literal in formula</t>
        </is>
      </c>
      <c r="F57" s="211" t="inlineStr">
        <is>
          <t>String 'QUAL_DIV'. Formula: =SUMIFS(tblMaster_Inputs[Helper_Amount], tblMaster_Inputs[Year], 2026, tblMaster</t>
        </is>
      </c>
      <c r="G57" s="211" t="inlineStr">
        <is>
          <t>If enum (status/state/etc.), pull from Dropdown_Lists.</t>
        </is>
      </c>
    </row>
    <row r="58">
      <c r="B58" s="209" t="inlineStr">
        <is>
          <t>WARN</t>
        </is>
      </c>
      <c r="C58" s="158" t="inlineStr">
        <is>
          <t>Pivot_Detailed</t>
        </is>
      </c>
      <c r="D58" s="210" t="inlineStr">
        <is>
          <t>G6</t>
        </is>
      </c>
      <c r="E58" s="211" t="inlineStr">
        <is>
          <t>String literal in formula</t>
        </is>
      </c>
      <c r="F58" s="211" t="inlineStr">
        <is>
          <t>String 'TAX_EXEMPT'. Formula: =SUMIFS(tblMaster_Inputs[Helper_Amount], tblMaster_Inputs[Year], 2027, tblMaster</t>
        </is>
      </c>
      <c r="G58" s="211" t="inlineStr">
        <is>
          <t>If enum (status/state/etc.), pull from Dropdown_Lists.</t>
        </is>
      </c>
    </row>
    <row r="59">
      <c r="B59" s="209" t="inlineStr">
        <is>
          <t>WARN</t>
        </is>
      </c>
      <c r="C59" s="158" t="inlineStr">
        <is>
          <t>Pivot_Detailed</t>
        </is>
      </c>
      <c r="D59" s="210" t="inlineStr">
        <is>
          <t>G8</t>
        </is>
      </c>
      <c r="E59" s="211" t="inlineStr">
        <is>
          <t>String literal in formula</t>
        </is>
      </c>
      <c r="F59" s="211" t="inlineStr">
        <is>
          <t>String 'QUAL_DIV'. Formula: =SUMIFS(tblMaster_Inputs[Helper_Amount], tblMaster_Inputs[Year], 2027, tblMaster</t>
        </is>
      </c>
      <c r="G59" s="211" t="inlineStr">
        <is>
          <t>If enum (status/state/etc.), pull from Dropdown_Lists.</t>
        </is>
      </c>
    </row>
    <row r="60">
      <c r="B60" s="209" t="inlineStr">
        <is>
          <t>WARN</t>
        </is>
      </c>
      <c r="C60" s="158" t="inlineStr">
        <is>
          <t>Pivot_Detailed</t>
        </is>
      </c>
      <c r="D60" s="210" t="inlineStr">
        <is>
          <t>H6</t>
        </is>
      </c>
      <c r="E60" s="211" t="inlineStr">
        <is>
          <t>String literal in formula</t>
        </is>
      </c>
      <c r="F60" s="211" t="inlineStr">
        <is>
          <t>String 'TAX_EXEMPT'. Formula: =SUMIFS(tblMaster_Inputs[Helper_Amount], tblMaster_Inputs[Year], 2028, tblMaster</t>
        </is>
      </c>
      <c r="G60" s="211" t="inlineStr">
        <is>
          <t>If enum (status/state/etc.), pull from Dropdown_Lists.</t>
        </is>
      </c>
    </row>
    <row r="61">
      <c r="B61" s="209" t="inlineStr">
        <is>
          <t>WARN</t>
        </is>
      </c>
      <c r="C61" s="158" t="inlineStr">
        <is>
          <t>Pivot_Detailed</t>
        </is>
      </c>
      <c r="D61" s="210" t="inlineStr">
        <is>
          <t>H8</t>
        </is>
      </c>
      <c r="E61" s="211" t="inlineStr">
        <is>
          <t>String literal in formula</t>
        </is>
      </c>
      <c r="F61" s="211" t="inlineStr">
        <is>
          <t>String 'QUAL_DIV'. Formula: =SUMIFS(tblMaster_Inputs[Helper_Amount], tblMaster_Inputs[Year], 2028, tblMaster</t>
        </is>
      </c>
      <c r="G61" s="211" t="inlineStr">
        <is>
          <t>If enum (status/state/etc.), pull from Dropdown_Lists.</t>
        </is>
      </c>
    </row>
    <row r="62">
      <c r="B62" s="209" t="inlineStr">
        <is>
          <t>WARN</t>
        </is>
      </c>
      <c r="C62" s="158" t="inlineStr">
        <is>
          <t>Pivot_Detailed</t>
        </is>
      </c>
      <c r="D62" s="210" t="inlineStr">
        <is>
          <t>I6</t>
        </is>
      </c>
      <c r="E62" s="211" t="inlineStr">
        <is>
          <t>String literal in formula</t>
        </is>
      </c>
      <c r="F62" s="211" t="inlineStr">
        <is>
          <t>String 'TAX_EXEMPT'. Formula: =SUMIFS(tblMaster_Inputs[Helper_Amount], tblMaster_Inputs[Year], 2023, tblMaster</t>
        </is>
      </c>
      <c r="G62" s="211" t="inlineStr">
        <is>
          <t>If enum (status/state/etc.), pull from Dropdown_Lists.</t>
        </is>
      </c>
    </row>
    <row r="63">
      <c r="B63" s="209" t="inlineStr">
        <is>
          <t>WARN</t>
        </is>
      </c>
      <c r="C63" s="158" t="inlineStr">
        <is>
          <t>Pivot_Detailed</t>
        </is>
      </c>
      <c r="D63" s="210" t="inlineStr">
        <is>
          <t>I8</t>
        </is>
      </c>
      <c r="E63" s="211" t="inlineStr">
        <is>
          <t>String literal in formula</t>
        </is>
      </c>
      <c r="F63" s="211" t="inlineStr">
        <is>
          <t>String 'QUAL_DIV'. Formula: =SUMIFS(tblMaster_Inputs[Helper_Amount], tblMaster_Inputs[Year], 2023, tblMaster</t>
        </is>
      </c>
      <c r="G63" s="211" t="inlineStr">
        <is>
          <t>If enum (status/state/etc.), pull from Dropdown_Lists.</t>
        </is>
      </c>
    </row>
    <row r="64">
      <c r="B64" s="209" t="inlineStr">
        <is>
          <t>WARN</t>
        </is>
      </c>
      <c r="C64" s="158" t="inlineStr">
        <is>
          <t>Pivot_Detailed</t>
        </is>
      </c>
      <c r="D64" s="210" t="inlineStr">
        <is>
          <t>J6</t>
        </is>
      </c>
      <c r="E64" s="211" t="inlineStr">
        <is>
          <t>String literal in formula</t>
        </is>
      </c>
      <c r="F64" s="211" t="inlineStr">
        <is>
          <t>String 'TAX_EXEMPT'. Formula: =SUMIFS(tblMaster_Inputs[Helper_Amount], tblMaster_Inputs[Year], 2024, tblMaster</t>
        </is>
      </c>
      <c r="G64" s="211" t="inlineStr">
        <is>
          <t>If enum (status/state/etc.), pull from Dropdown_Lists.</t>
        </is>
      </c>
    </row>
    <row r="65">
      <c r="B65" s="209" t="inlineStr">
        <is>
          <t>WARN</t>
        </is>
      </c>
      <c r="C65" s="158" t="inlineStr">
        <is>
          <t>Pivot_Detailed</t>
        </is>
      </c>
      <c r="D65" s="210" t="inlineStr">
        <is>
          <t>J8</t>
        </is>
      </c>
      <c r="E65" s="211" t="inlineStr">
        <is>
          <t>String literal in formula</t>
        </is>
      </c>
      <c r="F65" s="211" t="inlineStr">
        <is>
          <t>String 'QUAL_DIV'. Formula: =SUMIFS(tblMaster_Inputs[Helper_Amount], tblMaster_Inputs[Year], 2024, tblMaster</t>
        </is>
      </c>
      <c r="G65" s="211" t="inlineStr">
        <is>
          <t>If enum (status/state/etc.), pull from Dropdown_Lists.</t>
        </is>
      </c>
    </row>
    <row r="66">
      <c r="B66" s="209" t="inlineStr">
        <is>
          <t>WARN</t>
        </is>
      </c>
      <c r="C66" s="158" t="inlineStr">
        <is>
          <t>Pivot_Detailed</t>
        </is>
      </c>
      <c r="D66" s="210" t="inlineStr">
        <is>
          <t>K6</t>
        </is>
      </c>
      <c r="E66" s="211" t="inlineStr">
        <is>
          <t>String literal in formula</t>
        </is>
      </c>
      <c r="F66" s="211" t="inlineStr">
        <is>
          <t>String 'TAX_EXEMPT'. Formula: =SUMIFS(tblMaster_Inputs[Helper_Amount], tblMaster_Inputs[Year], 2025, tblMaster</t>
        </is>
      </c>
      <c r="G66" s="211" t="inlineStr">
        <is>
          <t>If enum (status/state/etc.), pull from Dropdown_Lists.</t>
        </is>
      </c>
    </row>
    <row r="67">
      <c r="B67" s="209" t="inlineStr">
        <is>
          <t>WARN</t>
        </is>
      </c>
      <c r="C67" s="158" t="inlineStr">
        <is>
          <t>Pivot_Detailed</t>
        </is>
      </c>
      <c r="D67" s="210" t="inlineStr">
        <is>
          <t>K8</t>
        </is>
      </c>
      <c r="E67" s="211" t="inlineStr">
        <is>
          <t>String literal in formula</t>
        </is>
      </c>
      <c r="F67" s="211" t="inlineStr">
        <is>
          <t>String 'QUAL_DIV'. Formula: =SUMIFS(tblMaster_Inputs[Helper_Amount], tblMaster_Inputs[Year], 2025, tblMaster</t>
        </is>
      </c>
      <c r="G67" s="211" t="inlineStr">
        <is>
          <t>If enum (status/state/etc.), pull from Dropdown_Lists.</t>
        </is>
      </c>
    </row>
    <row r="68">
      <c r="B68" s="209" t="inlineStr">
        <is>
          <t>WARN</t>
        </is>
      </c>
      <c r="C68" s="158" t="inlineStr">
        <is>
          <t>Pivot_Detailed</t>
        </is>
      </c>
      <c r="D68" s="210" t="inlineStr">
        <is>
          <t>L6</t>
        </is>
      </c>
      <c r="E68" s="211" t="inlineStr">
        <is>
          <t>String literal in formula</t>
        </is>
      </c>
      <c r="F68" s="211" t="inlineStr">
        <is>
          <t>String 'TAX_EXEMPT'. Formula: =SUMIFS(tblMaster_Inputs[Helper_Amount], tblMaster_Inputs[Year], 2026, tblMaster</t>
        </is>
      </c>
      <c r="G68" s="211" t="inlineStr">
        <is>
          <t>If enum (status/state/etc.), pull from Dropdown_Lists.</t>
        </is>
      </c>
    </row>
    <row r="69">
      <c r="B69" s="209" t="inlineStr">
        <is>
          <t>WARN</t>
        </is>
      </c>
      <c r="C69" s="158" t="inlineStr">
        <is>
          <t>Pivot_Detailed</t>
        </is>
      </c>
      <c r="D69" s="210" t="inlineStr">
        <is>
          <t>L8</t>
        </is>
      </c>
      <c r="E69" s="211" t="inlineStr">
        <is>
          <t>String literal in formula</t>
        </is>
      </c>
      <c r="F69" s="211" t="inlineStr">
        <is>
          <t>String 'QUAL_DIV'. Formula: =SUMIFS(tblMaster_Inputs[Helper_Amount], tblMaster_Inputs[Year], 2026, tblMaster</t>
        </is>
      </c>
      <c r="G69" s="211" t="inlineStr">
        <is>
          <t>If enum (status/state/etc.), pull from Dropdown_Lists.</t>
        </is>
      </c>
    </row>
    <row r="70">
      <c r="B70" s="209" t="inlineStr">
        <is>
          <t>WARN</t>
        </is>
      </c>
      <c r="C70" s="158" t="inlineStr">
        <is>
          <t>Pivot_Detailed</t>
        </is>
      </c>
      <c r="D70" s="210" t="inlineStr">
        <is>
          <t>M6</t>
        </is>
      </c>
      <c r="E70" s="211" t="inlineStr">
        <is>
          <t>String literal in formula</t>
        </is>
      </c>
      <c r="F70" s="211" t="inlineStr">
        <is>
          <t>String 'TAX_EXEMPT'. Formula: =SUMIFS(tblMaster_Inputs[Helper_Amount], tblMaster_Inputs[Year], 2027, tblMaster</t>
        </is>
      </c>
      <c r="G70" s="211" t="inlineStr">
        <is>
          <t>If enum (status/state/etc.), pull from Dropdown_Lists.</t>
        </is>
      </c>
    </row>
    <row r="71">
      <c r="B71" s="209" t="inlineStr">
        <is>
          <t>WARN</t>
        </is>
      </c>
      <c r="C71" s="158" t="inlineStr">
        <is>
          <t>Pivot_Detailed</t>
        </is>
      </c>
      <c r="D71" s="210" t="inlineStr">
        <is>
          <t>M8</t>
        </is>
      </c>
      <c r="E71" s="211" t="inlineStr">
        <is>
          <t>String literal in formula</t>
        </is>
      </c>
      <c r="F71" s="211" t="inlineStr">
        <is>
          <t>String 'QUAL_DIV'. Formula: =SUMIFS(tblMaster_Inputs[Helper_Amount], tblMaster_Inputs[Year], 2027, tblMaster</t>
        </is>
      </c>
      <c r="G71" s="211" t="inlineStr">
        <is>
          <t>If enum (status/state/etc.), pull from Dropdown_Lists.</t>
        </is>
      </c>
    </row>
    <row r="72">
      <c r="B72" s="209" t="inlineStr">
        <is>
          <t>WARN</t>
        </is>
      </c>
      <c r="C72" s="158" t="inlineStr">
        <is>
          <t>Pivot_Detailed</t>
        </is>
      </c>
      <c r="D72" s="210" t="inlineStr">
        <is>
          <t>N6</t>
        </is>
      </c>
      <c r="E72" s="211" t="inlineStr">
        <is>
          <t>String literal in formula</t>
        </is>
      </c>
      <c r="F72" s="211" t="inlineStr">
        <is>
          <t>String 'TAX_EXEMPT'. Formula: =SUMIFS(tblMaster_Inputs[Helper_Amount], tblMaster_Inputs[Year], 2028, tblMaster</t>
        </is>
      </c>
      <c r="G72" s="211" t="inlineStr">
        <is>
          <t>If enum (status/state/etc.), pull from Dropdown_Lists.</t>
        </is>
      </c>
    </row>
    <row r="73">
      <c r="B73" s="209" t="inlineStr">
        <is>
          <t>WARN</t>
        </is>
      </c>
      <c r="C73" s="158" t="inlineStr">
        <is>
          <t>Pivot_Detailed</t>
        </is>
      </c>
      <c r="D73" s="210" t="inlineStr">
        <is>
          <t>N8</t>
        </is>
      </c>
      <c r="E73" s="211" t="inlineStr">
        <is>
          <t>String literal in formula</t>
        </is>
      </c>
      <c r="F73" s="211" t="inlineStr">
        <is>
          <t>String 'QUAL_DIV'. Formula: =SUMIFS(tblMaster_Inputs[Helper_Amount], tblMaster_Inputs[Year], 2028, tblMaster</t>
        </is>
      </c>
      <c r="G73" s="211" t="inlineStr">
        <is>
          <t>If enum (status/state/etc.), pull from Dropdown_Lists.</t>
        </is>
      </c>
    </row>
    <row r="74">
      <c r="B74" s="209" t="inlineStr">
        <is>
          <t>WARN</t>
        </is>
      </c>
      <c r="C74" s="158" t="inlineStr">
        <is>
          <t>Pivot_GPD</t>
        </is>
      </c>
      <c r="D74" s="210" t="inlineStr">
        <is>
          <t>D10</t>
        </is>
      </c>
      <c r="E74" s="211" t="inlineStr">
        <is>
          <t>String literal in formula</t>
        </is>
      </c>
      <c r="F74" s="211" t="inlineStr">
        <is>
          <t>String 'Baseline_Amount'. Formula: =IFERROR(GETPIVOTDATA("Baseline_Amount",Visual_Pivot_Income!$B$5,"Primary_Line",</t>
        </is>
      </c>
      <c r="G74" s="211" t="inlineStr">
        <is>
          <t>If enum (status/state/etc.), pull from Dropdown_Lists.</t>
        </is>
      </c>
    </row>
    <row r="75">
      <c r="B75" s="209" t="inlineStr">
        <is>
          <t>WARN</t>
        </is>
      </c>
      <c r="C75" s="158" t="inlineStr">
        <is>
          <t>Pivot_GPD</t>
        </is>
      </c>
      <c r="D75" s="210" t="inlineStr">
        <is>
          <t>D10</t>
        </is>
      </c>
      <c r="E75" s="211" t="inlineStr">
        <is>
          <t>String literal in formula</t>
        </is>
      </c>
      <c r="F75" s="211" t="inlineStr">
        <is>
          <t>String 'Primary_Line'. Formula: =IFERROR(GETPIVOTDATA("Baseline_Amount",Visual_Pivot_Income!$B$5,"Primary_Line",</t>
        </is>
      </c>
      <c r="G75" s="211" t="inlineStr">
        <is>
          <t>If enum (status/state/etc.), pull from Dropdown_Lists.</t>
        </is>
      </c>
    </row>
    <row r="76">
      <c r="B76" s="209" t="inlineStr">
        <is>
          <t>WARN</t>
        </is>
      </c>
      <c r="C76" s="158" t="inlineStr">
        <is>
          <t>Pivot_GPD</t>
        </is>
      </c>
      <c r="D76" s="210" t="inlineStr">
        <is>
          <t>D10</t>
        </is>
      </c>
      <c r="E76" s="211" t="inlineStr">
        <is>
          <t>String literal in formula</t>
        </is>
      </c>
      <c r="F76" s="211" t="inlineStr">
        <is>
          <t>String 'Year'. Formula: =IFERROR(GETPIVOTDATA("Baseline_Amount",Visual_Pivot_Income!$B$5,"Primary_Line",</t>
        </is>
      </c>
      <c r="G76" s="211" t="inlineStr">
        <is>
          <t>If enum (status/state/etc.), pull from Dropdown_Lists.</t>
        </is>
      </c>
    </row>
    <row r="77">
      <c r="B77" s="209" t="inlineStr">
        <is>
          <t>WARN</t>
        </is>
      </c>
      <c r="C77" s="158" t="inlineStr">
        <is>
          <t>Pivot_GPD</t>
        </is>
      </c>
      <c r="D77" s="210" t="inlineStr">
        <is>
          <t>D11</t>
        </is>
      </c>
      <c r="E77" s="211" t="inlineStr">
        <is>
          <t>String literal in formula</t>
        </is>
      </c>
      <c r="F77" s="211" t="inlineStr">
        <is>
          <t>String 'Baseline_Amount'. Formula: =IFERROR(GETPIVOTDATA("Baseline_Amount",Visual_Pivot_Income!$B$5,"Primary_Line",</t>
        </is>
      </c>
      <c r="G77" s="211" t="inlineStr">
        <is>
          <t>If enum (status/state/etc.), pull from Dropdown_Lists.</t>
        </is>
      </c>
    </row>
    <row r="78">
      <c r="B78" s="209" t="inlineStr">
        <is>
          <t>WARN</t>
        </is>
      </c>
      <c r="C78" s="158" t="inlineStr">
        <is>
          <t>Pivot_GPD</t>
        </is>
      </c>
      <c r="D78" s="210" t="inlineStr">
        <is>
          <t>D11</t>
        </is>
      </c>
      <c r="E78" s="211" t="inlineStr">
        <is>
          <t>String literal in formula</t>
        </is>
      </c>
      <c r="F78" s="211" t="inlineStr">
        <is>
          <t>String 'Primary_Line'. Formula: =IFERROR(GETPIVOTDATA("Baseline_Amount",Visual_Pivot_Income!$B$5,"Primary_Line",</t>
        </is>
      </c>
      <c r="G78" s="211" t="inlineStr">
        <is>
          <t>If enum (status/state/etc.), pull from Dropdown_Lists.</t>
        </is>
      </c>
    </row>
    <row r="79">
      <c r="B79" s="209" t="inlineStr">
        <is>
          <t>WARN</t>
        </is>
      </c>
      <c r="C79" s="158" t="inlineStr">
        <is>
          <t>Pivot_GPD</t>
        </is>
      </c>
      <c r="D79" s="210" t="inlineStr">
        <is>
          <t>D11</t>
        </is>
      </c>
      <c r="E79" s="211" t="inlineStr">
        <is>
          <t>String literal in formula</t>
        </is>
      </c>
      <c r="F79" s="211" t="inlineStr">
        <is>
          <t>String 'Year'. Formula: =IFERROR(GETPIVOTDATA("Baseline_Amount",Visual_Pivot_Income!$B$5,"Primary_Line",</t>
        </is>
      </c>
      <c r="G79" s="211" t="inlineStr">
        <is>
          <t>If enum (status/state/etc.), pull from Dropdown_Lists.</t>
        </is>
      </c>
    </row>
    <row r="80">
      <c r="B80" s="209" t="inlineStr">
        <is>
          <t>WARN</t>
        </is>
      </c>
      <c r="C80" s="158" t="inlineStr">
        <is>
          <t>Pivot_GPD</t>
        </is>
      </c>
      <c r="D80" s="210" t="inlineStr">
        <is>
          <t>D12</t>
        </is>
      </c>
      <c r="E80" s="211" t="inlineStr">
        <is>
          <t>String literal in formula</t>
        </is>
      </c>
      <c r="F80" s="211" t="inlineStr">
        <is>
          <t>String 'Baseline_Amount'. Formula: =IFERROR(GETPIVOTDATA("Baseline_Amount",Visual_Pivot_Income!$B$5,"Primary_Line",</t>
        </is>
      </c>
      <c r="G80" s="211" t="inlineStr">
        <is>
          <t>If enum (status/state/etc.), pull from Dropdown_Lists.</t>
        </is>
      </c>
    </row>
    <row r="81">
      <c r="B81" s="209" t="inlineStr">
        <is>
          <t>WARN</t>
        </is>
      </c>
      <c r="C81" s="158" t="inlineStr">
        <is>
          <t>Pivot_GPD</t>
        </is>
      </c>
      <c r="D81" s="210" t="inlineStr">
        <is>
          <t>D12</t>
        </is>
      </c>
      <c r="E81" s="211" t="inlineStr">
        <is>
          <t>String literal in formula</t>
        </is>
      </c>
      <c r="F81" s="211" t="inlineStr">
        <is>
          <t>String 'Primary_Line'. Formula: =IFERROR(GETPIVOTDATA("Baseline_Amount",Visual_Pivot_Income!$B$5,"Primary_Line",</t>
        </is>
      </c>
      <c r="G81" s="211" t="inlineStr">
        <is>
          <t>If enum (status/state/etc.), pull from Dropdown_Lists.</t>
        </is>
      </c>
    </row>
    <row r="82">
      <c r="B82" s="209" t="inlineStr">
        <is>
          <t>WARN</t>
        </is>
      </c>
      <c r="C82" s="158" t="inlineStr">
        <is>
          <t>Pivot_GPD</t>
        </is>
      </c>
      <c r="D82" s="210" t="inlineStr">
        <is>
          <t>D12</t>
        </is>
      </c>
      <c r="E82" s="211" t="inlineStr">
        <is>
          <t>String literal in formula</t>
        </is>
      </c>
      <c r="F82" s="211" t="inlineStr">
        <is>
          <t>String 'Year'. Formula: =IFERROR(GETPIVOTDATA("Baseline_Amount",Visual_Pivot_Income!$B$5,"Primary_Line",</t>
        </is>
      </c>
      <c r="G82" s="211" t="inlineStr">
        <is>
          <t>If enum (status/state/etc.), pull from Dropdown_Lists.</t>
        </is>
      </c>
    </row>
    <row r="83">
      <c r="B83" s="209" t="inlineStr">
        <is>
          <t>WARN</t>
        </is>
      </c>
      <c r="C83" s="158" t="inlineStr">
        <is>
          <t>Pivot_GPD</t>
        </is>
      </c>
      <c r="D83" s="210" t="inlineStr">
        <is>
          <t>D13</t>
        </is>
      </c>
      <c r="E83" s="211" t="inlineStr">
        <is>
          <t>String literal in formula</t>
        </is>
      </c>
      <c r="F83" s="211" t="inlineStr">
        <is>
          <t>String 'Baseline_Amount'. Formula: =IFERROR(GETPIVOTDATA("Baseline_Amount",Visual_Pivot_Income!$B$5,"Year",2023),0)</t>
        </is>
      </c>
      <c r="G83" s="211" t="inlineStr">
        <is>
          <t>If enum (status/state/etc.), pull from Dropdown_Lists.</t>
        </is>
      </c>
    </row>
    <row r="84">
      <c r="B84" s="209" t="inlineStr">
        <is>
          <t>WARN</t>
        </is>
      </c>
      <c r="C84" s="158" t="inlineStr">
        <is>
          <t>Pivot_GPD</t>
        </is>
      </c>
      <c r="D84" s="210" t="inlineStr">
        <is>
          <t>D13</t>
        </is>
      </c>
      <c r="E84" s="211" t="inlineStr">
        <is>
          <t>String literal in formula</t>
        </is>
      </c>
      <c r="F84" s="211" t="inlineStr">
        <is>
          <t>String 'Year'. Formula: =IFERROR(GETPIVOTDATA("Baseline_Amount",Visual_Pivot_Income!$B$5,"Year",2023),0)</t>
        </is>
      </c>
      <c r="G84" s="211" t="inlineStr">
        <is>
          <t>If enum (status/state/etc.), pull from Dropdown_Lists.</t>
        </is>
      </c>
    </row>
    <row r="85">
      <c r="B85" s="209" t="inlineStr">
        <is>
          <t>WARN</t>
        </is>
      </c>
      <c r="C85" s="158" t="inlineStr">
        <is>
          <t>Pivot_GPD</t>
        </is>
      </c>
      <c r="D85" s="210" t="inlineStr">
        <is>
          <t>D17</t>
        </is>
      </c>
      <c r="E85" s="211" t="inlineStr">
        <is>
          <t>String literal in formula</t>
        </is>
      </c>
      <c r="F85" s="211" t="inlineStr">
        <is>
          <t>String 'Helper_Amount'. Formula: =IFERROR(GETPIVOTDATA("Helper_Amount",Visual_Pivot_HelperCarveOuts!$B$5,"Helper_</t>
        </is>
      </c>
      <c r="G85" s="211" t="inlineStr">
        <is>
          <t>If enum (status/state/etc.), pull from Dropdown_Lists.</t>
        </is>
      </c>
    </row>
    <row r="86">
      <c r="B86" s="209" t="inlineStr">
        <is>
          <t>WARN</t>
        </is>
      </c>
      <c r="C86" s="158" t="inlineStr">
        <is>
          <t>Pivot_GPD</t>
        </is>
      </c>
      <c r="D86" s="210" t="inlineStr">
        <is>
          <t>D17</t>
        </is>
      </c>
      <c r="E86" s="211" t="inlineStr">
        <is>
          <t>String literal in formula</t>
        </is>
      </c>
      <c r="F86" s="211" t="inlineStr">
        <is>
          <t>String 'Helper_Treatment'. Formula: =IFERROR(GETPIVOTDATA("Helper_Amount",Visual_Pivot_HelperCarveOuts!$B$5,"Helper_</t>
        </is>
      </c>
      <c r="G86" s="211" t="inlineStr">
        <is>
          <t>If enum (status/state/etc.), pull from Dropdown_Lists.</t>
        </is>
      </c>
    </row>
    <row r="87">
      <c r="B87" s="209" t="inlineStr">
        <is>
          <t>WARN</t>
        </is>
      </c>
      <c r="C87" s="158" t="inlineStr">
        <is>
          <t>Pivot_GPD</t>
        </is>
      </c>
      <c r="D87" s="210" t="inlineStr">
        <is>
          <t>D17</t>
        </is>
      </c>
      <c r="E87" s="211" t="inlineStr">
        <is>
          <t>String literal in formula</t>
        </is>
      </c>
      <c r="F87" s="211" t="inlineStr">
        <is>
          <t>String 'OWNER_PAY'. Formula: =IFERROR(GETPIVOTDATA("Helper_Amount",Visual_Pivot_HelperCarveOuts!$B$5,"Helper_</t>
        </is>
      </c>
      <c r="G87" s="211" t="inlineStr">
        <is>
          <t>If enum (status/state/etc.), pull from Dropdown_Lists.</t>
        </is>
      </c>
    </row>
    <row r="88">
      <c r="B88" s="209" t="inlineStr">
        <is>
          <t>WARN</t>
        </is>
      </c>
      <c r="C88" s="158" t="inlineStr">
        <is>
          <t>Pivot_GPD</t>
        </is>
      </c>
      <c r="D88" s="210" t="inlineStr">
        <is>
          <t>D17</t>
        </is>
      </c>
      <c r="E88" s="211" t="inlineStr">
        <is>
          <t>String literal in formula</t>
        </is>
      </c>
      <c r="F88" s="211" t="inlineStr">
        <is>
          <t>String 'Year'. Formula: =IFERROR(GETPIVOTDATA("Helper_Amount",Visual_Pivot_HelperCarveOuts!$B$5,"Helper_</t>
        </is>
      </c>
      <c r="G88" s="211" t="inlineStr">
        <is>
          <t>If enum (status/state/etc.), pull from Dropdown_Lists.</t>
        </is>
      </c>
    </row>
    <row r="89">
      <c r="B89" s="209" t="inlineStr">
        <is>
          <t>WARN</t>
        </is>
      </c>
      <c r="C89" s="158" t="inlineStr">
        <is>
          <t>Pivot_GPD</t>
        </is>
      </c>
      <c r="D89" s="210" t="inlineStr">
        <is>
          <t>D18</t>
        </is>
      </c>
      <c r="E89" s="211" t="inlineStr">
        <is>
          <t>String literal in formula</t>
        </is>
      </c>
      <c r="F89" s="211" t="inlineStr">
        <is>
          <t>String 'Helper_Amount'. Formula: =IFERROR(GETPIVOTDATA("Helper_Amount",Visual_Pivot_HelperCarveOuts!$B$5,"Helper_</t>
        </is>
      </c>
      <c r="G89" s="211" t="inlineStr">
        <is>
          <t>If enum (status/state/etc.), pull from Dropdown_Lists.</t>
        </is>
      </c>
    </row>
    <row r="90">
      <c r="B90" s="209" t="inlineStr">
        <is>
          <t>WARN</t>
        </is>
      </c>
      <c r="C90" s="158" t="inlineStr">
        <is>
          <t>Pivot_GPD</t>
        </is>
      </c>
      <c r="D90" s="210" t="inlineStr">
        <is>
          <t>D18</t>
        </is>
      </c>
      <c r="E90" s="211" t="inlineStr">
        <is>
          <t>String literal in formula</t>
        </is>
      </c>
      <c r="F90" s="211" t="inlineStr">
        <is>
          <t>String 'Helper_Treatment'. Formula: =IFERROR(GETPIVOTDATA("Helper_Amount",Visual_Pivot_HelperCarveOuts!$B$5,"Helper_</t>
        </is>
      </c>
      <c r="G90" s="211" t="inlineStr">
        <is>
          <t>If enum (status/state/etc.), pull from Dropdown_Lists.</t>
        </is>
      </c>
    </row>
    <row r="91">
      <c r="B91" s="209" t="inlineStr">
        <is>
          <t>WARN</t>
        </is>
      </c>
      <c r="C91" s="158" t="inlineStr">
        <is>
          <t>Pivot_GPD</t>
        </is>
      </c>
      <c r="D91" s="210" t="inlineStr">
        <is>
          <t>D18</t>
        </is>
      </c>
      <c r="E91" s="211" t="inlineStr">
        <is>
          <t>String literal in formula</t>
        </is>
      </c>
      <c r="F91" s="211" t="inlineStr">
        <is>
          <t>String 'QUAL_DIV'. Formula: =IFERROR(GETPIVOTDATA("Helper_Amount",Visual_Pivot_HelperCarveOuts!$B$5,"Helper_</t>
        </is>
      </c>
      <c r="G91" s="211" t="inlineStr">
        <is>
          <t>If enum (status/state/etc.), pull from Dropdown_Lists.</t>
        </is>
      </c>
    </row>
    <row r="92">
      <c r="B92" s="209" t="inlineStr">
        <is>
          <t>WARN</t>
        </is>
      </c>
      <c r="C92" s="158" t="inlineStr">
        <is>
          <t>Pivot_GPD</t>
        </is>
      </c>
      <c r="D92" s="210" t="inlineStr">
        <is>
          <t>D18</t>
        </is>
      </c>
      <c r="E92" s="211" t="inlineStr">
        <is>
          <t>String literal in formula</t>
        </is>
      </c>
      <c r="F92" s="211" t="inlineStr">
        <is>
          <t>String 'Year'. Formula: =IFERROR(GETPIVOTDATA("Helper_Amount",Visual_Pivot_HelperCarveOuts!$B$5,"Helper_</t>
        </is>
      </c>
      <c r="G92" s="211" t="inlineStr">
        <is>
          <t>If enum (status/state/etc.), pull from Dropdown_Lists.</t>
        </is>
      </c>
    </row>
    <row r="93">
      <c r="B93" s="209" t="inlineStr">
        <is>
          <t>WARN</t>
        </is>
      </c>
      <c r="C93" s="158" t="inlineStr">
        <is>
          <t>Pivot_GPD</t>
        </is>
      </c>
      <c r="D93" s="210" t="inlineStr">
        <is>
          <t>D22</t>
        </is>
      </c>
      <c r="E93" s="211" t="inlineStr">
        <is>
          <t>String literal in formula</t>
        </is>
      </c>
      <c r="F93" s="211" t="inlineStr">
        <is>
          <t>String 'Baseline_Amount'. Formula: =IFERROR(GETPIVOTDATA("Baseline_Amount",Visual_Pivot_BusinessIncome!$B$5,"Treatm</t>
        </is>
      </c>
      <c r="G93" s="211" t="inlineStr">
        <is>
          <t>If enum (status/state/etc.), pull from Dropdown_Lists.</t>
        </is>
      </c>
    </row>
    <row r="94">
      <c r="B94" s="209" t="inlineStr">
        <is>
          <t>WARN</t>
        </is>
      </c>
      <c r="C94" s="158" t="inlineStr">
        <is>
          <t>Pivot_GPD</t>
        </is>
      </c>
      <c r="D94" s="210" t="inlineStr">
        <is>
          <t>D22</t>
        </is>
      </c>
      <c r="E94" s="211" t="inlineStr">
        <is>
          <t>String literal in formula</t>
        </is>
      </c>
      <c r="F94" s="211" t="inlineStr">
        <is>
          <t>String 'Treatment_Profile'. Formula: =IFERROR(GETPIVOTDATA("Baseline_Amount",Visual_Pivot_BusinessIncome!$B$5,"Treatm</t>
        </is>
      </c>
      <c r="G94" s="211" t="inlineStr">
        <is>
          <t>If enum (status/state/etc.), pull from Dropdown_Lists.</t>
        </is>
      </c>
    </row>
    <row r="95">
      <c r="B95" s="209" t="inlineStr">
        <is>
          <t>WARN</t>
        </is>
      </c>
      <c r="C95" s="158" t="inlineStr">
        <is>
          <t>Pivot_GPD</t>
        </is>
      </c>
      <c r="D95" s="210" t="inlineStr">
        <is>
          <t>D22</t>
        </is>
      </c>
      <c r="E95" s="211" t="inlineStr">
        <is>
          <t>String literal in formula</t>
        </is>
      </c>
      <c r="F95" s="211" t="inlineStr">
        <is>
          <t>String 'K1_SCorp_Active'. Formula: =IFERROR(GETPIVOTDATA("Baseline_Amount",Visual_Pivot_BusinessIncome!$B$5,"Treatm</t>
        </is>
      </c>
      <c r="G95" s="211" t="inlineStr">
        <is>
          <t>If enum (status/state/etc.), pull from Dropdown_Lists.</t>
        </is>
      </c>
    </row>
    <row r="96">
      <c r="B96" s="209" t="inlineStr">
        <is>
          <t>WARN</t>
        </is>
      </c>
      <c r="C96" s="158" t="inlineStr">
        <is>
          <t>Pivot_GPD</t>
        </is>
      </c>
      <c r="D96" s="210" t="inlineStr">
        <is>
          <t>D22</t>
        </is>
      </c>
      <c r="E96" s="211" t="inlineStr">
        <is>
          <t>String literal in formula</t>
        </is>
      </c>
      <c r="F96" s="211" t="inlineStr">
        <is>
          <t>String 'Year'. Formula: =IFERROR(GETPIVOTDATA("Baseline_Amount",Visual_Pivot_BusinessIncome!$B$5,"Treatm</t>
        </is>
      </c>
      <c r="G96" s="211" t="inlineStr">
        <is>
          <t>If enum (status/state/etc.), pull from Dropdown_Lists.</t>
        </is>
      </c>
    </row>
    <row r="97">
      <c r="B97" s="209" t="inlineStr">
        <is>
          <t>WARN</t>
        </is>
      </c>
      <c r="C97" s="158" t="inlineStr">
        <is>
          <t>Pivot_GPD</t>
        </is>
      </c>
      <c r="D97" s="210" t="inlineStr">
        <is>
          <t>D23</t>
        </is>
      </c>
      <c r="E97" s="211" t="inlineStr">
        <is>
          <t>String literal in formula</t>
        </is>
      </c>
      <c r="F97" s="211" t="inlineStr">
        <is>
          <t>String 'Baseline_Amount'. Formula: =IFERROR(GETPIVOTDATA("Baseline_Amount",Visual_Pivot_BusinessIncome!$B$5,"Treatm</t>
        </is>
      </c>
      <c r="G97" s="211" t="inlineStr">
        <is>
          <t>If enum (status/state/etc.), pull from Dropdown_Lists.</t>
        </is>
      </c>
    </row>
    <row r="98">
      <c r="B98" s="209" t="inlineStr">
        <is>
          <t>WARN</t>
        </is>
      </c>
      <c r="C98" s="158" t="inlineStr">
        <is>
          <t>Pivot_GPD</t>
        </is>
      </c>
      <c r="D98" s="210" t="inlineStr">
        <is>
          <t>D23</t>
        </is>
      </c>
      <c r="E98" s="211" t="inlineStr">
        <is>
          <t>String literal in formula</t>
        </is>
      </c>
      <c r="F98" s="211" t="inlineStr">
        <is>
          <t>String 'Treatment_Profile'. Formula: =IFERROR(GETPIVOTDATA("Baseline_Amount",Visual_Pivot_BusinessIncome!$B$5,"Treatm</t>
        </is>
      </c>
      <c r="G98" s="211" t="inlineStr">
        <is>
          <t>If enum (status/state/etc.), pull from Dropdown_Lists.</t>
        </is>
      </c>
    </row>
    <row r="99">
      <c r="B99" s="209" t="inlineStr">
        <is>
          <t>WARN</t>
        </is>
      </c>
      <c r="C99" s="158" t="inlineStr">
        <is>
          <t>Pivot_GPD</t>
        </is>
      </c>
      <c r="D99" s="210" t="inlineStr">
        <is>
          <t>D23</t>
        </is>
      </c>
      <c r="E99" s="211" t="inlineStr">
        <is>
          <t>String literal in formula</t>
        </is>
      </c>
      <c r="F99" s="211" t="inlineStr">
        <is>
          <t>String 'K1_PTP_Passive'. Formula: =IFERROR(GETPIVOTDATA("Baseline_Amount",Visual_Pivot_BusinessIncome!$B$5,"Treatm</t>
        </is>
      </c>
      <c r="G99" s="211" t="inlineStr">
        <is>
          <t>If enum (status/state/etc.), pull from Dropdown_Lists.</t>
        </is>
      </c>
    </row>
    <row r="100">
      <c r="B100" s="209" t="inlineStr">
        <is>
          <t>WARN</t>
        </is>
      </c>
      <c r="C100" s="158" t="inlineStr">
        <is>
          <t>Pivot_GPD</t>
        </is>
      </c>
      <c r="D100" s="210" t="inlineStr">
        <is>
          <t>D23</t>
        </is>
      </c>
      <c r="E100" s="211" t="inlineStr">
        <is>
          <t>String literal in formula</t>
        </is>
      </c>
      <c r="F100" s="211" t="inlineStr">
        <is>
          <t>String 'Year'. Formula: =IFERROR(GETPIVOTDATA("Baseline_Amount",Visual_Pivot_BusinessIncome!$B$5,"Treatm</t>
        </is>
      </c>
      <c r="G100" s="211" t="inlineStr">
        <is>
          <t>If enum (status/state/etc.), pull from Dropdown_Lists.</t>
        </is>
      </c>
    </row>
    <row r="101">
      <c r="B101" s="209" t="inlineStr">
        <is>
          <t>WARN</t>
        </is>
      </c>
      <c r="C101" s="158" t="inlineStr">
        <is>
          <t>Pivot_GPD</t>
        </is>
      </c>
      <c r="D101" s="210" t="inlineStr">
        <is>
          <t>D24</t>
        </is>
      </c>
      <c r="E101" s="211" t="inlineStr">
        <is>
          <t>String literal in formula</t>
        </is>
      </c>
      <c r="F101" s="211" t="inlineStr">
        <is>
          <t>String 'Baseline_Amount'. Formula: =IFERROR(GETPIVOTDATA("Baseline_Amount",Visual_Pivot_BusinessIncome!$B$5,"Treatm</t>
        </is>
      </c>
      <c r="G101" s="211" t="inlineStr">
        <is>
          <t>If enum (status/state/etc.), pull from Dropdown_Lists.</t>
        </is>
      </c>
    </row>
    <row r="102">
      <c r="B102" s="209" t="inlineStr">
        <is>
          <t>WARN</t>
        </is>
      </c>
      <c r="C102" s="158" t="inlineStr">
        <is>
          <t>Pivot_GPD</t>
        </is>
      </c>
      <c r="D102" s="210" t="inlineStr">
        <is>
          <t>D24</t>
        </is>
      </c>
      <c r="E102" s="211" t="inlineStr">
        <is>
          <t>String literal in formula</t>
        </is>
      </c>
      <c r="F102" s="211" t="inlineStr">
        <is>
          <t>String 'Treatment_Profile'. Formula: =IFERROR(GETPIVOTDATA("Baseline_Amount",Visual_Pivot_BusinessIncome!$B$5,"Treatm</t>
        </is>
      </c>
      <c r="G102" s="211" t="inlineStr">
        <is>
          <t>If enum (status/state/etc.), pull from Dropdown_Lists.</t>
        </is>
      </c>
    </row>
    <row r="103">
      <c r="B103" s="209" t="inlineStr">
        <is>
          <t>WARN</t>
        </is>
      </c>
      <c r="C103" s="158" t="inlineStr">
        <is>
          <t>Pivot_GPD</t>
        </is>
      </c>
      <c r="D103" s="210" t="inlineStr">
        <is>
          <t>D24</t>
        </is>
      </c>
      <c r="E103" s="211" t="inlineStr">
        <is>
          <t>String literal in formula</t>
        </is>
      </c>
      <c r="F103" s="211" t="inlineStr">
        <is>
          <t>String 'SchE_Rental'. Formula: =IFERROR(GETPIVOTDATA("Baseline_Amount",Visual_Pivot_BusinessIncome!$B$5,"Treatm</t>
        </is>
      </c>
      <c r="G103" s="211" t="inlineStr">
        <is>
          <t>If enum (status/state/etc.), pull from Dropdown_Lists.</t>
        </is>
      </c>
    </row>
    <row r="104">
      <c r="B104" s="209" t="inlineStr">
        <is>
          <t>WARN</t>
        </is>
      </c>
      <c r="C104" s="158" t="inlineStr">
        <is>
          <t>Pivot_GPD</t>
        </is>
      </c>
      <c r="D104" s="210" t="inlineStr">
        <is>
          <t>D24</t>
        </is>
      </c>
      <c r="E104" s="211" t="inlineStr">
        <is>
          <t>String literal in formula</t>
        </is>
      </c>
      <c r="F104" s="211" t="inlineStr">
        <is>
          <t>String 'Year'. Formula: =IFERROR(GETPIVOTDATA("Baseline_Amount",Visual_Pivot_BusinessIncome!$B$5,"Treatm</t>
        </is>
      </c>
      <c r="G104" s="211" t="inlineStr">
        <is>
          <t>If enum (status/state/etc.), pull from Dropdown_Lists.</t>
        </is>
      </c>
    </row>
    <row r="105">
      <c r="B105" s="209" t="inlineStr">
        <is>
          <t>WARN</t>
        </is>
      </c>
      <c r="C105" s="158" t="inlineStr">
        <is>
          <t>Pivot_GPD</t>
        </is>
      </c>
      <c r="D105" s="210" t="inlineStr">
        <is>
          <t>D25</t>
        </is>
      </c>
      <c r="E105" s="211" t="inlineStr">
        <is>
          <t>String literal in formula</t>
        </is>
      </c>
      <c r="F105" s="211" t="inlineStr">
        <is>
          <t>String 'Baseline_Amount'. Formula: =IFERROR(GETPIVOTDATA("Baseline_Amount",Visual_Pivot_BusinessIncome!$B$5,"Year",</t>
        </is>
      </c>
      <c r="G105" s="211" t="inlineStr">
        <is>
          <t>If enum (status/state/etc.), pull from Dropdown_Lists.</t>
        </is>
      </c>
    </row>
    <row r="106">
      <c r="B106" s="209" t="inlineStr">
        <is>
          <t>WARN</t>
        </is>
      </c>
      <c r="C106" s="158" t="inlineStr">
        <is>
          <t>Pivot_GPD</t>
        </is>
      </c>
      <c r="D106" s="210" t="inlineStr">
        <is>
          <t>D25</t>
        </is>
      </c>
      <c r="E106" s="211" t="inlineStr">
        <is>
          <t>String literal in formula</t>
        </is>
      </c>
      <c r="F106" s="211" t="inlineStr">
        <is>
          <t>String 'Year'. Formula: =IFERROR(GETPIVOTDATA("Baseline_Amount",Visual_Pivot_BusinessIncome!$B$5,"Year",</t>
        </is>
      </c>
      <c r="G106" s="211" t="inlineStr">
        <is>
          <t>If enum (status/state/etc.), pull from Dropdown_Lists.</t>
        </is>
      </c>
    </row>
    <row r="107">
      <c r="B107" s="209" t="inlineStr">
        <is>
          <t>WARN</t>
        </is>
      </c>
      <c r="C107" s="158" t="inlineStr">
        <is>
          <t>Pivot_GPD</t>
        </is>
      </c>
      <c r="D107" s="210" t="inlineStr">
        <is>
          <t>D7</t>
        </is>
      </c>
      <c r="E107" s="211" t="inlineStr">
        <is>
          <t>String literal in formula</t>
        </is>
      </c>
      <c r="F107" s="211" t="inlineStr">
        <is>
          <t>String 'Baseline_Amount'. Formula: =IFERROR(GETPIVOTDATA("Baseline_Amount",Visual_Pivot_Income!$B$5,"Primary_Line",</t>
        </is>
      </c>
      <c r="G107" s="211" t="inlineStr">
        <is>
          <t>If enum (status/state/etc.), pull from Dropdown_Lists.</t>
        </is>
      </c>
    </row>
    <row r="108">
      <c r="B108" s="209" t="inlineStr">
        <is>
          <t>WARN</t>
        </is>
      </c>
      <c r="C108" s="158" t="inlineStr">
        <is>
          <t>Pivot_GPD</t>
        </is>
      </c>
      <c r="D108" s="210" t="inlineStr">
        <is>
          <t>D7</t>
        </is>
      </c>
      <c r="E108" s="211" t="inlineStr">
        <is>
          <t>String literal in formula</t>
        </is>
      </c>
      <c r="F108" s="211" t="inlineStr">
        <is>
          <t>String 'Primary_Line'. Formula: =IFERROR(GETPIVOTDATA("Baseline_Amount",Visual_Pivot_Income!$B$5,"Primary_Line",</t>
        </is>
      </c>
      <c r="G108" s="211" t="inlineStr">
        <is>
          <t>If enum (status/state/etc.), pull from Dropdown_Lists.</t>
        </is>
      </c>
    </row>
    <row r="109">
      <c r="B109" s="209" t="inlineStr">
        <is>
          <t>WARN</t>
        </is>
      </c>
      <c r="C109" s="158" t="inlineStr">
        <is>
          <t>Pivot_GPD</t>
        </is>
      </c>
      <c r="D109" s="210" t="inlineStr">
        <is>
          <t>D7</t>
        </is>
      </c>
      <c r="E109" s="211" t="inlineStr">
        <is>
          <t>String literal in formula</t>
        </is>
      </c>
      <c r="F109" s="211" t="inlineStr">
        <is>
          <t>String 'Year'. Formula: =IFERROR(GETPIVOTDATA("Baseline_Amount",Visual_Pivot_Income!$B$5,"Primary_Line",</t>
        </is>
      </c>
      <c r="G109" s="211" t="inlineStr">
        <is>
          <t>If enum (status/state/etc.), pull from Dropdown_Lists.</t>
        </is>
      </c>
    </row>
    <row r="110">
      <c r="B110" s="209" t="inlineStr">
        <is>
          <t>WARN</t>
        </is>
      </c>
      <c r="C110" s="158" t="inlineStr">
        <is>
          <t>Pivot_GPD</t>
        </is>
      </c>
      <c r="D110" s="210" t="inlineStr">
        <is>
          <t>D8</t>
        </is>
      </c>
      <c r="E110" s="211" t="inlineStr">
        <is>
          <t>String literal in formula</t>
        </is>
      </c>
      <c r="F110" s="211" t="inlineStr">
        <is>
          <t>String 'Baseline_Amount'. Formula: =IFERROR(GETPIVOTDATA("Baseline_Amount",Visual_Pivot_Income!$B$5,"Primary_Line",</t>
        </is>
      </c>
      <c r="G110" s="211" t="inlineStr">
        <is>
          <t>If enum (status/state/etc.), pull from Dropdown_Lists.</t>
        </is>
      </c>
    </row>
    <row r="111">
      <c r="B111" s="209" t="inlineStr">
        <is>
          <t>WARN</t>
        </is>
      </c>
      <c r="C111" s="158" t="inlineStr">
        <is>
          <t>Pivot_GPD</t>
        </is>
      </c>
      <c r="D111" s="210" t="inlineStr">
        <is>
          <t>D8</t>
        </is>
      </c>
      <c r="E111" s="211" t="inlineStr">
        <is>
          <t>String literal in formula</t>
        </is>
      </c>
      <c r="F111" s="211" t="inlineStr">
        <is>
          <t>String 'Primary_Line'. Formula: =IFERROR(GETPIVOTDATA("Baseline_Amount",Visual_Pivot_Income!$B$5,"Primary_Line",</t>
        </is>
      </c>
      <c r="G111" s="211" t="inlineStr">
        <is>
          <t>If enum (status/state/etc.), pull from Dropdown_Lists.</t>
        </is>
      </c>
    </row>
    <row r="112">
      <c r="B112" s="209" t="inlineStr">
        <is>
          <t>WARN</t>
        </is>
      </c>
      <c r="C112" s="158" t="inlineStr">
        <is>
          <t>Pivot_GPD</t>
        </is>
      </c>
      <c r="D112" s="210" t="inlineStr">
        <is>
          <t>D8</t>
        </is>
      </c>
      <c r="E112" s="211" t="inlineStr">
        <is>
          <t>String literal in formula</t>
        </is>
      </c>
      <c r="F112" s="211" t="inlineStr">
        <is>
          <t>String 'Year'. Formula: =IFERROR(GETPIVOTDATA("Baseline_Amount",Visual_Pivot_Income!$B$5,"Primary_Line",</t>
        </is>
      </c>
      <c r="G112" s="211" t="inlineStr">
        <is>
          <t>If enum (status/state/etc.), pull from Dropdown_Lists.</t>
        </is>
      </c>
    </row>
    <row r="113">
      <c r="B113" s="209" t="inlineStr">
        <is>
          <t>WARN</t>
        </is>
      </c>
      <c r="C113" s="158" t="inlineStr">
        <is>
          <t>Pivot_GPD</t>
        </is>
      </c>
      <c r="D113" s="210" t="inlineStr">
        <is>
          <t>D9</t>
        </is>
      </c>
      <c r="E113" s="211" t="inlineStr">
        <is>
          <t>String literal in formula</t>
        </is>
      </c>
      <c r="F113" s="211" t="inlineStr">
        <is>
          <t>String 'Baseline_Amount'. Formula: =IFERROR(GETPIVOTDATA("Baseline_Amount",Visual_Pivot_Income!$B$5,"Primary_Line",</t>
        </is>
      </c>
      <c r="G113" s="211" t="inlineStr">
        <is>
          <t>If enum (status/state/etc.), pull from Dropdown_Lists.</t>
        </is>
      </c>
    </row>
    <row r="114">
      <c r="B114" s="209" t="inlineStr">
        <is>
          <t>WARN</t>
        </is>
      </c>
      <c r="C114" s="158" t="inlineStr">
        <is>
          <t>Pivot_GPD</t>
        </is>
      </c>
      <c r="D114" s="210" t="inlineStr">
        <is>
          <t>D9</t>
        </is>
      </c>
      <c r="E114" s="211" t="inlineStr">
        <is>
          <t>String literal in formula</t>
        </is>
      </c>
      <c r="F114" s="211" t="inlineStr">
        <is>
          <t>String 'Primary_Line'. Formula: =IFERROR(GETPIVOTDATA("Baseline_Amount",Visual_Pivot_Income!$B$5,"Primary_Line",</t>
        </is>
      </c>
      <c r="G114" s="211" t="inlineStr">
        <is>
          <t>If enum (status/state/etc.), pull from Dropdown_Lists.</t>
        </is>
      </c>
    </row>
    <row r="115">
      <c r="B115" s="209" t="inlineStr">
        <is>
          <t>WARN</t>
        </is>
      </c>
      <c r="C115" s="158" t="inlineStr">
        <is>
          <t>Pivot_GPD</t>
        </is>
      </c>
      <c r="D115" s="210" t="inlineStr">
        <is>
          <t>D9</t>
        </is>
      </c>
      <c r="E115" s="211" t="inlineStr">
        <is>
          <t>String literal in formula</t>
        </is>
      </c>
      <c r="F115" s="211" t="inlineStr">
        <is>
          <t>String 'Year'. Formula: =IFERROR(GETPIVOTDATA("Baseline_Amount",Visual_Pivot_Income!$B$5,"Primary_Line",</t>
        </is>
      </c>
      <c r="G115" s="211" t="inlineStr">
        <is>
          <t>If enum (status/state/etc.), pull from Dropdown_Lists.</t>
        </is>
      </c>
    </row>
    <row r="116">
      <c r="B116" s="209" t="inlineStr">
        <is>
          <t>WARN</t>
        </is>
      </c>
      <c r="C116" s="158" t="inlineStr">
        <is>
          <t>Pivot_GPD</t>
        </is>
      </c>
      <c r="D116" s="210" t="inlineStr">
        <is>
          <t>E10</t>
        </is>
      </c>
      <c r="E116" s="211" t="inlineStr">
        <is>
          <t>String literal in formula</t>
        </is>
      </c>
      <c r="F116" s="211" t="inlineStr">
        <is>
          <t>String 'Baseline_Amount'. Formula: =IFERROR(GETPIVOTDATA("Baseline_Amount",Visual_Pivot_Income!$B$5,"Primary_Line",</t>
        </is>
      </c>
      <c r="G116" s="211" t="inlineStr">
        <is>
          <t>If enum (status/state/etc.), pull from Dropdown_Lists.</t>
        </is>
      </c>
    </row>
    <row r="117">
      <c r="B117" s="209" t="inlineStr">
        <is>
          <t>WARN</t>
        </is>
      </c>
      <c r="C117" s="158" t="inlineStr">
        <is>
          <t>Pivot_GPD</t>
        </is>
      </c>
      <c r="D117" s="210" t="inlineStr">
        <is>
          <t>E10</t>
        </is>
      </c>
      <c r="E117" s="211" t="inlineStr">
        <is>
          <t>String literal in formula</t>
        </is>
      </c>
      <c r="F117" s="211" t="inlineStr">
        <is>
          <t>String 'Primary_Line'. Formula: =IFERROR(GETPIVOTDATA("Baseline_Amount",Visual_Pivot_Income!$B$5,"Primary_Line",</t>
        </is>
      </c>
      <c r="G117" s="211" t="inlineStr">
        <is>
          <t>If enum (status/state/etc.), pull from Dropdown_Lists.</t>
        </is>
      </c>
    </row>
    <row r="118">
      <c r="B118" s="209" t="inlineStr">
        <is>
          <t>WARN</t>
        </is>
      </c>
      <c r="C118" s="158" t="inlineStr">
        <is>
          <t>Pivot_GPD</t>
        </is>
      </c>
      <c r="D118" s="210" t="inlineStr">
        <is>
          <t>E10</t>
        </is>
      </c>
      <c r="E118" s="211" t="inlineStr">
        <is>
          <t>String literal in formula</t>
        </is>
      </c>
      <c r="F118" s="211" t="inlineStr">
        <is>
          <t>String 'Year'. Formula: =IFERROR(GETPIVOTDATA("Baseline_Amount",Visual_Pivot_Income!$B$5,"Primary_Line",</t>
        </is>
      </c>
      <c r="G118" s="211" t="inlineStr">
        <is>
          <t>If enum (status/state/etc.), pull from Dropdown_Lists.</t>
        </is>
      </c>
    </row>
    <row r="119">
      <c r="B119" s="209" t="inlineStr">
        <is>
          <t>WARN</t>
        </is>
      </c>
      <c r="C119" s="158" t="inlineStr">
        <is>
          <t>Pivot_GPD</t>
        </is>
      </c>
      <c r="D119" s="210" t="inlineStr">
        <is>
          <t>E11</t>
        </is>
      </c>
      <c r="E119" s="211" t="inlineStr">
        <is>
          <t>String literal in formula</t>
        </is>
      </c>
      <c r="F119" s="211" t="inlineStr">
        <is>
          <t>String 'Baseline_Amount'. Formula: =IFERROR(GETPIVOTDATA("Baseline_Amount",Visual_Pivot_Income!$B$5,"Primary_Line",</t>
        </is>
      </c>
      <c r="G119" s="211" t="inlineStr">
        <is>
          <t>If enum (status/state/etc.), pull from Dropdown_Lists.</t>
        </is>
      </c>
    </row>
    <row r="120">
      <c r="B120" s="209" t="inlineStr">
        <is>
          <t>WARN</t>
        </is>
      </c>
      <c r="C120" s="158" t="inlineStr">
        <is>
          <t>Pivot_GPD</t>
        </is>
      </c>
      <c r="D120" s="210" t="inlineStr">
        <is>
          <t>E11</t>
        </is>
      </c>
      <c r="E120" s="211" t="inlineStr">
        <is>
          <t>String literal in formula</t>
        </is>
      </c>
      <c r="F120" s="211" t="inlineStr">
        <is>
          <t>String 'Primary_Line'. Formula: =IFERROR(GETPIVOTDATA("Baseline_Amount",Visual_Pivot_Income!$B$5,"Primary_Line",</t>
        </is>
      </c>
      <c r="G120" s="211" t="inlineStr">
        <is>
          <t>If enum (status/state/etc.), pull from Dropdown_Lists.</t>
        </is>
      </c>
    </row>
    <row r="121">
      <c r="B121" s="209" t="inlineStr">
        <is>
          <t>WARN</t>
        </is>
      </c>
      <c r="C121" s="158" t="inlineStr">
        <is>
          <t>Pivot_GPD</t>
        </is>
      </c>
      <c r="D121" s="210" t="inlineStr">
        <is>
          <t>E11</t>
        </is>
      </c>
      <c r="E121" s="211" t="inlineStr">
        <is>
          <t>String literal in formula</t>
        </is>
      </c>
      <c r="F121" s="211" t="inlineStr">
        <is>
          <t>String 'Year'. Formula: =IFERROR(GETPIVOTDATA("Baseline_Amount",Visual_Pivot_Income!$B$5,"Primary_Line",</t>
        </is>
      </c>
      <c r="G121" s="211" t="inlineStr">
        <is>
          <t>If enum (status/state/etc.), pull from Dropdown_Lists.</t>
        </is>
      </c>
    </row>
    <row r="122">
      <c r="B122" s="209" t="inlineStr">
        <is>
          <t>WARN</t>
        </is>
      </c>
      <c r="C122" s="158" t="inlineStr">
        <is>
          <t>Pivot_GPD</t>
        </is>
      </c>
      <c r="D122" s="210" t="inlineStr">
        <is>
          <t>E12</t>
        </is>
      </c>
      <c r="E122" s="211" t="inlineStr">
        <is>
          <t>String literal in formula</t>
        </is>
      </c>
      <c r="F122" s="211" t="inlineStr">
        <is>
          <t>String 'Baseline_Amount'. Formula: =IFERROR(GETPIVOTDATA("Baseline_Amount",Visual_Pivot_Income!$B$5,"Primary_Line",</t>
        </is>
      </c>
      <c r="G122" s="211" t="inlineStr">
        <is>
          <t>If enum (status/state/etc.), pull from Dropdown_Lists.</t>
        </is>
      </c>
    </row>
    <row r="123">
      <c r="B123" s="209" t="inlineStr">
        <is>
          <t>WARN</t>
        </is>
      </c>
      <c r="C123" s="158" t="inlineStr">
        <is>
          <t>Pivot_GPD</t>
        </is>
      </c>
      <c r="D123" s="210" t="inlineStr">
        <is>
          <t>E12</t>
        </is>
      </c>
      <c r="E123" s="211" t="inlineStr">
        <is>
          <t>String literal in formula</t>
        </is>
      </c>
      <c r="F123" s="211" t="inlineStr">
        <is>
          <t>String 'Primary_Line'. Formula: =IFERROR(GETPIVOTDATA("Baseline_Amount",Visual_Pivot_Income!$B$5,"Primary_Line",</t>
        </is>
      </c>
      <c r="G123" s="211" t="inlineStr">
        <is>
          <t>If enum (status/state/etc.), pull from Dropdown_Lists.</t>
        </is>
      </c>
    </row>
    <row r="124">
      <c r="B124" s="209" t="inlineStr">
        <is>
          <t>WARN</t>
        </is>
      </c>
      <c r="C124" s="158" t="inlineStr">
        <is>
          <t>Pivot_GPD</t>
        </is>
      </c>
      <c r="D124" s="210" t="inlineStr">
        <is>
          <t>E12</t>
        </is>
      </c>
      <c r="E124" s="211" t="inlineStr">
        <is>
          <t>String literal in formula</t>
        </is>
      </c>
      <c r="F124" s="211" t="inlineStr">
        <is>
          <t>String 'Year'. Formula: =IFERROR(GETPIVOTDATA("Baseline_Amount",Visual_Pivot_Income!$B$5,"Primary_Line",</t>
        </is>
      </c>
      <c r="G124" s="211" t="inlineStr">
        <is>
          <t>If enum (status/state/etc.), pull from Dropdown_Lists.</t>
        </is>
      </c>
    </row>
    <row r="125">
      <c r="B125" s="209" t="inlineStr">
        <is>
          <t>WARN</t>
        </is>
      </c>
      <c r="C125" s="158" t="inlineStr">
        <is>
          <t>Pivot_GPD</t>
        </is>
      </c>
      <c r="D125" s="210" t="inlineStr">
        <is>
          <t>E13</t>
        </is>
      </c>
      <c r="E125" s="211" t="inlineStr">
        <is>
          <t>String literal in formula</t>
        </is>
      </c>
      <c r="F125" s="211" t="inlineStr">
        <is>
          <t>String 'Baseline_Amount'. Formula: =IFERROR(GETPIVOTDATA("Baseline_Amount",Visual_Pivot_Income!$B$5,"Year",2024),0)</t>
        </is>
      </c>
      <c r="G125" s="211" t="inlineStr">
        <is>
          <t>If enum (status/state/etc.), pull from Dropdown_Lists.</t>
        </is>
      </c>
    </row>
    <row r="126">
      <c r="B126" s="209" t="inlineStr">
        <is>
          <t>WARN</t>
        </is>
      </c>
      <c r="C126" s="158" t="inlineStr">
        <is>
          <t>Pivot_GPD</t>
        </is>
      </c>
      <c r="D126" s="210" t="inlineStr">
        <is>
          <t>E13</t>
        </is>
      </c>
      <c r="E126" s="211" t="inlineStr">
        <is>
          <t>String literal in formula</t>
        </is>
      </c>
      <c r="F126" s="211" t="inlineStr">
        <is>
          <t>String 'Year'. Formula: =IFERROR(GETPIVOTDATA("Baseline_Amount",Visual_Pivot_Income!$B$5,"Year",2024),0)</t>
        </is>
      </c>
      <c r="G126" s="211" t="inlineStr">
        <is>
          <t>If enum (status/state/etc.), pull from Dropdown_Lists.</t>
        </is>
      </c>
    </row>
    <row r="127">
      <c r="B127" s="209" t="inlineStr">
        <is>
          <t>WARN</t>
        </is>
      </c>
      <c r="C127" s="158" t="inlineStr">
        <is>
          <t>Pivot_GPD</t>
        </is>
      </c>
      <c r="D127" s="210" t="inlineStr">
        <is>
          <t>E17</t>
        </is>
      </c>
      <c r="E127" s="211" t="inlineStr">
        <is>
          <t>String literal in formula</t>
        </is>
      </c>
      <c r="F127" s="211" t="inlineStr">
        <is>
          <t>String 'Helper_Amount'. Formula: =IFERROR(GETPIVOTDATA("Helper_Amount",Visual_Pivot_HelperCarveOuts!$B$5,"Helper_</t>
        </is>
      </c>
      <c r="G127" s="211" t="inlineStr">
        <is>
          <t>If enum (status/state/etc.), pull from Dropdown_Lists.</t>
        </is>
      </c>
    </row>
    <row r="128">
      <c r="B128" s="209" t="inlineStr">
        <is>
          <t>WARN</t>
        </is>
      </c>
      <c r="C128" s="158" t="inlineStr">
        <is>
          <t>Pivot_GPD</t>
        </is>
      </c>
      <c r="D128" s="210" t="inlineStr">
        <is>
          <t>E17</t>
        </is>
      </c>
      <c r="E128" s="211" t="inlineStr">
        <is>
          <t>String literal in formula</t>
        </is>
      </c>
      <c r="F128" s="211" t="inlineStr">
        <is>
          <t>String 'Helper_Treatment'. Formula: =IFERROR(GETPIVOTDATA("Helper_Amount",Visual_Pivot_HelperCarveOuts!$B$5,"Helper_</t>
        </is>
      </c>
      <c r="G128" s="211" t="inlineStr">
        <is>
          <t>If enum (status/state/etc.), pull from Dropdown_Lists.</t>
        </is>
      </c>
    </row>
    <row r="129">
      <c r="B129" s="209" t="inlineStr">
        <is>
          <t>WARN</t>
        </is>
      </c>
      <c r="C129" s="158" t="inlineStr">
        <is>
          <t>Pivot_GPD</t>
        </is>
      </c>
      <c r="D129" s="210" t="inlineStr">
        <is>
          <t>E17</t>
        </is>
      </c>
      <c r="E129" s="211" t="inlineStr">
        <is>
          <t>String literal in formula</t>
        </is>
      </c>
      <c r="F129" s="211" t="inlineStr">
        <is>
          <t>String 'OWNER_PAY'. Formula: =IFERROR(GETPIVOTDATA("Helper_Amount",Visual_Pivot_HelperCarveOuts!$B$5,"Helper_</t>
        </is>
      </c>
      <c r="G129" s="211" t="inlineStr">
        <is>
          <t>If enum (status/state/etc.), pull from Dropdown_Lists.</t>
        </is>
      </c>
    </row>
    <row r="130">
      <c r="B130" s="209" t="inlineStr">
        <is>
          <t>WARN</t>
        </is>
      </c>
      <c r="C130" s="158" t="inlineStr">
        <is>
          <t>Pivot_GPD</t>
        </is>
      </c>
      <c r="D130" s="210" t="inlineStr">
        <is>
          <t>E17</t>
        </is>
      </c>
      <c r="E130" s="211" t="inlineStr">
        <is>
          <t>String literal in formula</t>
        </is>
      </c>
      <c r="F130" s="211" t="inlineStr">
        <is>
          <t>String 'Year'. Formula: =IFERROR(GETPIVOTDATA("Helper_Amount",Visual_Pivot_HelperCarveOuts!$B$5,"Helper_</t>
        </is>
      </c>
      <c r="G130" s="211" t="inlineStr">
        <is>
          <t>If enum (status/state/etc.), pull from Dropdown_Lists.</t>
        </is>
      </c>
    </row>
    <row r="131">
      <c r="B131" s="209" t="inlineStr">
        <is>
          <t>WARN</t>
        </is>
      </c>
      <c r="C131" s="158" t="inlineStr">
        <is>
          <t>Pivot_GPD</t>
        </is>
      </c>
      <c r="D131" s="210" t="inlineStr">
        <is>
          <t>E18</t>
        </is>
      </c>
      <c r="E131" s="211" t="inlineStr">
        <is>
          <t>String literal in formula</t>
        </is>
      </c>
      <c r="F131" s="211" t="inlineStr">
        <is>
          <t>String 'Helper_Amount'. Formula: =IFERROR(GETPIVOTDATA("Helper_Amount",Visual_Pivot_HelperCarveOuts!$B$5,"Helper_</t>
        </is>
      </c>
      <c r="G131" s="211" t="inlineStr">
        <is>
          <t>If enum (status/state/etc.), pull from Dropdown_Lists.</t>
        </is>
      </c>
    </row>
    <row r="132">
      <c r="B132" s="209" t="inlineStr">
        <is>
          <t>WARN</t>
        </is>
      </c>
      <c r="C132" s="158" t="inlineStr">
        <is>
          <t>Pivot_GPD</t>
        </is>
      </c>
      <c r="D132" s="210" t="inlineStr">
        <is>
          <t>E18</t>
        </is>
      </c>
      <c r="E132" s="211" t="inlineStr">
        <is>
          <t>String literal in formula</t>
        </is>
      </c>
      <c r="F132" s="211" t="inlineStr">
        <is>
          <t>String 'Helper_Treatment'. Formula: =IFERROR(GETPIVOTDATA("Helper_Amount",Visual_Pivot_HelperCarveOuts!$B$5,"Helper_</t>
        </is>
      </c>
      <c r="G132" s="211" t="inlineStr">
        <is>
          <t>If enum (status/state/etc.), pull from Dropdown_Lists.</t>
        </is>
      </c>
    </row>
    <row r="133">
      <c r="B133" s="209" t="inlineStr">
        <is>
          <t>WARN</t>
        </is>
      </c>
      <c r="C133" s="158" t="inlineStr">
        <is>
          <t>Pivot_GPD</t>
        </is>
      </c>
      <c r="D133" s="210" t="inlineStr">
        <is>
          <t>E18</t>
        </is>
      </c>
      <c r="E133" s="211" t="inlineStr">
        <is>
          <t>String literal in formula</t>
        </is>
      </c>
      <c r="F133" s="211" t="inlineStr">
        <is>
          <t>String 'QUAL_DIV'. Formula: =IFERROR(GETPIVOTDATA("Helper_Amount",Visual_Pivot_HelperCarveOuts!$B$5,"Helper_</t>
        </is>
      </c>
      <c r="G133" s="211" t="inlineStr">
        <is>
          <t>If enum (status/state/etc.), pull from Dropdown_Lists.</t>
        </is>
      </c>
    </row>
    <row r="134">
      <c r="B134" s="209" t="inlineStr">
        <is>
          <t>WARN</t>
        </is>
      </c>
      <c r="C134" s="158" t="inlineStr">
        <is>
          <t>Pivot_GPD</t>
        </is>
      </c>
      <c r="D134" s="210" t="inlineStr">
        <is>
          <t>E18</t>
        </is>
      </c>
      <c r="E134" s="211" t="inlineStr">
        <is>
          <t>String literal in formula</t>
        </is>
      </c>
      <c r="F134" s="211" t="inlineStr">
        <is>
          <t>String 'Year'. Formula: =IFERROR(GETPIVOTDATA("Helper_Amount",Visual_Pivot_HelperCarveOuts!$B$5,"Helper_</t>
        </is>
      </c>
      <c r="G134" s="211" t="inlineStr">
        <is>
          <t>If enum (status/state/etc.), pull from Dropdown_Lists.</t>
        </is>
      </c>
    </row>
    <row r="135">
      <c r="B135" s="209" t="inlineStr">
        <is>
          <t>WARN</t>
        </is>
      </c>
      <c r="C135" s="158" t="inlineStr">
        <is>
          <t>Pivot_GPD</t>
        </is>
      </c>
      <c r="D135" s="210" t="inlineStr">
        <is>
          <t>E22</t>
        </is>
      </c>
      <c r="E135" s="211" t="inlineStr">
        <is>
          <t>String literal in formula</t>
        </is>
      </c>
      <c r="F135" s="211" t="inlineStr">
        <is>
          <t>String 'Baseline_Amount'. Formula: =IFERROR(GETPIVOTDATA("Baseline_Amount",Visual_Pivot_BusinessIncome!$B$5,"Treatm</t>
        </is>
      </c>
      <c r="G135" s="211" t="inlineStr">
        <is>
          <t>If enum (status/state/etc.), pull from Dropdown_Lists.</t>
        </is>
      </c>
    </row>
    <row r="136">
      <c r="B136" s="209" t="inlineStr">
        <is>
          <t>WARN</t>
        </is>
      </c>
      <c r="C136" s="158" t="inlineStr">
        <is>
          <t>Pivot_GPD</t>
        </is>
      </c>
      <c r="D136" s="210" t="inlineStr">
        <is>
          <t>E22</t>
        </is>
      </c>
      <c r="E136" s="211" t="inlineStr">
        <is>
          <t>String literal in formula</t>
        </is>
      </c>
      <c r="F136" s="211" t="inlineStr">
        <is>
          <t>String 'Treatment_Profile'. Formula: =IFERROR(GETPIVOTDATA("Baseline_Amount",Visual_Pivot_BusinessIncome!$B$5,"Treatm</t>
        </is>
      </c>
      <c r="G136" s="211" t="inlineStr">
        <is>
          <t>If enum (status/state/etc.), pull from Dropdown_Lists.</t>
        </is>
      </c>
    </row>
    <row r="137">
      <c r="B137" s="209" t="inlineStr">
        <is>
          <t>WARN</t>
        </is>
      </c>
      <c r="C137" s="158" t="inlineStr">
        <is>
          <t>Pivot_GPD</t>
        </is>
      </c>
      <c r="D137" s="210" t="inlineStr">
        <is>
          <t>E22</t>
        </is>
      </c>
      <c r="E137" s="211" t="inlineStr">
        <is>
          <t>String literal in formula</t>
        </is>
      </c>
      <c r="F137" s="211" t="inlineStr">
        <is>
          <t>String 'K1_SCorp_Active'. Formula: =IFERROR(GETPIVOTDATA("Baseline_Amount",Visual_Pivot_BusinessIncome!$B$5,"Treatm</t>
        </is>
      </c>
      <c r="G137" s="211" t="inlineStr">
        <is>
          <t>If enum (status/state/etc.), pull from Dropdown_Lists.</t>
        </is>
      </c>
    </row>
    <row r="138">
      <c r="B138" s="209" t="inlineStr">
        <is>
          <t>WARN</t>
        </is>
      </c>
      <c r="C138" s="158" t="inlineStr">
        <is>
          <t>Pivot_GPD</t>
        </is>
      </c>
      <c r="D138" s="210" t="inlineStr">
        <is>
          <t>E22</t>
        </is>
      </c>
      <c r="E138" s="211" t="inlineStr">
        <is>
          <t>String literal in formula</t>
        </is>
      </c>
      <c r="F138" s="211" t="inlineStr">
        <is>
          <t>String 'Year'. Formula: =IFERROR(GETPIVOTDATA("Baseline_Amount",Visual_Pivot_BusinessIncome!$B$5,"Treatm</t>
        </is>
      </c>
      <c r="G138" s="211" t="inlineStr">
        <is>
          <t>If enum (status/state/etc.), pull from Dropdown_Lists.</t>
        </is>
      </c>
    </row>
    <row r="139">
      <c r="B139" s="209" t="inlineStr">
        <is>
          <t>WARN</t>
        </is>
      </c>
      <c r="C139" s="158" t="inlineStr">
        <is>
          <t>Pivot_GPD</t>
        </is>
      </c>
      <c r="D139" s="210" t="inlineStr">
        <is>
          <t>E23</t>
        </is>
      </c>
      <c r="E139" s="211" t="inlineStr">
        <is>
          <t>String literal in formula</t>
        </is>
      </c>
      <c r="F139" s="211" t="inlineStr">
        <is>
          <t>String 'Baseline_Amount'. Formula: =IFERROR(GETPIVOTDATA("Baseline_Amount",Visual_Pivot_BusinessIncome!$B$5,"Treatm</t>
        </is>
      </c>
      <c r="G139" s="211" t="inlineStr">
        <is>
          <t>If enum (status/state/etc.), pull from Dropdown_Lists.</t>
        </is>
      </c>
    </row>
    <row r="140">
      <c r="B140" s="209" t="inlineStr">
        <is>
          <t>WARN</t>
        </is>
      </c>
      <c r="C140" s="158" t="inlineStr">
        <is>
          <t>Pivot_GPD</t>
        </is>
      </c>
      <c r="D140" s="210" t="inlineStr">
        <is>
          <t>E23</t>
        </is>
      </c>
      <c r="E140" s="211" t="inlineStr">
        <is>
          <t>String literal in formula</t>
        </is>
      </c>
      <c r="F140" s="211" t="inlineStr">
        <is>
          <t>String 'Treatment_Profile'. Formula: =IFERROR(GETPIVOTDATA("Baseline_Amount",Visual_Pivot_BusinessIncome!$B$5,"Treatm</t>
        </is>
      </c>
      <c r="G140" s="211" t="inlineStr">
        <is>
          <t>If enum (status/state/etc.), pull from Dropdown_Lists.</t>
        </is>
      </c>
    </row>
    <row r="141">
      <c r="B141" s="209" t="inlineStr">
        <is>
          <t>WARN</t>
        </is>
      </c>
      <c r="C141" s="158" t="inlineStr">
        <is>
          <t>Pivot_GPD</t>
        </is>
      </c>
      <c r="D141" s="210" t="inlineStr">
        <is>
          <t>E23</t>
        </is>
      </c>
      <c r="E141" s="211" t="inlineStr">
        <is>
          <t>String literal in formula</t>
        </is>
      </c>
      <c r="F141" s="211" t="inlineStr">
        <is>
          <t>String 'K1_PTP_Passive'. Formula: =IFERROR(GETPIVOTDATA("Baseline_Amount",Visual_Pivot_BusinessIncome!$B$5,"Treatm</t>
        </is>
      </c>
      <c r="G141" s="211" t="inlineStr">
        <is>
          <t>If enum (status/state/etc.), pull from Dropdown_Lists.</t>
        </is>
      </c>
    </row>
    <row r="142">
      <c r="B142" s="209" t="inlineStr">
        <is>
          <t>WARN</t>
        </is>
      </c>
      <c r="C142" s="158" t="inlineStr">
        <is>
          <t>Pivot_GPD</t>
        </is>
      </c>
      <c r="D142" s="210" t="inlineStr">
        <is>
          <t>E23</t>
        </is>
      </c>
      <c r="E142" s="211" t="inlineStr">
        <is>
          <t>String literal in formula</t>
        </is>
      </c>
      <c r="F142" s="211" t="inlineStr">
        <is>
          <t>String 'Year'. Formula: =IFERROR(GETPIVOTDATA("Baseline_Amount",Visual_Pivot_BusinessIncome!$B$5,"Treatm</t>
        </is>
      </c>
      <c r="G142" s="211" t="inlineStr">
        <is>
          <t>If enum (status/state/etc.), pull from Dropdown_Lists.</t>
        </is>
      </c>
    </row>
    <row r="143">
      <c r="B143" s="209" t="inlineStr">
        <is>
          <t>WARN</t>
        </is>
      </c>
      <c r="C143" s="158" t="inlineStr">
        <is>
          <t>Pivot_GPD</t>
        </is>
      </c>
      <c r="D143" s="210" t="inlineStr">
        <is>
          <t>E24</t>
        </is>
      </c>
      <c r="E143" s="211" t="inlineStr">
        <is>
          <t>String literal in formula</t>
        </is>
      </c>
      <c r="F143" s="211" t="inlineStr">
        <is>
          <t>String 'Baseline_Amount'. Formula: =IFERROR(GETPIVOTDATA("Baseline_Amount",Visual_Pivot_BusinessIncome!$B$5,"Treatm</t>
        </is>
      </c>
      <c r="G143" s="211" t="inlineStr">
        <is>
          <t>If enum (status/state/etc.), pull from Dropdown_Lists.</t>
        </is>
      </c>
    </row>
    <row r="144">
      <c r="B144" s="209" t="inlineStr">
        <is>
          <t>WARN</t>
        </is>
      </c>
      <c r="C144" s="158" t="inlineStr">
        <is>
          <t>Pivot_GPD</t>
        </is>
      </c>
      <c r="D144" s="210" t="inlineStr">
        <is>
          <t>E24</t>
        </is>
      </c>
      <c r="E144" s="211" t="inlineStr">
        <is>
          <t>String literal in formula</t>
        </is>
      </c>
      <c r="F144" s="211" t="inlineStr">
        <is>
          <t>String 'Treatment_Profile'. Formula: =IFERROR(GETPIVOTDATA("Baseline_Amount",Visual_Pivot_BusinessIncome!$B$5,"Treatm</t>
        </is>
      </c>
      <c r="G144" s="211" t="inlineStr">
        <is>
          <t>If enum (status/state/etc.), pull from Dropdown_Lists.</t>
        </is>
      </c>
    </row>
    <row r="145">
      <c r="B145" s="209" t="inlineStr">
        <is>
          <t>WARN</t>
        </is>
      </c>
      <c r="C145" s="158" t="inlineStr">
        <is>
          <t>Pivot_GPD</t>
        </is>
      </c>
      <c r="D145" s="210" t="inlineStr">
        <is>
          <t>E24</t>
        </is>
      </c>
      <c r="E145" s="211" t="inlineStr">
        <is>
          <t>String literal in formula</t>
        </is>
      </c>
      <c r="F145" s="211" t="inlineStr">
        <is>
          <t>String 'SchE_Rental'. Formula: =IFERROR(GETPIVOTDATA("Baseline_Amount",Visual_Pivot_BusinessIncome!$B$5,"Treatm</t>
        </is>
      </c>
      <c r="G145" s="211" t="inlineStr">
        <is>
          <t>If enum (status/state/etc.), pull from Dropdown_Lists.</t>
        </is>
      </c>
    </row>
    <row r="146">
      <c r="B146" s="209" t="inlineStr">
        <is>
          <t>WARN</t>
        </is>
      </c>
      <c r="C146" s="158" t="inlineStr">
        <is>
          <t>Pivot_GPD</t>
        </is>
      </c>
      <c r="D146" s="210" t="inlineStr">
        <is>
          <t>E24</t>
        </is>
      </c>
      <c r="E146" s="211" t="inlineStr">
        <is>
          <t>String literal in formula</t>
        </is>
      </c>
      <c r="F146" s="211" t="inlineStr">
        <is>
          <t>String 'Year'. Formula: =IFERROR(GETPIVOTDATA("Baseline_Amount",Visual_Pivot_BusinessIncome!$B$5,"Treatm</t>
        </is>
      </c>
      <c r="G146" s="211" t="inlineStr">
        <is>
          <t>If enum (status/state/etc.), pull from Dropdown_Lists.</t>
        </is>
      </c>
    </row>
    <row r="147">
      <c r="B147" s="209" t="inlineStr">
        <is>
          <t>WARN</t>
        </is>
      </c>
      <c r="C147" s="158" t="inlineStr">
        <is>
          <t>Pivot_GPD</t>
        </is>
      </c>
      <c r="D147" s="210" t="inlineStr">
        <is>
          <t>E25</t>
        </is>
      </c>
      <c r="E147" s="211" t="inlineStr">
        <is>
          <t>String literal in formula</t>
        </is>
      </c>
      <c r="F147" s="211" t="inlineStr">
        <is>
          <t>String 'Baseline_Amount'. Formula: =IFERROR(GETPIVOTDATA("Baseline_Amount",Visual_Pivot_BusinessIncome!$B$5,"Year",</t>
        </is>
      </c>
      <c r="G147" s="211" t="inlineStr">
        <is>
          <t>If enum (status/state/etc.), pull from Dropdown_Lists.</t>
        </is>
      </c>
    </row>
    <row r="148">
      <c r="B148" s="209" t="inlineStr">
        <is>
          <t>WARN</t>
        </is>
      </c>
      <c r="C148" s="158" t="inlineStr">
        <is>
          <t>Pivot_GPD</t>
        </is>
      </c>
      <c r="D148" s="210" t="inlineStr">
        <is>
          <t>E25</t>
        </is>
      </c>
      <c r="E148" s="211" t="inlineStr">
        <is>
          <t>String literal in formula</t>
        </is>
      </c>
      <c r="F148" s="211" t="inlineStr">
        <is>
          <t>String 'Year'. Formula: =IFERROR(GETPIVOTDATA("Baseline_Amount",Visual_Pivot_BusinessIncome!$B$5,"Year",</t>
        </is>
      </c>
      <c r="G148" s="211" t="inlineStr">
        <is>
          <t>If enum (status/state/etc.), pull from Dropdown_Lists.</t>
        </is>
      </c>
    </row>
    <row r="149">
      <c r="B149" s="209" t="inlineStr">
        <is>
          <t>WARN</t>
        </is>
      </c>
      <c r="C149" s="158" t="inlineStr">
        <is>
          <t>Pivot_GPD</t>
        </is>
      </c>
      <c r="D149" s="210" t="inlineStr">
        <is>
          <t>E7</t>
        </is>
      </c>
      <c r="E149" s="211" t="inlineStr">
        <is>
          <t>String literal in formula</t>
        </is>
      </c>
      <c r="F149" s="211" t="inlineStr">
        <is>
          <t>String 'Baseline_Amount'. Formula: =IFERROR(GETPIVOTDATA("Baseline_Amount",Visual_Pivot_Income!$B$5,"Primary_Line",</t>
        </is>
      </c>
      <c r="G149" s="211" t="inlineStr">
        <is>
          <t>If enum (status/state/etc.), pull from Dropdown_Lists.</t>
        </is>
      </c>
    </row>
    <row r="150">
      <c r="B150" s="209" t="inlineStr">
        <is>
          <t>WARN</t>
        </is>
      </c>
      <c r="C150" s="158" t="inlineStr">
        <is>
          <t>Pivot_GPD</t>
        </is>
      </c>
      <c r="D150" s="210" t="inlineStr">
        <is>
          <t>E7</t>
        </is>
      </c>
      <c r="E150" s="211" t="inlineStr">
        <is>
          <t>String literal in formula</t>
        </is>
      </c>
      <c r="F150" s="211" t="inlineStr">
        <is>
          <t>String 'Primary_Line'. Formula: =IFERROR(GETPIVOTDATA("Baseline_Amount",Visual_Pivot_Income!$B$5,"Primary_Line",</t>
        </is>
      </c>
      <c r="G150" s="211" t="inlineStr">
        <is>
          <t>If enum (status/state/etc.), pull from Dropdown_Lists.</t>
        </is>
      </c>
    </row>
    <row r="151">
      <c r="B151" s="209" t="inlineStr">
        <is>
          <t>WARN</t>
        </is>
      </c>
      <c r="C151" s="158" t="inlineStr">
        <is>
          <t>Pivot_GPD</t>
        </is>
      </c>
      <c r="D151" s="210" t="inlineStr">
        <is>
          <t>E7</t>
        </is>
      </c>
      <c r="E151" s="211" t="inlineStr">
        <is>
          <t>String literal in formula</t>
        </is>
      </c>
      <c r="F151" s="211" t="inlineStr">
        <is>
          <t>String 'Year'. Formula: =IFERROR(GETPIVOTDATA("Baseline_Amount",Visual_Pivot_Income!$B$5,"Primary_Line",</t>
        </is>
      </c>
      <c r="G151" s="211" t="inlineStr">
        <is>
          <t>If enum (status/state/etc.), pull from Dropdown_Lists.</t>
        </is>
      </c>
    </row>
    <row r="152">
      <c r="B152" s="209" t="inlineStr">
        <is>
          <t>WARN</t>
        </is>
      </c>
      <c r="C152" s="158" t="inlineStr">
        <is>
          <t>Pivot_GPD</t>
        </is>
      </c>
      <c r="D152" s="210" t="inlineStr">
        <is>
          <t>E8</t>
        </is>
      </c>
      <c r="E152" s="211" t="inlineStr">
        <is>
          <t>String literal in formula</t>
        </is>
      </c>
      <c r="F152" s="211" t="inlineStr">
        <is>
          <t>String 'Baseline_Amount'. Formula: =IFERROR(GETPIVOTDATA("Baseline_Amount",Visual_Pivot_Income!$B$5,"Primary_Line",</t>
        </is>
      </c>
      <c r="G152" s="211" t="inlineStr">
        <is>
          <t>If enum (status/state/etc.), pull from Dropdown_Lists.</t>
        </is>
      </c>
    </row>
    <row r="153">
      <c r="B153" s="209" t="inlineStr">
        <is>
          <t>WARN</t>
        </is>
      </c>
      <c r="C153" s="158" t="inlineStr">
        <is>
          <t>Pivot_GPD</t>
        </is>
      </c>
      <c r="D153" s="210" t="inlineStr">
        <is>
          <t>E8</t>
        </is>
      </c>
      <c r="E153" s="211" t="inlineStr">
        <is>
          <t>String literal in formula</t>
        </is>
      </c>
      <c r="F153" s="211" t="inlineStr">
        <is>
          <t>String 'Primary_Line'. Formula: =IFERROR(GETPIVOTDATA("Baseline_Amount",Visual_Pivot_Income!$B$5,"Primary_Line",</t>
        </is>
      </c>
      <c r="G153" s="211" t="inlineStr">
        <is>
          <t>If enum (status/state/etc.), pull from Dropdown_Lists.</t>
        </is>
      </c>
    </row>
    <row r="154">
      <c r="B154" s="209" t="inlineStr">
        <is>
          <t>WARN</t>
        </is>
      </c>
      <c r="C154" s="158" t="inlineStr">
        <is>
          <t>Pivot_GPD</t>
        </is>
      </c>
      <c r="D154" s="210" t="inlineStr">
        <is>
          <t>E8</t>
        </is>
      </c>
      <c r="E154" s="211" t="inlineStr">
        <is>
          <t>String literal in formula</t>
        </is>
      </c>
      <c r="F154" s="211" t="inlineStr">
        <is>
          <t>String 'Year'. Formula: =IFERROR(GETPIVOTDATA("Baseline_Amount",Visual_Pivot_Income!$B$5,"Primary_Line",</t>
        </is>
      </c>
      <c r="G154" s="211" t="inlineStr">
        <is>
          <t>If enum (status/state/etc.), pull from Dropdown_Lists.</t>
        </is>
      </c>
    </row>
    <row r="155">
      <c r="B155" s="209" t="inlineStr">
        <is>
          <t>WARN</t>
        </is>
      </c>
      <c r="C155" s="158" t="inlineStr">
        <is>
          <t>Pivot_GPD</t>
        </is>
      </c>
      <c r="D155" s="210" t="inlineStr">
        <is>
          <t>E9</t>
        </is>
      </c>
      <c r="E155" s="211" t="inlineStr">
        <is>
          <t>String literal in formula</t>
        </is>
      </c>
      <c r="F155" s="211" t="inlineStr">
        <is>
          <t>String 'Baseline_Amount'. Formula: =IFERROR(GETPIVOTDATA("Baseline_Amount",Visual_Pivot_Income!$B$5,"Primary_Line",</t>
        </is>
      </c>
      <c r="G155" s="211" t="inlineStr">
        <is>
          <t>If enum (status/state/etc.), pull from Dropdown_Lists.</t>
        </is>
      </c>
    </row>
    <row r="156">
      <c r="B156" s="209" t="inlineStr">
        <is>
          <t>WARN</t>
        </is>
      </c>
      <c r="C156" s="158" t="inlineStr">
        <is>
          <t>Pivot_GPD</t>
        </is>
      </c>
      <c r="D156" s="210" t="inlineStr">
        <is>
          <t>E9</t>
        </is>
      </c>
      <c r="E156" s="211" t="inlineStr">
        <is>
          <t>String literal in formula</t>
        </is>
      </c>
      <c r="F156" s="211" t="inlineStr">
        <is>
          <t>String 'Primary_Line'. Formula: =IFERROR(GETPIVOTDATA("Baseline_Amount",Visual_Pivot_Income!$B$5,"Primary_Line",</t>
        </is>
      </c>
      <c r="G156" s="211" t="inlineStr">
        <is>
          <t>If enum (status/state/etc.), pull from Dropdown_Lists.</t>
        </is>
      </c>
    </row>
    <row r="157">
      <c r="B157" s="209" t="inlineStr">
        <is>
          <t>WARN</t>
        </is>
      </c>
      <c r="C157" s="158" t="inlineStr">
        <is>
          <t>Pivot_GPD</t>
        </is>
      </c>
      <c r="D157" s="210" t="inlineStr">
        <is>
          <t>E9</t>
        </is>
      </c>
      <c r="E157" s="211" t="inlineStr">
        <is>
          <t>String literal in formula</t>
        </is>
      </c>
      <c r="F157" s="211" t="inlineStr">
        <is>
          <t>String 'Year'. Formula: =IFERROR(GETPIVOTDATA("Baseline_Amount",Visual_Pivot_Income!$B$5,"Primary_Line",</t>
        </is>
      </c>
      <c r="G157" s="211" t="inlineStr">
        <is>
          <t>If enum (status/state/etc.), pull from Dropdown_Lists.</t>
        </is>
      </c>
    </row>
    <row r="158">
      <c r="B158" s="209" t="inlineStr">
        <is>
          <t>WARN</t>
        </is>
      </c>
      <c r="C158" s="158" t="inlineStr">
        <is>
          <t>Pivot_GPD</t>
        </is>
      </c>
      <c r="D158" s="210" t="inlineStr">
        <is>
          <t>F10</t>
        </is>
      </c>
      <c r="E158" s="211" t="inlineStr">
        <is>
          <t>String literal in formula</t>
        </is>
      </c>
      <c r="F158" s="211" t="inlineStr">
        <is>
          <t>String 'Baseline_Amount'. Formula: =IFERROR(GETPIVOTDATA("Baseline_Amount",Visual_Pivot_Income!$B$5,"Primary_Line",</t>
        </is>
      </c>
      <c r="G158" s="211" t="inlineStr">
        <is>
          <t>If enum (status/state/etc.), pull from Dropdown_Lists.</t>
        </is>
      </c>
    </row>
    <row r="159">
      <c r="B159" s="209" t="inlineStr">
        <is>
          <t>WARN</t>
        </is>
      </c>
      <c r="C159" s="158" t="inlineStr">
        <is>
          <t>Pivot_GPD</t>
        </is>
      </c>
      <c r="D159" s="210" t="inlineStr">
        <is>
          <t>F10</t>
        </is>
      </c>
      <c r="E159" s="211" t="inlineStr">
        <is>
          <t>String literal in formula</t>
        </is>
      </c>
      <c r="F159" s="211" t="inlineStr">
        <is>
          <t>String 'Primary_Line'. Formula: =IFERROR(GETPIVOTDATA("Baseline_Amount",Visual_Pivot_Income!$B$5,"Primary_Line",</t>
        </is>
      </c>
      <c r="G159" s="211" t="inlineStr">
        <is>
          <t>If enum (status/state/etc.), pull from Dropdown_Lists.</t>
        </is>
      </c>
    </row>
    <row r="160">
      <c r="B160" s="209" t="inlineStr">
        <is>
          <t>WARN</t>
        </is>
      </c>
      <c r="C160" s="158" t="inlineStr">
        <is>
          <t>Pivot_GPD</t>
        </is>
      </c>
      <c r="D160" s="210" t="inlineStr">
        <is>
          <t>F10</t>
        </is>
      </c>
      <c r="E160" s="211" t="inlineStr">
        <is>
          <t>String literal in formula</t>
        </is>
      </c>
      <c r="F160" s="211" t="inlineStr">
        <is>
          <t>String 'Year'. Formula: =IFERROR(GETPIVOTDATA("Baseline_Amount",Visual_Pivot_Income!$B$5,"Primary_Line",</t>
        </is>
      </c>
      <c r="G160" s="211" t="inlineStr">
        <is>
          <t>If enum (status/state/etc.), pull from Dropdown_Lists.</t>
        </is>
      </c>
    </row>
    <row r="161">
      <c r="B161" s="209" t="inlineStr">
        <is>
          <t>WARN</t>
        </is>
      </c>
      <c r="C161" s="158" t="inlineStr">
        <is>
          <t>Pivot_GPD</t>
        </is>
      </c>
      <c r="D161" s="210" t="inlineStr">
        <is>
          <t>F11</t>
        </is>
      </c>
      <c r="E161" s="211" t="inlineStr">
        <is>
          <t>String literal in formula</t>
        </is>
      </c>
      <c r="F161" s="211" t="inlineStr">
        <is>
          <t>String 'Baseline_Amount'. Formula: =IFERROR(GETPIVOTDATA("Baseline_Amount",Visual_Pivot_Income!$B$5,"Primary_Line",</t>
        </is>
      </c>
      <c r="G161" s="211" t="inlineStr">
        <is>
          <t>If enum (status/state/etc.), pull from Dropdown_Lists.</t>
        </is>
      </c>
    </row>
    <row r="162">
      <c r="B162" s="209" t="inlineStr">
        <is>
          <t>WARN</t>
        </is>
      </c>
      <c r="C162" s="158" t="inlineStr">
        <is>
          <t>Pivot_GPD</t>
        </is>
      </c>
      <c r="D162" s="210" t="inlineStr">
        <is>
          <t>F11</t>
        </is>
      </c>
      <c r="E162" s="211" t="inlineStr">
        <is>
          <t>String literal in formula</t>
        </is>
      </c>
      <c r="F162" s="211" t="inlineStr">
        <is>
          <t>String 'Primary_Line'. Formula: =IFERROR(GETPIVOTDATA("Baseline_Amount",Visual_Pivot_Income!$B$5,"Primary_Line",</t>
        </is>
      </c>
      <c r="G162" s="211" t="inlineStr">
        <is>
          <t>If enum (status/state/etc.), pull from Dropdown_Lists.</t>
        </is>
      </c>
    </row>
    <row r="163">
      <c r="B163" s="209" t="inlineStr">
        <is>
          <t>WARN</t>
        </is>
      </c>
      <c r="C163" s="158" t="inlineStr">
        <is>
          <t>Pivot_GPD</t>
        </is>
      </c>
      <c r="D163" s="210" t="inlineStr">
        <is>
          <t>F11</t>
        </is>
      </c>
      <c r="E163" s="211" t="inlineStr">
        <is>
          <t>String literal in formula</t>
        </is>
      </c>
      <c r="F163" s="211" t="inlineStr">
        <is>
          <t>String 'Year'. Formula: =IFERROR(GETPIVOTDATA("Baseline_Amount",Visual_Pivot_Income!$B$5,"Primary_Line",</t>
        </is>
      </c>
      <c r="G163" s="211" t="inlineStr">
        <is>
          <t>If enum (status/state/etc.), pull from Dropdown_Lists.</t>
        </is>
      </c>
    </row>
    <row r="164">
      <c r="B164" s="209" t="inlineStr">
        <is>
          <t>WARN</t>
        </is>
      </c>
      <c r="C164" s="158" t="inlineStr">
        <is>
          <t>Pivot_GPD</t>
        </is>
      </c>
      <c r="D164" s="210" t="inlineStr">
        <is>
          <t>F12</t>
        </is>
      </c>
      <c r="E164" s="211" t="inlineStr">
        <is>
          <t>String literal in formula</t>
        </is>
      </c>
      <c r="F164" s="211" t="inlineStr">
        <is>
          <t>String 'Baseline_Amount'. Formula: =IFERROR(GETPIVOTDATA("Baseline_Amount",Visual_Pivot_Income!$B$5,"Primary_Line",</t>
        </is>
      </c>
      <c r="G164" s="211" t="inlineStr">
        <is>
          <t>If enum (status/state/etc.), pull from Dropdown_Lists.</t>
        </is>
      </c>
    </row>
    <row r="165">
      <c r="B165" s="209" t="inlineStr">
        <is>
          <t>WARN</t>
        </is>
      </c>
      <c r="C165" s="158" t="inlineStr">
        <is>
          <t>Pivot_GPD</t>
        </is>
      </c>
      <c r="D165" s="210" t="inlineStr">
        <is>
          <t>F12</t>
        </is>
      </c>
      <c r="E165" s="211" t="inlineStr">
        <is>
          <t>String literal in formula</t>
        </is>
      </c>
      <c r="F165" s="211" t="inlineStr">
        <is>
          <t>String 'Primary_Line'. Formula: =IFERROR(GETPIVOTDATA("Baseline_Amount",Visual_Pivot_Income!$B$5,"Primary_Line",</t>
        </is>
      </c>
      <c r="G165" s="211" t="inlineStr">
        <is>
          <t>If enum (status/state/etc.), pull from Dropdown_Lists.</t>
        </is>
      </c>
    </row>
    <row r="166">
      <c r="B166" s="209" t="inlineStr">
        <is>
          <t>WARN</t>
        </is>
      </c>
      <c r="C166" s="158" t="inlineStr">
        <is>
          <t>Pivot_GPD</t>
        </is>
      </c>
      <c r="D166" s="210" t="inlineStr">
        <is>
          <t>F12</t>
        </is>
      </c>
      <c r="E166" s="211" t="inlineStr">
        <is>
          <t>String literal in formula</t>
        </is>
      </c>
      <c r="F166" s="211" t="inlineStr">
        <is>
          <t>String 'Year'. Formula: =IFERROR(GETPIVOTDATA("Baseline_Amount",Visual_Pivot_Income!$B$5,"Primary_Line",</t>
        </is>
      </c>
      <c r="G166" s="211" t="inlineStr">
        <is>
          <t>If enum (status/state/etc.), pull from Dropdown_Lists.</t>
        </is>
      </c>
    </row>
    <row r="167">
      <c r="B167" s="209" t="inlineStr">
        <is>
          <t>WARN</t>
        </is>
      </c>
      <c r="C167" s="158" t="inlineStr">
        <is>
          <t>Pivot_GPD</t>
        </is>
      </c>
      <c r="D167" s="210" t="inlineStr">
        <is>
          <t>F13</t>
        </is>
      </c>
      <c r="E167" s="211" t="inlineStr">
        <is>
          <t>String literal in formula</t>
        </is>
      </c>
      <c r="F167" s="211" t="inlineStr">
        <is>
          <t>String 'Baseline_Amount'. Formula: =IFERROR(GETPIVOTDATA("Baseline_Amount",Visual_Pivot_Income!$B$5,"Year",2025),0)</t>
        </is>
      </c>
      <c r="G167" s="211" t="inlineStr">
        <is>
          <t>If enum (status/state/etc.), pull from Dropdown_Lists.</t>
        </is>
      </c>
    </row>
    <row r="168">
      <c r="B168" s="209" t="inlineStr">
        <is>
          <t>WARN</t>
        </is>
      </c>
      <c r="C168" s="158" t="inlineStr">
        <is>
          <t>Pivot_GPD</t>
        </is>
      </c>
      <c r="D168" s="210" t="inlineStr">
        <is>
          <t>F13</t>
        </is>
      </c>
      <c r="E168" s="211" t="inlineStr">
        <is>
          <t>String literal in formula</t>
        </is>
      </c>
      <c r="F168" s="211" t="inlineStr">
        <is>
          <t>String 'Year'. Formula: =IFERROR(GETPIVOTDATA("Baseline_Amount",Visual_Pivot_Income!$B$5,"Year",2025),0)</t>
        </is>
      </c>
      <c r="G168" s="211" t="inlineStr">
        <is>
          <t>If enum (status/state/etc.), pull from Dropdown_Lists.</t>
        </is>
      </c>
    </row>
    <row r="169">
      <c r="B169" s="209" t="inlineStr">
        <is>
          <t>WARN</t>
        </is>
      </c>
      <c r="C169" s="158" t="inlineStr">
        <is>
          <t>Pivot_GPD</t>
        </is>
      </c>
      <c r="D169" s="210" t="inlineStr">
        <is>
          <t>F17</t>
        </is>
      </c>
      <c r="E169" s="211" t="inlineStr">
        <is>
          <t>String literal in formula</t>
        </is>
      </c>
      <c r="F169" s="211" t="inlineStr">
        <is>
          <t>String 'Helper_Amount'. Formula: =IFERROR(GETPIVOTDATA("Helper_Amount",Visual_Pivot_HelperCarveOuts!$B$5,"Helper_</t>
        </is>
      </c>
      <c r="G169" s="211" t="inlineStr">
        <is>
          <t>If enum (status/state/etc.), pull from Dropdown_Lists.</t>
        </is>
      </c>
    </row>
    <row r="170">
      <c r="B170" s="209" t="inlineStr">
        <is>
          <t>WARN</t>
        </is>
      </c>
      <c r="C170" s="158" t="inlineStr">
        <is>
          <t>Pivot_GPD</t>
        </is>
      </c>
      <c r="D170" s="210" t="inlineStr">
        <is>
          <t>F17</t>
        </is>
      </c>
      <c r="E170" s="211" t="inlineStr">
        <is>
          <t>String literal in formula</t>
        </is>
      </c>
      <c r="F170" s="211" t="inlineStr">
        <is>
          <t>String 'Helper_Treatment'. Formula: =IFERROR(GETPIVOTDATA("Helper_Amount",Visual_Pivot_HelperCarveOuts!$B$5,"Helper_</t>
        </is>
      </c>
      <c r="G170" s="211" t="inlineStr">
        <is>
          <t>If enum (status/state/etc.), pull from Dropdown_Lists.</t>
        </is>
      </c>
    </row>
    <row r="171">
      <c r="B171" s="209" t="inlineStr">
        <is>
          <t>WARN</t>
        </is>
      </c>
      <c r="C171" s="158" t="inlineStr">
        <is>
          <t>Pivot_GPD</t>
        </is>
      </c>
      <c r="D171" s="210" t="inlineStr">
        <is>
          <t>F17</t>
        </is>
      </c>
      <c r="E171" s="211" t="inlineStr">
        <is>
          <t>String literal in formula</t>
        </is>
      </c>
      <c r="F171" s="211" t="inlineStr">
        <is>
          <t>String 'OWNER_PAY'. Formula: =IFERROR(GETPIVOTDATA("Helper_Amount",Visual_Pivot_HelperCarveOuts!$B$5,"Helper_</t>
        </is>
      </c>
      <c r="G171" s="211" t="inlineStr">
        <is>
          <t>If enum (status/state/etc.), pull from Dropdown_Lists.</t>
        </is>
      </c>
    </row>
    <row r="172">
      <c r="B172" s="209" t="inlineStr">
        <is>
          <t>WARN</t>
        </is>
      </c>
      <c r="C172" s="158" t="inlineStr">
        <is>
          <t>Pivot_GPD</t>
        </is>
      </c>
      <c r="D172" s="210" t="inlineStr">
        <is>
          <t>F17</t>
        </is>
      </c>
      <c r="E172" s="211" t="inlineStr">
        <is>
          <t>String literal in formula</t>
        </is>
      </c>
      <c r="F172" s="211" t="inlineStr">
        <is>
          <t>String 'Year'. Formula: =IFERROR(GETPIVOTDATA("Helper_Amount",Visual_Pivot_HelperCarveOuts!$B$5,"Helper_</t>
        </is>
      </c>
      <c r="G172" s="211" t="inlineStr">
        <is>
          <t>If enum (status/state/etc.), pull from Dropdown_Lists.</t>
        </is>
      </c>
    </row>
    <row r="173">
      <c r="B173" s="209" t="inlineStr">
        <is>
          <t>WARN</t>
        </is>
      </c>
      <c r="C173" s="158" t="inlineStr">
        <is>
          <t>Pivot_GPD</t>
        </is>
      </c>
      <c r="D173" s="210" t="inlineStr">
        <is>
          <t>F18</t>
        </is>
      </c>
      <c r="E173" s="211" t="inlineStr">
        <is>
          <t>String literal in formula</t>
        </is>
      </c>
      <c r="F173" s="211" t="inlineStr">
        <is>
          <t>String 'Helper_Amount'. Formula: =IFERROR(GETPIVOTDATA("Helper_Amount",Visual_Pivot_HelperCarveOuts!$B$5,"Helper_</t>
        </is>
      </c>
      <c r="G173" s="211" t="inlineStr">
        <is>
          <t>If enum (status/state/etc.), pull from Dropdown_Lists.</t>
        </is>
      </c>
    </row>
    <row r="174">
      <c r="B174" s="209" t="inlineStr">
        <is>
          <t>WARN</t>
        </is>
      </c>
      <c r="C174" s="158" t="inlineStr">
        <is>
          <t>Pivot_GPD</t>
        </is>
      </c>
      <c r="D174" s="210" t="inlineStr">
        <is>
          <t>F18</t>
        </is>
      </c>
      <c r="E174" s="211" t="inlineStr">
        <is>
          <t>String literal in formula</t>
        </is>
      </c>
      <c r="F174" s="211" t="inlineStr">
        <is>
          <t>String 'Helper_Treatment'. Formula: =IFERROR(GETPIVOTDATA("Helper_Amount",Visual_Pivot_HelperCarveOuts!$B$5,"Helper_</t>
        </is>
      </c>
      <c r="G174" s="211" t="inlineStr">
        <is>
          <t>If enum (status/state/etc.), pull from Dropdown_Lists.</t>
        </is>
      </c>
    </row>
    <row r="175">
      <c r="B175" s="209" t="inlineStr">
        <is>
          <t>WARN</t>
        </is>
      </c>
      <c r="C175" s="158" t="inlineStr">
        <is>
          <t>Pivot_GPD</t>
        </is>
      </c>
      <c r="D175" s="210" t="inlineStr">
        <is>
          <t>F18</t>
        </is>
      </c>
      <c r="E175" s="211" t="inlineStr">
        <is>
          <t>String literal in formula</t>
        </is>
      </c>
      <c r="F175" s="211" t="inlineStr">
        <is>
          <t>String 'QUAL_DIV'. Formula: =IFERROR(GETPIVOTDATA("Helper_Amount",Visual_Pivot_HelperCarveOuts!$B$5,"Helper_</t>
        </is>
      </c>
      <c r="G175" s="211" t="inlineStr">
        <is>
          <t>If enum (status/state/etc.), pull from Dropdown_Lists.</t>
        </is>
      </c>
    </row>
    <row r="176">
      <c r="B176" s="209" t="inlineStr">
        <is>
          <t>WARN</t>
        </is>
      </c>
      <c r="C176" s="158" t="inlineStr">
        <is>
          <t>Pivot_GPD</t>
        </is>
      </c>
      <c r="D176" s="210" t="inlineStr">
        <is>
          <t>F18</t>
        </is>
      </c>
      <c r="E176" s="211" t="inlineStr">
        <is>
          <t>String literal in formula</t>
        </is>
      </c>
      <c r="F176" s="211" t="inlineStr">
        <is>
          <t>String 'Year'. Formula: =IFERROR(GETPIVOTDATA("Helper_Amount",Visual_Pivot_HelperCarveOuts!$B$5,"Helper_</t>
        </is>
      </c>
      <c r="G176" s="211" t="inlineStr">
        <is>
          <t>If enum (status/state/etc.), pull from Dropdown_Lists.</t>
        </is>
      </c>
    </row>
    <row r="177">
      <c r="B177" s="209" t="inlineStr">
        <is>
          <t>WARN</t>
        </is>
      </c>
      <c r="C177" s="158" t="inlineStr">
        <is>
          <t>Pivot_GPD</t>
        </is>
      </c>
      <c r="D177" s="210" t="inlineStr">
        <is>
          <t>F22</t>
        </is>
      </c>
      <c r="E177" s="211" t="inlineStr">
        <is>
          <t>String literal in formula</t>
        </is>
      </c>
      <c r="F177" s="211" t="inlineStr">
        <is>
          <t>String 'Baseline_Amount'. Formula: =IFERROR(GETPIVOTDATA("Baseline_Amount",Visual_Pivot_BusinessIncome!$B$5,"Treatm</t>
        </is>
      </c>
      <c r="G177" s="211" t="inlineStr">
        <is>
          <t>If enum (status/state/etc.), pull from Dropdown_Lists.</t>
        </is>
      </c>
    </row>
    <row r="178">
      <c r="B178" s="209" t="inlineStr">
        <is>
          <t>WARN</t>
        </is>
      </c>
      <c r="C178" s="158" t="inlineStr">
        <is>
          <t>Pivot_GPD</t>
        </is>
      </c>
      <c r="D178" s="210" t="inlineStr">
        <is>
          <t>F22</t>
        </is>
      </c>
      <c r="E178" s="211" t="inlineStr">
        <is>
          <t>String literal in formula</t>
        </is>
      </c>
      <c r="F178" s="211" t="inlineStr">
        <is>
          <t>String 'Treatment_Profile'. Formula: =IFERROR(GETPIVOTDATA("Baseline_Amount",Visual_Pivot_BusinessIncome!$B$5,"Treatm</t>
        </is>
      </c>
      <c r="G178" s="211" t="inlineStr">
        <is>
          <t>If enum (status/state/etc.), pull from Dropdown_Lists.</t>
        </is>
      </c>
    </row>
    <row r="179">
      <c r="B179" s="209" t="inlineStr">
        <is>
          <t>WARN</t>
        </is>
      </c>
      <c r="C179" s="158" t="inlineStr">
        <is>
          <t>Pivot_GPD</t>
        </is>
      </c>
      <c r="D179" s="210" t="inlineStr">
        <is>
          <t>F22</t>
        </is>
      </c>
      <c r="E179" s="211" t="inlineStr">
        <is>
          <t>String literal in formula</t>
        </is>
      </c>
      <c r="F179" s="211" t="inlineStr">
        <is>
          <t>String 'K1_SCorp_Active'. Formula: =IFERROR(GETPIVOTDATA("Baseline_Amount",Visual_Pivot_BusinessIncome!$B$5,"Treatm</t>
        </is>
      </c>
      <c r="G179" s="211" t="inlineStr">
        <is>
          <t>If enum (status/state/etc.), pull from Dropdown_Lists.</t>
        </is>
      </c>
    </row>
    <row r="180">
      <c r="B180" s="209" t="inlineStr">
        <is>
          <t>WARN</t>
        </is>
      </c>
      <c r="C180" s="158" t="inlineStr">
        <is>
          <t>Pivot_GPD</t>
        </is>
      </c>
      <c r="D180" s="210" t="inlineStr">
        <is>
          <t>F22</t>
        </is>
      </c>
      <c r="E180" s="211" t="inlineStr">
        <is>
          <t>String literal in formula</t>
        </is>
      </c>
      <c r="F180" s="211" t="inlineStr">
        <is>
          <t>String 'Year'. Formula: =IFERROR(GETPIVOTDATA("Baseline_Amount",Visual_Pivot_BusinessIncome!$B$5,"Treatm</t>
        </is>
      </c>
      <c r="G180" s="211" t="inlineStr">
        <is>
          <t>If enum (status/state/etc.), pull from Dropdown_Lists.</t>
        </is>
      </c>
    </row>
    <row r="181">
      <c r="B181" s="209" t="inlineStr">
        <is>
          <t>WARN</t>
        </is>
      </c>
      <c r="C181" s="158" t="inlineStr">
        <is>
          <t>Pivot_GPD</t>
        </is>
      </c>
      <c r="D181" s="210" t="inlineStr">
        <is>
          <t>F23</t>
        </is>
      </c>
      <c r="E181" s="211" t="inlineStr">
        <is>
          <t>String literal in formula</t>
        </is>
      </c>
      <c r="F181" s="211" t="inlineStr">
        <is>
          <t>String 'Baseline_Amount'. Formula: =IFERROR(GETPIVOTDATA("Baseline_Amount",Visual_Pivot_BusinessIncome!$B$5,"Treatm</t>
        </is>
      </c>
      <c r="G181" s="211" t="inlineStr">
        <is>
          <t>If enum (status/state/etc.), pull from Dropdown_Lists.</t>
        </is>
      </c>
    </row>
    <row r="182">
      <c r="B182" s="209" t="inlineStr">
        <is>
          <t>WARN</t>
        </is>
      </c>
      <c r="C182" s="158" t="inlineStr">
        <is>
          <t>Pivot_GPD</t>
        </is>
      </c>
      <c r="D182" s="210" t="inlineStr">
        <is>
          <t>F23</t>
        </is>
      </c>
      <c r="E182" s="211" t="inlineStr">
        <is>
          <t>String literal in formula</t>
        </is>
      </c>
      <c r="F182" s="211" t="inlineStr">
        <is>
          <t>String 'Treatment_Profile'. Formula: =IFERROR(GETPIVOTDATA("Baseline_Amount",Visual_Pivot_BusinessIncome!$B$5,"Treatm</t>
        </is>
      </c>
      <c r="G182" s="211" t="inlineStr">
        <is>
          <t>If enum (status/state/etc.), pull from Dropdown_Lists.</t>
        </is>
      </c>
    </row>
    <row r="183">
      <c r="B183" s="209" t="inlineStr">
        <is>
          <t>WARN</t>
        </is>
      </c>
      <c r="C183" s="158" t="inlineStr">
        <is>
          <t>Pivot_GPD</t>
        </is>
      </c>
      <c r="D183" s="210" t="inlineStr">
        <is>
          <t>F23</t>
        </is>
      </c>
      <c r="E183" s="211" t="inlineStr">
        <is>
          <t>String literal in formula</t>
        </is>
      </c>
      <c r="F183" s="211" t="inlineStr">
        <is>
          <t>String 'K1_PTP_Passive'. Formula: =IFERROR(GETPIVOTDATA("Baseline_Amount",Visual_Pivot_BusinessIncome!$B$5,"Treatm</t>
        </is>
      </c>
      <c r="G183" s="211" t="inlineStr">
        <is>
          <t>If enum (status/state/etc.), pull from Dropdown_Lists.</t>
        </is>
      </c>
    </row>
    <row r="184">
      <c r="B184" s="209" t="inlineStr">
        <is>
          <t>WARN</t>
        </is>
      </c>
      <c r="C184" s="158" t="inlineStr">
        <is>
          <t>Pivot_GPD</t>
        </is>
      </c>
      <c r="D184" s="210" t="inlineStr">
        <is>
          <t>F23</t>
        </is>
      </c>
      <c r="E184" s="211" t="inlineStr">
        <is>
          <t>String literal in formula</t>
        </is>
      </c>
      <c r="F184" s="211" t="inlineStr">
        <is>
          <t>String 'Year'. Formula: =IFERROR(GETPIVOTDATA("Baseline_Amount",Visual_Pivot_BusinessIncome!$B$5,"Treatm</t>
        </is>
      </c>
      <c r="G184" s="211" t="inlineStr">
        <is>
          <t>If enum (status/state/etc.), pull from Dropdown_Lists.</t>
        </is>
      </c>
    </row>
    <row r="185">
      <c r="B185" s="209" t="inlineStr">
        <is>
          <t>WARN</t>
        </is>
      </c>
      <c r="C185" s="158" t="inlineStr">
        <is>
          <t>Pivot_GPD</t>
        </is>
      </c>
      <c r="D185" s="210" t="inlineStr">
        <is>
          <t>F24</t>
        </is>
      </c>
      <c r="E185" s="211" t="inlineStr">
        <is>
          <t>String literal in formula</t>
        </is>
      </c>
      <c r="F185" s="211" t="inlineStr">
        <is>
          <t>String 'Baseline_Amount'. Formula: =IFERROR(GETPIVOTDATA("Baseline_Amount",Visual_Pivot_BusinessIncome!$B$5,"Treatm</t>
        </is>
      </c>
      <c r="G185" s="211" t="inlineStr">
        <is>
          <t>If enum (status/state/etc.), pull from Dropdown_Lists.</t>
        </is>
      </c>
    </row>
    <row r="186">
      <c r="B186" s="209" t="inlineStr">
        <is>
          <t>WARN</t>
        </is>
      </c>
      <c r="C186" s="158" t="inlineStr">
        <is>
          <t>Pivot_GPD</t>
        </is>
      </c>
      <c r="D186" s="210" t="inlineStr">
        <is>
          <t>F24</t>
        </is>
      </c>
      <c r="E186" s="211" t="inlineStr">
        <is>
          <t>String literal in formula</t>
        </is>
      </c>
      <c r="F186" s="211" t="inlineStr">
        <is>
          <t>String 'Treatment_Profile'. Formula: =IFERROR(GETPIVOTDATA("Baseline_Amount",Visual_Pivot_BusinessIncome!$B$5,"Treatm</t>
        </is>
      </c>
      <c r="G186" s="211" t="inlineStr">
        <is>
          <t>If enum (status/state/etc.), pull from Dropdown_Lists.</t>
        </is>
      </c>
    </row>
    <row r="187">
      <c r="B187" s="209" t="inlineStr">
        <is>
          <t>WARN</t>
        </is>
      </c>
      <c r="C187" s="158" t="inlineStr">
        <is>
          <t>Pivot_GPD</t>
        </is>
      </c>
      <c r="D187" s="210" t="inlineStr">
        <is>
          <t>F24</t>
        </is>
      </c>
      <c r="E187" s="211" t="inlineStr">
        <is>
          <t>String literal in formula</t>
        </is>
      </c>
      <c r="F187" s="211" t="inlineStr">
        <is>
          <t>String 'SchE_Rental'. Formula: =IFERROR(GETPIVOTDATA("Baseline_Amount",Visual_Pivot_BusinessIncome!$B$5,"Treatm</t>
        </is>
      </c>
      <c r="G187" s="211" t="inlineStr">
        <is>
          <t>If enum (status/state/etc.), pull from Dropdown_Lists.</t>
        </is>
      </c>
    </row>
    <row r="188">
      <c r="B188" s="209" t="inlineStr">
        <is>
          <t>WARN</t>
        </is>
      </c>
      <c r="C188" s="158" t="inlineStr">
        <is>
          <t>Pivot_GPD</t>
        </is>
      </c>
      <c r="D188" s="210" t="inlineStr">
        <is>
          <t>F24</t>
        </is>
      </c>
      <c r="E188" s="211" t="inlineStr">
        <is>
          <t>String literal in formula</t>
        </is>
      </c>
      <c r="F188" s="211" t="inlineStr">
        <is>
          <t>String 'Year'. Formula: =IFERROR(GETPIVOTDATA("Baseline_Amount",Visual_Pivot_BusinessIncome!$B$5,"Treatm</t>
        </is>
      </c>
      <c r="G188" s="211" t="inlineStr">
        <is>
          <t>If enum (status/state/etc.), pull from Dropdown_Lists.</t>
        </is>
      </c>
    </row>
    <row r="189">
      <c r="B189" s="209" t="inlineStr">
        <is>
          <t>WARN</t>
        </is>
      </c>
      <c r="C189" s="158" t="inlineStr">
        <is>
          <t>Pivot_GPD</t>
        </is>
      </c>
      <c r="D189" s="210" t="inlineStr">
        <is>
          <t>F25</t>
        </is>
      </c>
      <c r="E189" s="211" t="inlineStr">
        <is>
          <t>String literal in formula</t>
        </is>
      </c>
      <c r="F189" s="211" t="inlineStr">
        <is>
          <t>String 'Baseline_Amount'. Formula: =IFERROR(GETPIVOTDATA("Baseline_Amount",Visual_Pivot_BusinessIncome!$B$5,"Year",</t>
        </is>
      </c>
      <c r="G189" s="211" t="inlineStr">
        <is>
          <t>If enum (status/state/etc.), pull from Dropdown_Lists.</t>
        </is>
      </c>
    </row>
    <row r="190">
      <c r="B190" s="209" t="inlineStr">
        <is>
          <t>WARN</t>
        </is>
      </c>
      <c r="C190" s="158" t="inlineStr">
        <is>
          <t>Pivot_GPD</t>
        </is>
      </c>
      <c r="D190" s="210" t="inlineStr">
        <is>
          <t>F25</t>
        </is>
      </c>
      <c r="E190" s="211" t="inlineStr">
        <is>
          <t>String literal in formula</t>
        </is>
      </c>
      <c r="F190" s="211" t="inlineStr">
        <is>
          <t>String 'Year'. Formula: =IFERROR(GETPIVOTDATA("Baseline_Amount",Visual_Pivot_BusinessIncome!$B$5,"Year",</t>
        </is>
      </c>
      <c r="G190" s="211" t="inlineStr">
        <is>
          <t>If enum (status/state/etc.), pull from Dropdown_Lists.</t>
        </is>
      </c>
    </row>
    <row r="191">
      <c r="B191" s="209" t="inlineStr">
        <is>
          <t>WARN</t>
        </is>
      </c>
      <c r="C191" s="158" t="inlineStr">
        <is>
          <t>Pivot_GPD</t>
        </is>
      </c>
      <c r="D191" s="210" t="inlineStr">
        <is>
          <t>F7</t>
        </is>
      </c>
      <c r="E191" s="211" t="inlineStr">
        <is>
          <t>String literal in formula</t>
        </is>
      </c>
      <c r="F191" s="211" t="inlineStr">
        <is>
          <t>String 'Baseline_Amount'. Formula: =IFERROR(GETPIVOTDATA("Baseline_Amount",Visual_Pivot_Income!$B$5,"Primary_Line",</t>
        </is>
      </c>
      <c r="G191" s="211" t="inlineStr">
        <is>
          <t>If enum (status/state/etc.), pull from Dropdown_Lists.</t>
        </is>
      </c>
    </row>
    <row r="192">
      <c r="B192" s="209" t="inlineStr">
        <is>
          <t>WARN</t>
        </is>
      </c>
      <c r="C192" s="158" t="inlineStr">
        <is>
          <t>Pivot_GPD</t>
        </is>
      </c>
      <c r="D192" s="210" t="inlineStr">
        <is>
          <t>F7</t>
        </is>
      </c>
      <c r="E192" s="211" t="inlineStr">
        <is>
          <t>String literal in formula</t>
        </is>
      </c>
      <c r="F192" s="211" t="inlineStr">
        <is>
          <t>String 'Primary_Line'. Formula: =IFERROR(GETPIVOTDATA("Baseline_Amount",Visual_Pivot_Income!$B$5,"Primary_Line",</t>
        </is>
      </c>
      <c r="G192" s="211" t="inlineStr">
        <is>
          <t>If enum (status/state/etc.), pull from Dropdown_Lists.</t>
        </is>
      </c>
    </row>
    <row r="193">
      <c r="B193" s="209" t="inlineStr">
        <is>
          <t>WARN</t>
        </is>
      </c>
      <c r="C193" s="158" t="inlineStr">
        <is>
          <t>Pivot_GPD</t>
        </is>
      </c>
      <c r="D193" s="210" t="inlineStr">
        <is>
          <t>F7</t>
        </is>
      </c>
      <c r="E193" s="211" t="inlineStr">
        <is>
          <t>String literal in formula</t>
        </is>
      </c>
      <c r="F193" s="211" t="inlineStr">
        <is>
          <t>String 'Year'. Formula: =IFERROR(GETPIVOTDATA("Baseline_Amount",Visual_Pivot_Income!$B$5,"Primary_Line",</t>
        </is>
      </c>
      <c r="G193" s="211" t="inlineStr">
        <is>
          <t>If enum (status/state/etc.), pull from Dropdown_Lists.</t>
        </is>
      </c>
    </row>
    <row r="194">
      <c r="B194" s="209" t="inlineStr">
        <is>
          <t>WARN</t>
        </is>
      </c>
      <c r="C194" s="158" t="inlineStr">
        <is>
          <t>Pivot_GPD</t>
        </is>
      </c>
      <c r="D194" s="210" t="inlineStr">
        <is>
          <t>F8</t>
        </is>
      </c>
      <c r="E194" s="211" t="inlineStr">
        <is>
          <t>String literal in formula</t>
        </is>
      </c>
      <c r="F194" s="211" t="inlineStr">
        <is>
          <t>String 'Baseline_Amount'. Formula: =IFERROR(GETPIVOTDATA("Baseline_Amount",Visual_Pivot_Income!$B$5,"Primary_Line",</t>
        </is>
      </c>
      <c r="G194" s="211" t="inlineStr">
        <is>
          <t>If enum (status/state/etc.), pull from Dropdown_Lists.</t>
        </is>
      </c>
    </row>
    <row r="195">
      <c r="B195" s="209" t="inlineStr">
        <is>
          <t>WARN</t>
        </is>
      </c>
      <c r="C195" s="158" t="inlineStr">
        <is>
          <t>Pivot_GPD</t>
        </is>
      </c>
      <c r="D195" s="210" t="inlineStr">
        <is>
          <t>F8</t>
        </is>
      </c>
      <c r="E195" s="211" t="inlineStr">
        <is>
          <t>String literal in formula</t>
        </is>
      </c>
      <c r="F195" s="211" t="inlineStr">
        <is>
          <t>String 'Primary_Line'. Formula: =IFERROR(GETPIVOTDATA("Baseline_Amount",Visual_Pivot_Income!$B$5,"Primary_Line",</t>
        </is>
      </c>
      <c r="G195" s="211" t="inlineStr">
        <is>
          <t>If enum (status/state/etc.), pull from Dropdown_Lists.</t>
        </is>
      </c>
    </row>
    <row r="196">
      <c r="B196" s="209" t="inlineStr">
        <is>
          <t>WARN</t>
        </is>
      </c>
      <c r="C196" s="158" t="inlineStr">
        <is>
          <t>Pivot_GPD</t>
        </is>
      </c>
      <c r="D196" s="210" t="inlineStr">
        <is>
          <t>F8</t>
        </is>
      </c>
      <c r="E196" s="211" t="inlineStr">
        <is>
          <t>String literal in formula</t>
        </is>
      </c>
      <c r="F196" s="211" t="inlineStr">
        <is>
          <t>String 'Year'. Formula: =IFERROR(GETPIVOTDATA("Baseline_Amount",Visual_Pivot_Income!$B$5,"Primary_Line",</t>
        </is>
      </c>
      <c r="G196" s="211" t="inlineStr">
        <is>
          <t>If enum (status/state/etc.), pull from Dropdown_Lists.</t>
        </is>
      </c>
    </row>
    <row r="197">
      <c r="B197" s="209" t="inlineStr">
        <is>
          <t>WARN</t>
        </is>
      </c>
      <c r="C197" s="158" t="inlineStr">
        <is>
          <t>Pivot_GPD</t>
        </is>
      </c>
      <c r="D197" s="210" t="inlineStr">
        <is>
          <t>F9</t>
        </is>
      </c>
      <c r="E197" s="211" t="inlineStr">
        <is>
          <t>String literal in formula</t>
        </is>
      </c>
      <c r="F197" s="211" t="inlineStr">
        <is>
          <t>String 'Baseline_Amount'. Formula: =IFERROR(GETPIVOTDATA("Baseline_Amount",Visual_Pivot_Income!$B$5,"Primary_Line",</t>
        </is>
      </c>
      <c r="G197" s="211" t="inlineStr">
        <is>
          <t>If enum (status/state/etc.), pull from Dropdown_Lists.</t>
        </is>
      </c>
    </row>
    <row r="198">
      <c r="B198" s="209" t="inlineStr">
        <is>
          <t>WARN</t>
        </is>
      </c>
      <c r="C198" s="158" t="inlineStr">
        <is>
          <t>Pivot_GPD</t>
        </is>
      </c>
      <c r="D198" s="210" t="inlineStr">
        <is>
          <t>F9</t>
        </is>
      </c>
      <c r="E198" s="211" t="inlineStr">
        <is>
          <t>String literal in formula</t>
        </is>
      </c>
      <c r="F198" s="211" t="inlineStr">
        <is>
          <t>String 'Primary_Line'. Formula: =IFERROR(GETPIVOTDATA("Baseline_Amount",Visual_Pivot_Income!$B$5,"Primary_Line",</t>
        </is>
      </c>
      <c r="G198" s="211" t="inlineStr">
        <is>
          <t>If enum (status/state/etc.), pull from Dropdown_Lists.</t>
        </is>
      </c>
    </row>
    <row r="199">
      <c r="B199" s="209" t="inlineStr">
        <is>
          <t>WARN</t>
        </is>
      </c>
      <c r="C199" s="158" t="inlineStr">
        <is>
          <t>Pivot_GPD</t>
        </is>
      </c>
      <c r="D199" s="210" t="inlineStr">
        <is>
          <t>F9</t>
        </is>
      </c>
      <c r="E199" s="211" t="inlineStr">
        <is>
          <t>String literal in formula</t>
        </is>
      </c>
      <c r="F199" s="211" t="inlineStr">
        <is>
          <t>String 'Year'. Formula: =IFERROR(GETPIVOTDATA("Baseline_Amount",Visual_Pivot_Income!$B$5,"Primary_Line",</t>
        </is>
      </c>
      <c r="G199" s="211" t="inlineStr">
        <is>
          <t>If enum (status/state/etc.), pull from Dropdown_Lists.</t>
        </is>
      </c>
    </row>
    <row r="200">
      <c r="B200" s="209" t="inlineStr">
        <is>
          <t>WARN</t>
        </is>
      </c>
      <c r="C200" s="158" t="inlineStr">
        <is>
          <t>Pivot_GPD</t>
        </is>
      </c>
      <c r="D200" s="210" t="inlineStr">
        <is>
          <t>G10</t>
        </is>
      </c>
      <c r="E200" s="211" t="inlineStr">
        <is>
          <t>String literal in formula</t>
        </is>
      </c>
      <c r="F200" s="211" t="inlineStr">
        <is>
          <t>String 'Baseline_Amount'. Formula: =IFERROR(GETPIVOTDATA("Baseline_Amount",Visual_Pivot_Income!$B$5,"Primary_Line",</t>
        </is>
      </c>
      <c r="G200" s="211" t="inlineStr">
        <is>
          <t>If enum (status/state/etc.), pull from Dropdown_Lists.</t>
        </is>
      </c>
    </row>
    <row r="201">
      <c r="B201" s="209" t="inlineStr">
        <is>
          <t>WARN</t>
        </is>
      </c>
      <c r="C201" s="158" t="inlineStr">
        <is>
          <t>Pivot_GPD</t>
        </is>
      </c>
      <c r="D201" s="210" t="inlineStr">
        <is>
          <t>G10</t>
        </is>
      </c>
      <c r="E201" s="211" t="inlineStr">
        <is>
          <t>String literal in formula</t>
        </is>
      </c>
      <c r="F201" s="211" t="inlineStr">
        <is>
          <t>String 'Primary_Line'. Formula: =IFERROR(GETPIVOTDATA("Baseline_Amount",Visual_Pivot_Income!$B$5,"Primary_Line",</t>
        </is>
      </c>
      <c r="G201" s="211" t="inlineStr">
        <is>
          <t>If enum (status/state/etc.), pull from Dropdown_Lists.</t>
        </is>
      </c>
    </row>
    <row r="202">
      <c r="B202" s="209" t="inlineStr">
        <is>
          <t>WARN</t>
        </is>
      </c>
      <c r="C202" s="158" t="inlineStr">
        <is>
          <t>Pivot_GPD</t>
        </is>
      </c>
      <c r="D202" s="210" t="inlineStr">
        <is>
          <t>G10</t>
        </is>
      </c>
      <c r="E202" s="211" t="inlineStr">
        <is>
          <t>String literal in formula</t>
        </is>
      </c>
      <c r="F202" s="211" t="inlineStr">
        <is>
          <t>String 'Year'. Formula: =IFERROR(GETPIVOTDATA("Baseline_Amount",Visual_Pivot_Income!$B$5,"Primary_Line",</t>
        </is>
      </c>
      <c r="G202" s="211" t="inlineStr">
        <is>
          <t>If enum (status/state/etc.), pull from Dropdown_Lists.</t>
        </is>
      </c>
    </row>
    <row r="203">
      <c r="B203" s="209" t="inlineStr">
        <is>
          <t>WARN</t>
        </is>
      </c>
      <c r="C203" s="158" t="inlineStr">
        <is>
          <t>Pivot_GPD</t>
        </is>
      </c>
      <c r="D203" s="210" t="inlineStr">
        <is>
          <t>G11</t>
        </is>
      </c>
      <c r="E203" s="211" t="inlineStr">
        <is>
          <t>String literal in formula</t>
        </is>
      </c>
      <c r="F203" s="211" t="inlineStr">
        <is>
          <t>String 'Baseline_Amount'. Formula: =IFERROR(GETPIVOTDATA("Baseline_Amount",Visual_Pivot_Income!$B$5,"Primary_Line",</t>
        </is>
      </c>
      <c r="G203" s="211" t="inlineStr">
        <is>
          <t>If enum (status/state/etc.), pull from Dropdown_Lists.</t>
        </is>
      </c>
    </row>
    <row r="204">
      <c r="B204" s="209" t="inlineStr">
        <is>
          <t>WARN</t>
        </is>
      </c>
      <c r="C204" s="158" t="inlineStr">
        <is>
          <t>Pivot_GPD</t>
        </is>
      </c>
      <c r="D204" s="210" t="inlineStr">
        <is>
          <t>G11</t>
        </is>
      </c>
      <c r="E204" s="211" t="inlineStr">
        <is>
          <t>String literal in formula</t>
        </is>
      </c>
      <c r="F204" s="211" t="inlineStr">
        <is>
          <t>String 'Primary_Line'. Formula: =IFERROR(GETPIVOTDATA("Baseline_Amount",Visual_Pivot_Income!$B$5,"Primary_Line",</t>
        </is>
      </c>
      <c r="G204" s="211" t="inlineStr">
        <is>
          <t>If enum (status/state/etc.), pull from Dropdown_Lists.</t>
        </is>
      </c>
    </row>
    <row r="205">
      <c r="B205" s="209" t="inlineStr">
        <is>
          <t>WARN</t>
        </is>
      </c>
      <c r="C205" s="158" t="inlineStr">
        <is>
          <t>Pivot_GPD</t>
        </is>
      </c>
      <c r="D205" s="210" t="inlineStr">
        <is>
          <t>G11</t>
        </is>
      </c>
      <c r="E205" s="211" t="inlineStr">
        <is>
          <t>String literal in formula</t>
        </is>
      </c>
      <c r="F205" s="211" t="inlineStr">
        <is>
          <t>String 'Year'. Formula: =IFERROR(GETPIVOTDATA("Baseline_Amount",Visual_Pivot_Income!$B$5,"Primary_Line",</t>
        </is>
      </c>
      <c r="G205" s="211" t="inlineStr">
        <is>
          <t>If enum (status/state/etc.), pull from Dropdown_Lists.</t>
        </is>
      </c>
    </row>
    <row r="206">
      <c r="B206" s="209" t="inlineStr">
        <is>
          <t>WARN</t>
        </is>
      </c>
      <c r="C206" s="158" t="inlineStr">
        <is>
          <t>Pivot_GPD</t>
        </is>
      </c>
      <c r="D206" s="210" t="inlineStr">
        <is>
          <t>G12</t>
        </is>
      </c>
      <c r="E206" s="211" t="inlineStr">
        <is>
          <t>String literal in formula</t>
        </is>
      </c>
      <c r="F206" s="211" t="inlineStr">
        <is>
          <t>String 'Baseline_Amount'. Formula: =IFERROR(GETPIVOTDATA("Baseline_Amount",Visual_Pivot_Income!$B$5,"Primary_Line",</t>
        </is>
      </c>
      <c r="G206" s="211" t="inlineStr">
        <is>
          <t>If enum (status/state/etc.), pull from Dropdown_Lists.</t>
        </is>
      </c>
    </row>
    <row r="207">
      <c r="B207" s="209" t="inlineStr">
        <is>
          <t>WARN</t>
        </is>
      </c>
      <c r="C207" s="158" t="inlineStr">
        <is>
          <t>Pivot_GPD</t>
        </is>
      </c>
      <c r="D207" s="210" t="inlineStr">
        <is>
          <t>G12</t>
        </is>
      </c>
      <c r="E207" s="211" t="inlineStr">
        <is>
          <t>String literal in formula</t>
        </is>
      </c>
      <c r="F207" s="211" t="inlineStr">
        <is>
          <t>String 'Primary_Line'. Formula: =IFERROR(GETPIVOTDATA("Baseline_Amount",Visual_Pivot_Income!$B$5,"Primary_Line",</t>
        </is>
      </c>
      <c r="G207" s="211" t="inlineStr">
        <is>
          <t>If enum (status/state/etc.), pull from Dropdown_Lists.</t>
        </is>
      </c>
    </row>
    <row r="208">
      <c r="B208" s="209" t="inlineStr">
        <is>
          <t>WARN</t>
        </is>
      </c>
      <c r="C208" s="158" t="inlineStr">
        <is>
          <t>Pivot_GPD</t>
        </is>
      </c>
      <c r="D208" s="210" t="inlineStr">
        <is>
          <t>G12</t>
        </is>
      </c>
      <c r="E208" s="211" t="inlineStr">
        <is>
          <t>String literal in formula</t>
        </is>
      </c>
      <c r="F208" s="211" t="inlineStr">
        <is>
          <t>String 'Year'. Formula: =IFERROR(GETPIVOTDATA("Baseline_Amount",Visual_Pivot_Income!$B$5,"Primary_Line",</t>
        </is>
      </c>
      <c r="G208" s="211" t="inlineStr">
        <is>
          <t>If enum (status/state/etc.), pull from Dropdown_Lists.</t>
        </is>
      </c>
    </row>
    <row r="209">
      <c r="B209" s="209" t="inlineStr">
        <is>
          <t>WARN</t>
        </is>
      </c>
      <c r="C209" s="158" t="inlineStr">
        <is>
          <t>Pivot_GPD</t>
        </is>
      </c>
      <c r="D209" s="210" t="inlineStr">
        <is>
          <t>G13</t>
        </is>
      </c>
      <c r="E209" s="211" t="inlineStr">
        <is>
          <t>String literal in formula</t>
        </is>
      </c>
      <c r="F209" s="211" t="inlineStr">
        <is>
          <t>String 'Baseline_Amount'. Formula: =IFERROR(GETPIVOTDATA("Baseline_Amount",Visual_Pivot_Income!$B$5,"Year",2026),0)</t>
        </is>
      </c>
      <c r="G209" s="211" t="inlineStr">
        <is>
          <t>If enum (status/state/etc.), pull from Dropdown_Lists.</t>
        </is>
      </c>
    </row>
    <row r="210">
      <c r="B210" s="209" t="inlineStr">
        <is>
          <t>WARN</t>
        </is>
      </c>
      <c r="C210" s="158" t="inlineStr">
        <is>
          <t>Pivot_GPD</t>
        </is>
      </c>
      <c r="D210" s="210" t="inlineStr">
        <is>
          <t>G13</t>
        </is>
      </c>
      <c r="E210" s="211" t="inlineStr">
        <is>
          <t>String literal in formula</t>
        </is>
      </c>
      <c r="F210" s="211" t="inlineStr">
        <is>
          <t>String 'Year'. Formula: =IFERROR(GETPIVOTDATA("Baseline_Amount",Visual_Pivot_Income!$B$5,"Year",2026),0)</t>
        </is>
      </c>
      <c r="G210" s="211" t="inlineStr">
        <is>
          <t>If enum (status/state/etc.), pull from Dropdown_Lists.</t>
        </is>
      </c>
    </row>
    <row r="211">
      <c r="B211" s="209" t="inlineStr">
        <is>
          <t>WARN</t>
        </is>
      </c>
      <c r="C211" s="158" t="inlineStr">
        <is>
          <t>Pivot_GPD</t>
        </is>
      </c>
      <c r="D211" s="210" t="inlineStr">
        <is>
          <t>G17</t>
        </is>
      </c>
      <c r="E211" s="211" t="inlineStr">
        <is>
          <t>String literal in formula</t>
        </is>
      </c>
      <c r="F211" s="211" t="inlineStr">
        <is>
          <t>String 'Helper_Amount'. Formula: =IFERROR(GETPIVOTDATA("Helper_Amount",Visual_Pivot_HelperCarveOuts!$B$5,"Helper_</t>
        </is>
      </c>
      <c r="G211" s="211" t="inlineStr">
        <is>
          <t>If enum (status/state/etc.), pull from Dropdown_Lists.</t>
        </is>
      </c>
    </row>
    <row r="212">
      <c r="B212" s="209" t="inlineStr">
        <is>
          <t>WARN</t>
        </is>
      </c>
      <c r="C212" s="158" t="inlineStr">
        <is>
          <t>Pivot_GPD</t>
        </is>
      </c>
      <c r="D212" s="210" t="inlineStr">
        <is>
          <t>G17</t>
        </is>
      </c>
      <c r="E212" s="211" t="inlineStr">
        <is>
          <t>String literal in formula</t>
        </is>
      </c>
      <c r="F212" s="211" t="inlineStr">
        <is>
          <t>String 'Helper_Treatment'. Formula: =IFERROR(GETPIVOTDATA("Helper_Amount",Visual_Pivot_HelperCarveOuts!$B$5,"Helper_</t>
        </is>
      </c>
      <c r="G212" s="211" t="inlineStr">
        <is>
          <t>If enum (status/state/etc.), pull from Dropdown_Lists.</t>
        </is>
      </c>
    </row>
    <row r="213">
      <c r="B213" s="209" t="inlineStr">
        <is>
          <t>WARN</t>
        </is>
      </c>
      <c r="C213" s="158" t="inlineStr">
        <is>
          <t>Pivot_GPD</t>
        </is>
      </c>
      <c r="D213" s="210" t="inlineStr">
        <is>
          <t>G17</t>
        </is>
      </c>
      <c r="E213" s="211" t="inlineStr">
        <is>
          <t>String literal in formula</t>
        </is>
      </c>
      <c r="F213" s="211" t="inlineStr">
        <is>
          <t>String 'OWNER_PAY'. Formula: =IFERROR(GETPIVOTDATA("Helper_Amount",Visual_Pivot_HelperCarveOuts!$B$5,"Helper_</t>
        </is>
      </c>
      <c r="G213" s="211" t="inlineStr">
        <is>
          <t>If enum (status/state/etc.), pull from Dropdown_Lists.</t>
        </is>
      </c>
    </row>
    <row r="214">
      <c r="B214" s="209" t="inlineStr">
        <is>
          <t>WARN</t>
        </is>
      </c>
      <c r="C214" s="158" t="inlineStr">
        <is>
          <t>Pivot_GPD</t>
        </is>
      </c>
      <c r="D214" s="210" t="inlineStr">
        <is>
          <t>G17</t>
        </is>
      </c>
      <c r="E214" s="211" t="inlineStr">
        <is>
          <t>String literal in formula</t>
        </is>
      </c>
      <c r="F214" s="211" t="inlineStr">
        <is>
          <t>String 'Year'. Formula: =IFERROR(GETPIVOTDATA("Helper_Amount",Visual_Pivot_HelperCarveOuts!$B$5,"Helper_</t>
        </is>
      </c>
      <c r="G214" s="211" t="inlineStr">
        <is>
          <t>If enum (status/state/etc.), pull from Dropdown_Lists.</t>
        </is>
      </c>
    </row>
    <row r="215">
      <c r="B215" s="209" t="inlineStr">
        <is>
          <t>WARN</t>
        </is>
      </c>
      <c r="C215" s="158" t="inlineStr">
        <is>
          <t>Pivot_GPD</t>
        </is>
      </c>
      <c r="D215" s="210" t="inlineStr">
        <is>
          <t>G18</t>
        </is>
      </c>
      <c r="E215" s="211" t="inlineStr">
        <is>
          <t>String literal in formula</t>
        </is>
      </c>
      <c r="F215" s="211" t="inlineStr">
        <is>
          <t>String 'Helper_Amount'. Formula: =IFERROR(GETPIVOTDATA("Helper_Amount",Visual_Pivot_HelperCarveOuts!$B$5,"Helper_</t>
        </is>
      </c>
      <c r="G215" s="211" t="inlineStr">
        <is>
          <t>If enum (status/state/etc.), pull from Dropdown_Lists.</t>
        </is>
      </c>
    </row>
    <row r="216">
      <c r="B216" s="209" t="inlineStr">
        <is>
          <t>WARN</t>
        </is>
      </c>
      <c r="C216" s="158" t="inlineStr">
        <is>
          <t>Pivot_GPD</t>
        </is>
      </c>
      <c r="D216" s="210" t="inlineStr">
        <is>
          <t>G18</t>
        </is>
      </c>
      <c r="E216" s="211" t="inlineStr">
        <is>
          <t>String literal in formula</t>
        </is>
      </c>
      <c r="F216" s="211" t="inlineStr">
        <is>
          <t>String 'Helper_Treatment'. Formula: =IFERROR(GETPIVOTDATA("Helper_Amount",Visual_Pivot_HelperCarveOuts!$B$5,"Helper_</t>
        </is>
      </c>
      <c r="G216" s="211" t="inlineStr">
        <is>
          <t>If enum (status/state/etc.), pull from Dropdown_Lists.</t>
        </is>
      </c>
    </row>
    <row r="217">
      <c r="B217" s="209" t="inlineStr">
        <is>
          <t>WARN</t>
        </is>
      </c>
      <c r="C217" s="158" t="inlineStr">
        <is>
          <t>Pivot_GPD</t>
        </is>
      </c>
      <c r="D217" s="210" t="inlineStr">
        <is>
          <t>G18</t>
        </is>
      </c>
      <c r="E217" s="211" t="inlineStr">
        <is>
          <t>String literal in formula</t>
        </is>
      </c>
      <c r="F217" s="211" t="inlineStr">
        <is>
          <t>String 'QUAL_DIV'. Formula: =IFERROR(GETPIVOTDATA("Helper_Amount",Visual_Pivot_HelperCarveOuts!$B$5,"Helper_</t>
        </is>
      </c>
      <c r="G217" s="211" t="inlineStr">
        <is>
          <t>If enum (status/state/etc.), pull from Dropdown_Lists.</t>
        </is>
      </c>
    </row>
    <row r="218">
      <c r="B218" s="209" t="inlineStr">
        <is>
          <t>WARN</t>
        </is>
      </c>
      <c r="C218" s="158" t="inlineStr">
        <is>
          <t>Pivot_GPD</t>
        </is>
      </c>
      <c r="D218" s="210" t="inlineStr">
        <is>
          <t>G18</t>
        </is>
      </c>
      <c r="E218" s="211" t="inlineStr">
        <is>
          <t>String literal in formula</t>
        </is>
      </c>
      <c r="F218" s="211" t="inlineStr">
        <is>
          <t>String 'Year'. Formula: =IFERROR(GETPIVOTDATA("Helper_Amount",Visual_Pivot_HelperCarveOuts!$B$5,"Helper_</t>
        </is>
      </c>
      <c r="G218" s="211" t="inlineStr">
        <is>
          <t>If enum (status/state/etc.), pull from Dropdown_Lists.</t>
        </is>
      </c>
    </row>
    <row r="219">
      <c r="B219" s="209" t="inlineStr">
        <is>
          <t>WARN</t>
        </is>
      </c>
      <c r="C219" s="158" t="inlineStr">
        <is>
          <t>Pivot_GPD</t>
        </is>
      </c>
      <c r="D219" s="210" t="inlineStr">
        <is>
          <t>G22</t>
        </is>
      </c>
      <c r="E219" s="211" t="inlineStr">
        <is>
          <t>String literal in formula</t>
        </is>
      </c>
      <c r="F219" s="211" t="inlineStr">
        <is>
          <t>String 'Baseline_Amount'. Formula: =IFERROR(GETPIVOTDATA("Baseline_Amount",Visual_Pivot_BusinessIncome!$B$5,"Treatm</t>
        </is>
      </c>
      <c r="G219" s="211" t="inlineStr">
        <is>
          <t>If enum (status/state/etc.), pull from Dropdown_Lists.</t>
        </is>
      </c>
    </row>
    <row r="220">
      <c r="B220" s="209" t="inlineStr">
        <is>
          <t>WARN</t>
        </is>
      </c>
      <c r="C220" s="158" t="inlineStr">
        <is>
          <t>Pivot_GPD</t>
        </is>
      </c>
      <c r="D220" s="210" t="inlineStr">
        <is>
          <t>G22</t>
        </is>
      </c>
      <c r="E220" s="211" t="inlineStr">
        <is>
          <t>String literal in formula</t>
        </is>
      </c>
      <c r="F220" s="211" t="inlineStr">
        <is>
          <t>String 'Treatment_Profile'. Formula: =IFERROR(GETPIVOTDATA("Baseline_Amount",Visual_Pivot_BusinessIncome!$B$5,"Treatm</t>
        </is>
      </c>
      <c r="G220" s="211" t="inlineStr">
        <is>
          <t>If enum (status/state/etc.), pull from Dropdown_Lists.</t>
        </is>
      </c>
    </row>
    <row r="221">
      <c r="B221" s="209" t="inlineStr">
        <is>
          <t>WARN</t>
        </is>
      </c>
      <c r="C221" s="158" t="inlineStr">
        <is>
          <t>Pivot_GPD</t>
        </is>
      </c>
      <c r="D221" s="210" t="inlineStr">
        <is>
          <t>G22</t>
        </is>
      </c>
      <c r="E221" s="211" t="inlineStr">
        <is>
          <t>String literal in formula</t>
        </is>
      </c>
      <c r="F221" s="211" t="inlineStr">
        <is>
          <t>String 'K1_SCorp_Active'. Formula: =IFERROR(GETPIVOTDATA("Baseline_Amount",Visual_Pivot_BusinessIncome!$B$5,"Treatm</t>
        </is>
      </c>
      <c r="G221" s="211" t="inlineStr">
        <is>
          <t>If enum (status/state/etc.), pull from Dropdown_Lists.</t>
        </is>
      </c>
    </row>
    <row r="222">
      <c r="B222" s="209" t="inlineStr">
        <is>
          <t>WARN</t>
        </is>
      </c>
      <c r="C222" s="158" t="inlineStr">
        <is>
          <t>Pivot_GPD</t>
        </is>
      </c>
      <c r="D222" s="210" t="inlineStr">
        <is>
          <t>G22</t>
        </is>
      </c>
      <c r="E222" s="211" t="inlineStr">
        <is>
          <t>String literal in formula</t>
        </is>
      </c>
      <c r="F222" s="211" t="inlineStr">
        <is>
          <t>String 'Year'. Formula: =IFERROR(GETPIVOTDATA("Baseline_Amount",Visual_Pivot_BusinessIncome!$B$5,"Treatm</t>
        </is>
      </c>
      <c r="G222" s="211" t="inlineStr">
        <is>
          <t>If enum (status/state/etc.), pull from Dropdown_Lists.</t>
        </is>
      </c>
    </row>
    <row r="223">
      <c r="B223" s="209" t="inlineStr">
        <is>
          <t>WARN</t>
        </is>
      </c>
      <c r="C223" s="158" t="inlineStr">
        <is>
          <t>Pivot_GPD</t>
        </is>
      </c>
      <c r="D223" s="210" t="inlineStr">
        <is>
          <t>G23</t>
        </is>
      </c>
      <c r="E223" s="211" t="inlineStr">
        <is>
          <t>String literal in formula</t>
        </is>
      </c>
      <c r="F223" s="211" t="inlineStr">
        <is>
          <t>String 'Baseline_Amount'. Formula: =IFERROR(GETPIVOTDATA("Baseline_Amount",Visual_Pivot_BusinessIncome!$B$5,"Treatm</t>
        </is>
      </c>
      <c r="G223" s="211" t="inlineStr">
        <is>
          <t>If enum (status/state/etc.), pull from Dropdown_Lists.</t>
        </is>
      </c>
    </row>
    <row r="224">
      <c r="B224" s="209" t="inlineStr">
        <is>
          <t>WARN</t>
        </is>
      </c>
      <c r="C224" s="158" t="inlineStr">
        <is>
          <t>Pivot_GPD</t>
        </is>
      </c>
      <c r="D224" s="210" t="inlineStr">
        <is>
          <t>G23</t>
        </is>
      </c>
      <c r="E224" s="211" t="inlineStr">
        <is>
          <t>String literal in formula</t>
        </is>
      </c>
      <c r="F224" s="211" t="inlineStr">
        <is>
          <t>String 'Treatment_Profile'. Formula: =IFERROR(GETPIVOTDATA("Baseline_Amount",Visual_Pivot_BusinessIncome!$B$5,"Treatm</t>
        </is>
      </c>
      <c r="G224" s="211" t="inlineStr">
        <is>
          <t>If enum (status/state/etc.), pull from Dropdown_Lists.</t>
        </is>
      </c>
    </row>
    <row r="225">
      <c r="B225" s="209" t="inlineStr">
        <is>
          <t>WARN</t>
        </is>
      </c>
      <c r="C225" s="158" t="inlineStr">
        <is>
          <t>Pivot_GPD</t>
        </is>
      </c>
      <c r="D225" s="210" t="inlineStr">
        <is>
          <t>G23</t>
        </is>
      </c>
      <c r="E225" s="211" t="inlineStr">
        <is>
          <t>String literal in formula</t>
        </is>
      </c>
      <c r="F225" s="211" t="inlineStr">
        <is>
          <t>String 'K1_PTP_Passive'. Formula: =IFERROR(GETPIVOTDATA("Baseline_Amount",Visual_Pivot_BusinessIncome!$B$5,"Treatm</t>
        </is>
      </c>
      <c r="G225" s="211" t="inlineStr">
        <is>
          <t>If enum (status/state/etc.), pull from Dropdown_Lists.</t>
        </is>
      </c>
    </row>
    <row r="226">
      <c r="B226" s="209" t="inlineStr">
        <is>
          <t>WARN</t>
        </is>
      </c>
      <c r="C226" s="158" t="inlineStr">
        <is>
          <t>Pivot_GPD</t>
        </is>
      </c>
      <c r="D226" s="210" t="inlineStr">
        <is>
          <t>G23</t>
        </is>
      </c>
      <c r="E226" s="211" t="inlineStr">
        <is>
          <t>String literal in formula</t>
        </is>
      </c>
      <c r="F226" s="211" t="inlineStr">
        <is>
          <t>String 'Year'. Formula: =IFERROR(GETPIVOTDATA("Baseline_Amount",Visual_Pivot_BusinessIncome!$B$5,"Treatm</t>
        </is>
      </c>
      <c r="G226" s="211" t="inlineStr">
        <is>
          <t>If enum (status/state/etc.), pull from Dropdown_Lists.</t>
        </is>
      </c>
    </row>
    <row r="227">
      <c r="B227" s="209" t="inlineStr">
        <is>
          <t>WARN</t>
        </is>
      </c>
      <c r="C227" s="158" t="inlineStr">
        <is>
          <t>Pivot_GPD</t>
        </is>
      </c>
      <c r="D227" s="210" t="inlineStr">
        <is>
          <t>G24</t>
        </is>
      </c>
      <c r="E227" s="211" t="inlineStr">
        <is>
          <t>String literal in formula</t>
        </is>
      </c>
      <c r="F227" s="211" t="inlineStr">
        <is>
          <t>String 'Baseline_Amount'. Formula: =IFERROR(GETPIVOTDATA("Baseline_Amount",Visual_Pivot_BusinessIncome!$B$5,"Treatm</t>
        </is>
      </c>
      <c r="G227" s="211" t="inlineStr">
        <is>
          <t>If enum (status/state/etc.), pull from Dropdown_Lists.</t>
        </is>
      </c>
    </row>
    <row r="228">
      <c r="B228" s="209" t="inlineStr">
        <is>
          <t>WARN</t>
        </is>
      </c>
      <c r="C228" s="158" t="inlineStr">
        <is>
          <t>Pivot_GPD</t>
        </is>
      </c>
      <c r="D228" s="210" t="inlineStr">
        <is>
          <t>G24</t>
        </is>
      </c>
      <c r="E228" s="211" t="inlineStr">
        <is>
          <t>String literal in formula</t>
        </is>
      </c>
      <c r="F228" s="211" t="inlineStr">
        <is>
          <t>String 'Treatment_Profile'. Formula: =IFERROR(GETPIVOTDATA("Baseline_Amount",Visual_Pivot_BusinessIncome!$B$5,"Treatm</t>
        </is>
      </c>
      <c r="G228" s="211" t="inlineStr">
        <is>
          <t>If enum (status/state/etc.), pull from Dropdown_Lists.</t>
        </is>
      </c>
    </row>
    <row r="229">
      <c r="B229" s="209" t="inlineStr">
        <is>
          <t>WARN</t>
        </is>
      </c>
      <c r="C229" s="158" t="inlineStr">
        <is>
          <t>Pivot_GPD</t>
        </is>
      </c>
      <c r="D229" s="210" t="inlineStr">
        <is>
          <t>G24</t>
        </is>
      </c>
      <c r="E229" s="211" t="inlineStr">
        <is>
          <t>String literal in formula</t>
        </is>
      </c>
      <c r="F229" s="211" t="inlineStr">
        <is>
          <t>String 'SchE_Rental'. Formula: =IFERROR(GETPIVOTDATA("Baseline_Amount",Visual_Pivot_BusinessIncome!$B$5,"Treatm</t>
        </is>
      </c>
      <c r="G229" s="211" t="inlineStr">
        <is>
          <t>If enum (status/state/etc.), pull from Dropdown_Lists.</t>
        </is>
      </c>
    </row>
    <row r="230">
      <c r="B230" s="209" t="inlineStr">
        <is>
          <t>WARN</t>
        </is>
      </c>
      <c r="C230" s="158" t="inlineStr">
        <is>
          <t>Pivot_GPD</t>
        </is>
      </c>
      <c r="D230" s="210" t="inlineStr">
        <is>
          <t>G24</t>
        </is>
      </c>
      <c r="E230" s="211" t="inlineStr">
        <is>
          <t>String literal in formula</t>
        </is>
      </c>
      <c r="F230" s="211" t="inlineStr">
        <is>
          <t>String 'Year'. Formula: =IFERROR(GETPIVOTDATA("Baseline_Amount",Visual_Pivot_BusinessIncome!$B$5,"Treatm</t>
        </is>
      </c>
      <c r="G230" s="211" t="inlineStr">
        <is>
          <t>If enum (status/state/etc.), pull from Dropdown_Lists.</t>
        </is>
      </c>
    </row>
    <row r="231">
      <c r="B231" s="209" t="inlineStr">
        <is>
          <t>WARN</t>
        </is>
      </c>
      <c r="C231" s="158" t="inlineStr">
        <is>
          <t>Pivot_GPD</t>
        </is>
      </c>
      <c r="D231" s="210" t="inlineStr">
        <is>
          <t>G25</t>
        </is>
      </c>
      <c r="E231" s="211" t="inlineStr">
        <is>
          <t>String literal in formula</t>
        </is>
      </c>
      <c r="F231" s="211" t="inlineStr">
        <is>
          <t>String 'Baseline_Amount'. Formula: =IFERROR(GETPIVOTDATA("Baseline_Amount",Visual_Pivot_BusinessIncome!$B$5,"Year",</t>
        </is>
      </c>
      <c r="G231" s="211" t="inlineStr">
        <is>
          <t>If enum (status/state/etc.), pull from Dropdown_Lists.</t>
        </is>
      </c>
    </row>
    <row r="232">
      <c r="B232" s="209" t="inlineStr">
        <is>
          <t>WARN</t>
        </is>
      </c>
      <c r="C232" s="158" t="inlineStr">
        <is>
          <t>Pivot_GPD</t>
        </is>
      </c>
      <c r="D232" s="210" t="inlineStr">
        <is>
          <t>G25</t>
        </is>
      </c>
      <c r="E232" s="211" t="inlineStr">
        <is>
          <t>String literal in formula</t>
        </is>
      </c>
      <c r="F232" s="211" t="inlineStr">
        <is>
          <t>String 'Year'. Formula: =IFERROR(GETPIVOTDATA("Baseline_Amount",Visual_Pivot_BusinessIncome!$B$5,"Year",</t>
        </is>
      </c>
      <c r="G232" s="211" t="inlineStr">
        <is>
          <t>If enum (status/state/etc.), pull from Dropdown_Lists.</t>
        </is>
      </c>
    </row>
    <row r="233">
      <c r="B233" s="209" t="inlineStr">
        <is>
          <t>WARN</t>
        </is>
      </c>
      <c r="C233" s="158" t="inlineStr">
        <is>
          <t>Pivot_GPD</t>
        </is>
      </c>
      <c r="D233" s="210" t="inlineStr">
        <is>
          <t>G7</t>
        </is>
      </c>
      <c r="E233" s="211" t="inlineStr">
        <is>
          <t>String literal in formula</t>
        </is>
      </c>
      <c r="F233" s="211" t="inlineStr">
        <is>
          <t>String 'Baseline_Amount'. Formula: =IFERROR(GETPIVOTDATA("Baseline_Amount",Visual_Pivot_Income!$B$5,"Primary_Line",</t>
        </is>
      </c>
      <c r="G233" s="211" t="inlineStr">
        <is>
          <t>If enum (status/state/etc.), pull from Dropdown_Lists.</t>
        </is>
      </c>
    </row>
    <row r="234">
      <c r="B234" s="209" t="inlineStr">
        <is>
          <t>WARN</t>
        </is>
      </c>
      <c r="C234" s="158" t="inlineStr">
        <is>
          <t>Pivot_GPD</t>
        </is>
      </c>
      <c r="D234" s="210" t="inlineStr">
        <is>
          <t>G7</t>
        </is>
      </c>
      <c r="E234" s="211" t="inlineStr">
        <is>
          <t>String literal in formula</t>
        </is>
      </c>
      <c r="F234" s="211" t="inlineStr">
        <is>
          <t>String 'Primary_Line'. Formula: =IFERROR(GETPIVOTDATA("Baseline_Amount",Visual_Pivot_Income!$B$5,"Primary_Line",</t>
        </is>
      </c>
      <c r="G234" s="211" t="inlineStr">
        <is>
          <t>If enum (status/state/etc.), pull from Dropdown_Lists.</t>
        </is>
      </c>
    </row>
    <row r="235">
      <c r="B235" s="209" t="inlineStr">
        <is>
          <t>WARN</t>
        </is>
      </c>
      <c r="C235" s="158" t="inlineStr">
        <is>
          <t>Pivot_GPD</t>
        </is>
      </c>
      <c r="D235" s="210" t="inlineStr">
        <is>
          <t>G7</t>
        </is>
      </c>
      <c r="E235" s="211" t="inlineStr">
        <is>
          <t>String literal in formula</t>
        </is>
      </c>
      <c r="F235" s="211" t="inlineStr">
        <is>
          <t>String 'Year'. Formula: =IFERROR(GETPIVOTDATA("Baseline_Amount",Visual_Pivot_Income!$B$5,"Primary_Line",</t>
        </is>
      </c>
      <c r="G235" s="211" t="inlineStr">
        <is>
          <t>If enum (status/state/etc.), pull from Dropdown_Lists.</t>
        </is>
      </c>
    </row>
    <row r="236">
      <c r="B236" s="209" t="inlineStr">
        <is>
          <t>WARN</t>
        </is>
      </c>
      <c r="C236" s="158" t="inlineStr">
        <is>
          <t>Pivot_GPD</t>
        </is>
      </c>
      <c r="D236" s="210" t="inlineStr">
        <is>
          <t>G8</t>
        </is>
      </c>
      <c r="E236" s="211" t="inlineStr">
        <is>
          <t>String literal in formula</t>
        </is>
      </c>
      <c r="F236" s="211" t="inlineStr">
        <is>
          <t>String 'Baseline_Amount'. Formula: =IFERROR(GETPIVOTDATA("Baseline_Amount",Visual_Pivot_Income!$B$5,"Primary_Line",</t>
        </is>
      </c>
      <c r="G236" s="211" t="inlineStr">
        <is>
          <t>If enum (status/state/etc.), pull from Dropdown_Lists.</t>
        </is>
      </c>
    </row>
    <row r="237">
      <c r="B237" s="209" t="inlineStr">
        <is>
          <t>WARN</t>
        </is>
      </c>
      <c r="C237" s="158" t="inlineStr">
        <is>
          <t>Pivot_GPD</t>
        </is>
      </c>
      <c r="D237" s="210" t="inlineStr">
        <is>
          <t>G8</t>
        </is>
      </c>
      <c r="E237" s="211" t="inlineStr">
        <is>
          <t>String literal in formula</t>
        </is>
      </c>
      <c r="F237" s="211" t="inlineStr">
        <is>
          <t>String 'Primary_Line'. Formula: =IFERROR(GETPIVOTDATA("Baseline_Amount",Visual_Pivot_Income!$B$5,"Primary_Line",</t>
        </is>
      </c>
      <c r="G237" s="211" t="inlineStr">
        <is>
          <t>If enum (status/state/etc.), pull from Dropdown_Lists.</t>
        </is>
      </c>
    </row>
    <row r="238">
      <c r="B238" s="209" t="inlineStr">
        <is>
          <t>WARN</t>
        </is>
      </c>
      <c r="C238" s="158" t="inlineStr">
        <is>
          <t>Pivot_GPD</t>
        </is>
      </c>
      <c r="D238" s="210" t="inlineStr">
        <is>
          <t>G8</t>
        </is>
      </c>
      <c r="E238" s="211" t="inlineStr">
        <is>
          <t>String literal in formula</t>
        </is>
      </c>
      <c r="F238" s="211" t="inlineStr">
        <is>
          <t>String 'Year'. Formula: =IFERROR(GETPIVOTDATA("Baseline_Amount",Visual_Pivot_Income!$B$5,"Primary_Line",</t>
        </is>
      </c>
      <c r="G238" s="211" t="inlineStr">
        <is>
          <t>If enum (status/state/etc.), pull from Dropdown_Lists.</t>
        </is>
      </c>
    </row>
    <row r="239">
      <c r="B239" s="209" t="inlineStr">
        <is>
          <t>WARN</t>
        </is>
      </c>
      <c r="C239" s="158" t="inlineStr">
        <is>
          <t>Pivot_GPD</t>
        </is>
      </c>
      <c r="D239" s="210" t="inlineStr">
        <is>
          <t>G9</t>
        </is>
      </c>
      <c r="E239" s="211" t="inlineStr">
        <is>
          <t>String literal in formula</t>
        </is>
      </c>
      <c r="F239" s="211" t="inlineStr">
        <is>
          <t>String 'Baseline_Amount'. Formula: =IFERROR(GETPIVOTDATA("Baseline_Amount",Visual_Pivot_Income!$B$5,"Primary_Line",</t>
        </is>
      </c>
      <c r="G239" s="211" t="inlineStr">
        <is>
          <t>If enum (status/state/etc.), pull from Dropdown_Lists.</t>
        </is>
      </c>
    </row>
    <row r="240">
      <c r="B240" s="209" t="inlineStr">
        <is>
          <t>WARN</t>
        </is>
      </c>
      <c r="C240" s="158" t="inlineStr">
        <is>
          <t>Pivot_GPD</t>
        </is>
      </c>
      <c r="D240" s="210" t="inlineStr">
        <is>
          <t>G9</t>
        </is>
      </c>
      <c r="E240" s="211" t="inlineStr">
        <is>
          <t>String literal in formula</t>
        </is>
      </c>
      <c r="F240" s="211" t="inlineStr">
        <is>
          <t>String 'Primary_Line'. Formula: =IFERROR(GETPIVOTDATA("Baseline_Amount",Visual_Pivot_Income!$B$5,"Primary_Line",</t>
        </is>
      </c>
      <c r="G240" s="211" t="inlineStr">
        <is>
          <t>If enum (status/state/etc.), pull from Dropdown_Lists.</t>
        </is>
      </c>
    </row>
    <row r="241">
      <c r="B241" s="209" t="inlineStr">
        <is>
          <t>WARN</t>
        </is>
      </c>
      <c r="C241" s="158" t="inlineStr">
        <is>
          <t>Pivot_GPD</t>
        </is>
      </c>
      <c r="D241" s="210" t="inlineStr">
        <is>
          <t>G9</t>
        </is>
      </c>
      <c r="E241" s="211" t="inlineStr">
        <is>
          <t>String literal in formula</t>
        </is>
      </c>
      <c r="F241" s="211" t="inlineStr">
        <is>
          <t>String 'Year'. Formula: =IFERROR(GETPIVOTDATA("Baseline_Amount",Visual_Pivot_Income!$B$5,"Primary_Line",</t>
        </is>
      </c>
      <c r="G241" s="211" t="inlineStr">
        <is>
          <t>If enum (status/state/etc.), pull from Dropdown_Lists.</t>
        </is>
      </c>
    </row>
    <row r="242">
      <c r="B242" s="209" t="inlineStr">
        <is>
          <t>WARN</t>
        </is>
      </c>
      <c r="C242" s="158" t="inlineStr">
        <is>
          <t>Pivot_GPD</t>
        </is>
      </c>
      <c r="D242" s="210" t="inlineStr">
        <is>
          <t>H10</t>
        </is>
      </c>
      <c r="E242" s="211" t="inlineStr">
        <is>
          <t>String literal in formula</t>
        </is>
      </c>
      <c r="F242" s="211" t="inlineStr">
        <is>
          <t>String 'Baseline_Amount'. Formula: =IFERROR(GETPIVOTDATA("Baseline_Amount",Visual_Pivot_Income!$B$5,"Primary_Line",</t>
        </is>
      </c>
      <c r="G242" s="211" t="inlineStr">
        <is>
          <t>If enum (status/state/etc.), pull from Dropdown_Lists.</t>
        </is>
      </c>
    </row>
    <row r="243">
      <c r="B243" s="209" t="inlineStr">
        <is>
          <t>WARN</t>
        </is>
      </c>
      <c r="C243" s="158" t="inlineStr">
        <is>
          <t>Pivot_GPD</t>
        </is>
      </c>
      <c r="D243" s="210" t="inlineStr">
        <is>
          <t>H10</t>
        </is>
      </c>
      <c r="E243" s="211" t="inlineStr">
        <is>
          <t>String literal in formula</t>
        </is>
      </c>
      <c r="F243" s="211" t="inlineStr">
        <is>
          <t>String 'Primary_Line'. Formula: =IFERROR(GETPIVOTDATA("Baseline_Amount",Visual_Pivot_Income!$B$5,"Primary_Line",</t>
        </is>
      </c>
      <c r="G243" s="211" t="inlineStr">
        <is>
          <t>If enum (status/state/etc.), pull from Dropdown_Lists.</t>
        </is>
      </c>
    </row>
    <row r="244">
      <c r="B244" s="209" t="inlineStr">
        <is>
          <t>WARN</t>
        </is>
      </c>
      <c r="C244" s="158" t="inlineStr">
        <is>
          <t>Pivot_GPD</t>
        </is>
      </c>
      <c r="D244" s="210" t="inlineStr">
        <is>
          <t>H10</t>
        </is>
      </c>
      <c r="E244" s="211" t="inlineStr">
        <is>
          <t>String literal in formula</t>
        </is>
      </c>
      <c r="F244" s="211" t="inlineStr">
        <is>
          <t>String 'Year'. Formula: =IFERROR(GETPIVOTDATA("Baseline_Amount",Visual_Pivot_Income!$B$5,"Primary_Line",</t>
        </is>
      </c>
      <c r="G244" s="211" t="inlineStr">
        <is>
          <t>If enum (status/state/etc.), pull from Dropdown_Lists.</t>
        </is>
      </c>
    </row>
    <row r="245">
      <c r="B245" s="209" t="inlineStr">
        <is>
          <t>WARN</t>
        </is>
      </c>
      <c r="C245" s="158" t="inlineStr">
        <is>
          <t>Pivot_GPD</t>
        </is>
      </c>
      <c r="D245" s="210" t="inlineStr">
        <is>
          <t>H11</t>
        </is>
      </c>
      <c r="E245" s="211" t="inlineStr">
        <is>
          <t>String literal in formula</t>
        </is>
      </c>
      <c r="F245" s="211" t="inlineStr">
        <is>
          <t>String 'Baseline_Amount'. Formula: =IFERROR(GETPIVOTDATA("Baseline_Amount",Visual_Pivot_Income!$B$5,"Primary_Line",</t>
        </is>
      </c>
      <c r="G245" s="211" t="inlineStr">
        <is>
          <t>If enum (status/state/etc.), pull from Dropdown_Lists.</t>
        </is>
      </c>
    </row>
    <row r="246">
      <c r="B246" s="209" t="inlineStr">
        <is>
          <t>WARN</t>
        </is>
      </c>
      <c r="C246" s="158" t="inlineStr">
        <is>
          <t>Pivot_GPD</t>
        </is>
      </c>
      <c r="D246" s="210" t="inlineStr">
        <is>
          <t>H11</t>
        </is>
      </c>
      <c r="E246" s="211" t="inlineStr">
        <is>
          <t>String literal in formula</t>
        </is>
      </c>
      <c r="F246" s="211" t="inlineStr">
        <is>
          <t>String 'Primary_Line'. Formula: =IFERROR(GETPIVOTDATA("Baseline_Amount",Visual_Pivot_Income!$B$5,"Primary_Line",</t>
        </is>
      </c>
      <c r="G246" s="211" t="inlineStr">
        <is>
          <t>If enum (status/state/etc.), pull from Dropdown_Lists.</t>
        </is>
      </c>
    </row>
    <row r="247">
      <c r="B247" s="209" t="inlineStr">
        <is>
          <t>WARN</t>
        </is>
      </c>
      <c r="C247" s="158" t="inlineStr">
        <is>
          <t>Pivot_GPD</t>
        </is>
      </c>
      <c r="D247" s="210" t="inlineStr">
        <is>
          <t>H11</t>
        </is>
      </c>
      <c r="E247" s="211" t="inlineStr">
        <is>
          <t>String literal in formula</t>
        </is>
      </c>
      <c r="F247" s="211" t="inlineStr">
        <is>
          <t>String 'Year'. Formula: =IFERROR(GETPIVOTDATA("Baseline_Amount",Visual_Pivot_Income!$B$5,"Primary_Line",</t>
        </is>
      </c>
      <c r="G247" s="211" t="inlineStr">
        <is>
          <t>If enum (status/state/etc.), pull from Dropdown_Lists.</t>
        </is>
      </c>
    </row>
    <row r="248">
      <c r="B248" s="209" t="inlineStr">
        <is>
          <t>WARN</t>
        </is>
      </c>
      <c r="C248" s="158" t="inlineStr">
        <is>
          <t>Pivot_GPD</t>
        </is>
      </c>
      <c r="D248" s="210" t="inlineStr">
        <is>
          <t>H12</t>
        </is>
      </c>
      <c r="E248" s="211" t="inlineStr">
        <is>
          <t>String literal in formula</t>
        </is>
      </c>
      <c r="F248" s="211" t="inlineStr">
        <is>
          <t>String 'Baseline_Amount'. Formula: =IFERROR(GETPIVOTDATA("Baseline_Amount",Visual_Pivot_Income!$B$5,"Primary_Line",</t>
        </is>
      </c>
      <c r="G248" s="211" t="inlineStr">
        <is>
          <t>If enum (status/state/etc.), pull from Dropdown_Lists.</t>
        </is>
      </c>
    </row>
    <row r="249">
      <c r="B249" s="209" t="inlineStr">
        <is>
          <t>WARN</t>
        </is>
      </c>
      <c r="C249" s="158" t="inlineStr">
        <is>
          <t>Pivot_GPD</t>
        </is>
      </c>
      <c r="D249" s="210" t="inlineStr">
        <is>
          <t>H12</t>
        </is>
      </c>
      <c r="E249" s="211" t="inlineStr">
        <is>
          <t>String literal in formula</t>
        </is>
      </c>
      <c r="F249" s="211" t="inlineStr">
        <is>
          <t>String 'Primary_Line'. Formula: =IFERROR(GETPIVOTDATA("Baseline_Amount",Visual_Pivot_Income!$B$5,"Primary_Line",</t>
        </is>
      </c>
      <c r="G249" s="211" t="inlineStr">
        <is>
          <t>If enum (status/state/etc.), pull from Dropdown_Lists.</t>
        </is>
      </c>
    </row>
    <row r="250">
      <c r="B250" s="209" t="inlineStr">
        <is>
          <t>WARN</t>
        </is>
      </c>
      <c r="C250" s="158" t="inlineStr">
        <is>
          <t>Pivot_GPD</t>
        </is>
      </c>
      <c r="D250" s="210" t="inlineStr">
        <is>
          <t>H12</t>
        </is>
      </c>
      <c r="E250" s="211" t="inlineStr">
        <is>
          <t>String literal in formula</t>
        </is>
      </c>
      <c r="F250" s="211" t="inlineStr">
        <is>
          <t>String 'Year'. Formula: =IFERROR(GETPIVOTDATA("Baseline_Amount",Visual_Pivot_Income!$B$5,"Primary_Line",</t>
        </is>
      </c>
      <c r="G250" s="211" t="inlineStr">
        <is>
          <t>If enum (status/state/etc.), pull from Dropdown_Lists.</t>
        </is>
      </c>
    </row>
    <row r="251">
      <c r="B251" s="209" t="inlineStr">
        <is>
          <t>WARN</t>
        </is>
      </c>
      <c r="C251" s="158" t="inlineStr">
        <is>
          <t>Pivot_GPD</t>
        </is>
      </c>
      <c r="D251" s="210" t="inlineStr">
        <is>
          <t>H13</t>
        </is>
      </c>
      <c r="E251" s="211" t="inlineStr">
        <is>
          <t>String literal in formula</t>
        </is>
      </c>
      <c r="F251" s="211" t="inlineStr">
        <is>
          <t>String 'Baseline_Amount'. Formula: =IFERROR(GETPIVOTDATA("Baseline_Amount",Visual_Pivot_Income!$B$5,"Year",2027),0)</t>
        </is>
      </c>
      <c r="G251" s="211" t="inlineStr">
        <is>
          <t>If enum (status/state/etc.), pull from Dropdown_Lists.</t>
        </is>
      </c>
    </row>
    <row r="252">
      <c r="B252" s="209" t="inlineStr">
        <is>
          <t>WARN</t>
        </is>
      </c>
      <c r="C252" s="158" t="inlineStr">
        <is>
          <t>Pivot_GPD</t>
        </is>
      </c>
      <c r="D252" s="210" t="inlineStr">
        <is>
          <t>H13</t>
        </is>
      </c>
      <c r="E252" s="211" t="inlineStr">
        <is>
          <t>String literal in formula</t>
        </is>
      </c>
      <c r="F252" s="211" t="inlineStr">
        <is>
          <t>String 'Year'. Formula: =IFERROR(GETPIVOTDATA("Baseline_Amount",Visual_Pivot_Income!$B$5,"Year",2027),0)</t>
        </is>
      </c>
      <c r="G252" s="211" t="inlineStr">
        <is>
          <t>If enum (status/state/etc.), pull from Dropdown_Lists.</t>
        </is>
      </c>
    </row>
    <row r="253">
      <c r="B253" s="209" t="inlineStr">
        <is>
          <t>WARN</t>
        </is>
      </c>
      <c r="C253" s="158" t="inlineStr">
        <is>
          <t>Pivot_GPD</t>
        </is>
      </c>
      <c r="D253" s="210" t="inlineStr">
        <is>
          <t>H17</t>
        </is>
      </c>
      <c r="E253" s="211" t="inlineStr">
        <is>
          <t>String literal in formula</t>
        </is>
      </c>
      <c r="F253" s="211" t="inlineStr">
        <is>
          <t>String 'Helper_Amount'. Formula: =IFERROR(GETPIVOTDATA("Helper_Amount",Visual_Pivot_HelperCarveOuts!$B$5,"Helper_</t>
        </is>
      </c>
      <c r="G253" s="211" t="inlineStr">
        <is>
          <t>If enum (status/state/etc.), pull from Dropdown_Lists.</t>
        </is>
      </c>
    </row>
    <row r="254">
      <c r="B254" s="209" t="inlineStr">
        <is>
          <t>WARN</t>
        </is>
      </c>
      <c r="C254" s="158" t="inlineStr">
        <is>
          <t>Pivot_GPD</t>
        </is>
      </c>
      <c r="D254" s="210" t="inlineStr">
        <is>
          <t>H17</t>
        </is>
      </c>
      <c r="E254" s="211" t="inlineStr">
        <is>
          <t>String literal in formula</t>
        </is>
      </c>
      <c r="F254" s="211" t="inlineStr">
        <is>
          <t>String 'Helper_Treatment'. Formula: =IFERROR(GETPIVOTDATA("Helper_Amount",Visual_Pivot_HelperCarveOuts!$B$5,"Helper_</t>
        </is>
      </c>
      <c r="G254" s="211" t="inlineStr">
        <is>
          <t>If enum (status/state/etc.), pull from Dropdown_Lists.</t>
        </is>
      </c>
    </row>
    <row r="255">
      <c r="B255" s="209" t="inlineStr">
        <is>
          <t>WARN</t>
        </is>
      </c>
      <c r="C255" s="158" t="inlineStr">
        <is>
          <t>Pivot_GPD</t>
        </is>
      </c>
      <c r="D255" s="210" t="inlineStr">
        <is>
          <t>H17</t>
        </is>
      </c>
      <c r="E255" s="211" t="inlineStr">
        <is>
          <t>String literal in formula</t>
        </is>
      </c>
      <c r="F255" s="211" t="inlineStr">
        <is>
          <t>String 'OWNER_PAY'. Formula: =IFERROR(GETPIVOTDATA("Helper_Amount",Visual_Pivot_HelperCarveOuts!$B$5,"Helper_</t>
        </is>
      </c>
      <c r="G255" s="211" t="inlineStr">
        <is>
          <t>If enum (status/state/etc.), pull from Dropdown_Lists.</t>
        </is>
      </c>
    </row>
    <row r="256">
      <c r="B256" s="209" t="inlineStr">
        <is>
          <t>WARN</t>
        </is>
      </c>
      <c r="C256" s="158" t="inlineStr">
        <is>
          <t>Pivot_GPD</t>
        </is>
      </c>
      <c r="D256" s="210" t="inlineStr">
        <is>
          <t>H17</t>
        </is>
      </c>
      <c r="E256" s="211" t="inlineStr">
        <is>
          <t>String literal in formula</t>
        </is>
      </c>
      <c r="F256" s="211" t="inlineStr">
        <is>
          <t>String 'Year'. Formula: =IFERROR(GETPIVOTDATA("Helper_Amount",Visual_Pivot_HelperCarveOuts!$B$5,"Helper_</t>
        </is>
      </c>
      <c r="G256" s="211" t="inlineStr">
        <is>
          <t>If enum (status/state/etc.), pull from Dropdown_Lists.</t>
        </is>
      </c>
    </row>
    <row r="257">
      <c r="B257" s="209" t="inlineStr">
        <is>
          <t>WARN</t>
        </is>
      </c>
      <c r="C257" s="158" t="inlineStr">
        <is>
          <t>Pivot_GPD</t>
        </is>
      </c>
      <c r="D257" s="210" t="inlineStr">
        <is>
          <t>H18</t>
        </is>
      </c>
      <c r="E257" s="211" t="inlineStr">
        <is>
          <t>String literal in formula</t>
        </is>
      </c>
      <c r="F257" s="211" t="inlineStr">
        <is>
          <t>String 'Helper_Amount'. Formula: =IFERROR(GETPIVOTDATA("Helper_Amount",Visual_Pivot_HelperCarveOuts!$B$5,"Helper_</t>
        </is>
      </c>
      <c r="G257" s="211" t="inlineStr">
        <is>
          <t>If enum (status/state/etc.), pull from Dropdown_Lists.</t>
        </is>
      </c>
    </row>
    <row r="258">
      <c r="B258" s="209" t="inlineStr">
        <is>
          <t>WARN</t>
        </is>
      </c>
      <c r="C258" s="158" t="inlineStr">
        <is>
          <t>Pivot_GPD</t>
        </is>
      </c>
      <c r="D258" s="210" t="inlineStr">
        <is>
          <t>H18</t>
        </is>
      </c>
      <c r="E258" s="211" t="inlineStr">
        <is>
          <t>String literal in formula</t>
        </is>
      </c>
      <c r="F258" s="211" t="inlineStr">
        <is>
          <t>String 'Helper_Treatment'. Formula: =IFERROR(GETPIVOTDATA("Helper_Amount",Visual_Pivot_HelperCarveOuts!$B$5,"Helper_</t>
        </is>
      </c>
      <c r="G258" s="211" t="inlineStr">
        <is>
          <t>If enum (status/state/etc.), pull from Dropdown_Lists.</t>
        </is>
      </c>
    </row>
    <row r="259">
      <c r="B259" s="209" t="inlineStr">
        <is>
          <t>WARN</t>
        </is>
      </c>
      <c r="C259" s="158" t="inlineStr">
        <is>
          <t>Pivot_GPD</t>
        </is>
      </c>
      <c r="D259" s="210" t="inlineStr">
        <is>
          <t>H18</t>
        </is>
      </c>
      <c r="E259" s="211" t="inlineStr">
        <is>
          <t>String literal in formula</t>
        </is>
      </c>
      <c r="F259" s="211" t="inlineStr">
        <is>
          <t>String 'QUAL_DIV'. Formula: =IFERROR(GETPIVOTDATA("Helper_Amount",Visual_Pivot_HelperCarveOuts!$B$5,"Helper_</t>
        </is>
      </c>
      <c r="G259" s="211" t="inlineStr">
        <is>
          <t>If enum (status/state/etc.), pull from Dropdown_Lists.</t>
        </is>
      </c>
    </row>
    <row r="260">
      <c r="B260" s="209" t="inlineStr">
        <is>
          <t>WARN</t>
        </is>
      </c>
      <c r="C260" s="158" t="inlineStr">
        <is>
          <t>Pivot_GPD</t>
        </is>
      </c>
      <c r="D260" s="210" t="inlineStr">
        <is>
          <t>H18</t>
        </is>
      </c>
      <c r="E260" s="211" t="inlineStr">
        <is>
          <t>String literal in formula</t>
        </is>
      </c>
      <c r="F260" s="211" t="inlineStr">
        <is>
          <t>String 'Year'. Formula: =IFERROR(GETPIVOTDATA("Helper_Amount",Visual_Pivot_HelperCarveOuts!$B$5,"Helper_</t>
        </is>
      </c>
      <c r="G260" s="211" t="inlineStr">
        <is>
          <t>If enum (status/state/etc.), pull from Dropdown_Lists.</t>
        </is>
      </c>
    </row>
    <row r="261">
      <c r="B261" s="209" t="inlineStr">
        <is>
          <t>WARN</t>
        </is>
      </c>
      <c r="C261" s="158" t="inlineStr">
        <is>
          <t>Pivot_GPD</t>
        </is>
      </c>
      <c r="D261" s="210" t="inlineStr">
        <is>
          <t>H22</t>
        </is>
      </c>
      <c r="E261" s="211" t="inlineStr">
        <is>
          <t>String literal in formula</t>
        </is>
      </c>
      <c r="F261" s="211" t="inlineStr">
        <is>
          <t>String 'Baseline_Amount'. Formula: =IFERROR(GETPIVOTDATA("Baseline_Amount",Visual_Pivot_BusinessIncome!$B$5,"Treatm</t>
        </is>
      </c>
      <c r="G261" s="211" t="inlineStr">
        <is>
          <t>If enum (status/state/etc.), pull from Dropdown_Lists.</t>
        </is>
      </c>
    </row>
    <row r="262">
      <c r="B262" s="209" t="inlineStr">
        <is>
          <t>WARN</t>
        </is>
      </c>
      <c r="C262" s="158" t="inlineStr">
        <is>
          <t>Pivot_GPD</t>
        </is>
      </c>
      <c r="D262" s="210" t="inlineStr">
        <is>
          <t>H22</t>
        </is>
      </c>
      <c r="E262" s="211" t="inlineStr">
        <is>
          <t>String literal in formula</t>
        </is>
      </c>
      <c r="F262" s="211" t="inlineStr">
        <is>
          <t>String 'Treatment_Profile'. Formula: =IFERROR(GETPIVOTDATA("Baseline_Amount",Visual_Pivot_BusinessIncome!$B$5,"Treatm</t>
        </is>
      </c>
      <c r="G262" s="211" t="inlineStr">
        <is>
          <t>If enum (status/state/etc.), pull from Dropdown_Lists.</t>
        </is>
      </c>
    </row>
    <row r="263">
      <c r="B263" s="209" t="inlineStr">
        <is>
          <t>WARN</t>
        </is>
      </c>
      <c r="C263" s="158" t="inlineStr">
        <is>
          <t>Pivot_GPD</t>
        </is>
      </c>
      <c r="D263" s="210" t="inlineStr">
        <is>
          <t>H22</t>
        </is>
      </c>
      <c r="E263" s="211" t="inlineStr">
        <is>
          <t>String literal in formula</t>
        </is>
      </c>
      <c r="F263" s="211" t="inlineStr">
        <is>
          <t>String 'K1_SCorp_Active'. Formula: =IFERROR(GETPIVOTDATA("Baseline_Amount",Visual_Pivot_BusinessIncome!$B$5,"Treatm</t>
        </is>
      </c>
      <c r="G263" s="211" t="inlineStr">
        <is>
          <t>If enum (status/state/etc.), pull from Dropdown_Lists.</t>
        </is>
      </c>
    </row>
    <row r="264">
      <c r="B264" s="209" t="inlineStr">
        <is>
          <t>WARN</t>
        </is>
      </c>
      <c r="C264" s="158" t="inlineStr">
        <is>
          <t>Pivot_GPD</t>
        </is>
      </c>
      <c r="D264" s="210" t="inlineStr">
        <is>
          <t>H22</t>
        </is>
      </c>
      <c r="E264" s="211" t="inlineStr">
        <is>
          <t>String literal in formula</t>
        </is>
      </c>
      <c r="F264" s="211" t="inlineStr">
        <is>
          <t>String 'Year'. Formula: =IFERROR(GETPIVOTDATA("Baseline_Amount",Visual_Pivot_BusinessIncome!$B$5,"Treatm</t>
        </is>
      </c>
      <c r="G264" s="211" t="inlineStr">
        <is>
          <t>If enum (status/state/etc.), pull from Dropdown_Lists.</t>
        </is>
      </c>
    </row>
    <row r="265">
      <c r="B265" s="209" t="inlineStr">
        <is>
          <t>WARN</t>
        </is>
      </c>
      <c r="C265" s="158" t="inlineStr">
        <is>
          <t>Pivot_GPD</t>
        </is>
      </c>
      <c r="D265" s="210" t="inlineStr">
        <is>
          <t>H23</t>
        </is>
      </c>
      <c r="E265" s="211" t="inlineStr">
        <is>
          <t>String literal in formula</t>
        </is>
      </c>
      <c r="F265" s="211" t="inlineStr">
        <is>
          <t>String 'Baseline_Amount'. Formula: =IFERROR(GETPIVOTDATA("Baseline_Amount",Visual_Pivot_BusinessIncome!$B$5,"Treatm</t>
        </is>
      </c>
      <c r="G265" s="211" t="inlineStr">
        <is>
          <t>If enum (status/state/etc.), pull from Dropdown_Lists.</t>
        </is>
      </c>
    </row>
    <row r="266">
      <c r="B266" s="209" t="inlineStr">
        <is>
          <t>WARN</t>
        </is>
      </c>
      <c r="C266" s="158" t="inlineStr">
        <is>
          <t>Pivot_GPD</t>
        </is>
      </c>
      <c r="D266" s="210" t="inlineStr">
        <is>
          <t>H23</t>
        </is>
      </c>
      <c r="E266" s="211" t="inlineStr">
        <is>
          <t>String literal in formula</t>
        </is>
      </c>
      <c r="F266" s="211" t="inlineStr">
        <is>
          <t>String 'Treatment_Profile'. Formula: =IFERROR(GETPIVOTDATA("Baseline_Amount",Visual_Pivot_BusinessIncome!$B$5,"Treatm</t>
        </is>
      </c>
      <c r="G266" s="211" t="inlineStr">
        <is>
          <t>If enum (status/state/etc.), pull from Dropdown_Lists.</t>
        </is>
      </c>
    </row>
    <row r="267">
      <c r="B267" s="209" t="inlineStr">
        <is>
          <t>WARN</t>
        </is>
      </c>
      <c r="C267" s="158" t="inlineStr">
        <is>
          <t>Pivot_GPD</t>
        </is>
      </c>
      <c r="D267" s="210" t="inlineStr">
        <is>
          <t>H23</t>
        </is>
      </c>
      <c r="E267" s="211" t="inlineStr">
        <is>
          <t>String literal in formula</t>
        </is>
      </c>
      <c r="F267" s="211" t="inlineStr">
        <is>
          <t>String 'K1_PTP_Passive'. Formula: =IFERROR(GETPIVOTDATA("Baseline_Amount",Visual_Pivot_BusinessIncome!$B$5,"Treatm</t>
        </is>
      </c>
      <c r="G267" s="211" t="inlineStr">
        <is>
          <t>If enum (status/state/etc.), pull from Dropdown_Lists.</t>
        </is>
      </c>
    </row>
    <row r="268">
      <c r="B268" s="209" t="inlineStr">
        <is>
          <t>WARN</t>
        </is>
      </c>
      <c r="C268" s="158" t="inlineStr">
        <is>
          <t>Pivot_GPD</t>
        </is>
      </c>
      <c r="D268" s="210" t="inlineStr">
        <is>
          <t>H23</t>
        </is>
      </c>
      <c r="E268" s="211" t="inlineStr">
        <is>
          <t>String literal in formula</t>
        </is>
      </c>
      <c r="F268" s="211" t="inlineStr">
        <is>
          <t>String 'Year'. Formula: =IFERROR(GETPIVOTDATA("Baseline_Amount",Visual_Pivot_BusinessIncome!$B$5,"Treatm</t>
        </is>
      </c>
      <c r="G268" s="211" t="inlineStr">
        <is>
          <t>If enum (status/state/etc.), pull from Dropdown_Lists.</t>
        </is>
      </c>
    </row>
    <row r="269">
      <c r="B269" s="209" t="inlineStr">
        <is>
          <t>WARN</t>
        </is>
      </c>
      <c r="C269" s="158" t="inlineStr">
        <is>
          <t>Pivot_GPD</t>
        </is>
      </c>
      <c r="D269" s="210" t="inlineStr">
        <is>
          <t>H24</t>
        </is>
      </c>
      <c r="E269" s="211" t="inlineStr">
        <is>
          <t>String literal in formula</t>
        </is>
      </c>
      <c r="F269" s="211" t="inlineStr">
        <is>
          <t>String 'Baseline_Amount'. Formula: =IFERROR(GETPIVOTDATA("Baseline_Amount",Visual_Pivot_BusinessIncome!$B$5,"Treatm</t>
        </is>
      </c>
      <c r="G269" s="211" t="inlineStr">
        <is>
          <t>If enum (status/state/etc.), pull from Dropdown_Lists.</t>
        </is>
      </c>
    </row>
    <row r="270">
      <c r="B270" s="209" t="inlineStr">
        <is>
          <t>WARN</t>
        </is>
      </c>
      <c r="C270" s="158" t="inlineStr">
        <is>
          <t>Pivot_GPD</t>
        </is>
      </c>
      <c r="D270" s="210" t="inlineStr">
        <is>
          <t>H24</t>
        </is>
      </c>
      <c r="E270" s="211" t="inlineStr">
        <is>
          <t>String literal in formula</t>
        </is>
      </c>
      <c r="F270" s="211" t="inlineStr">
        <is>
          <t>String 'Treatment_Profile'. Formula: =IFERROR(GETPIVOTDATA("Baseline_Amount",Visual_Pivot_BusinessIncome!$B$5,"Treatm</t>
        </is>
      </c>
      <c r="G270" s="211" t="inlineStr">
        <is>
          <t>If enum (status/state/etc.), pull from Dropdown_Lists.</t>
        </is>
      </c>
    </row>
    <row r="271">
      <c r="B271" s="209" t="inlineStr">
        <is>
          <t>WARN</t>
        </is>
      </c>
      <c r="C271" s="158" t="inlineStr">
        <is>
          <t>Pivot_GPD</t>
        </is>
      </c>
      <c r="D271" s="210" t="inlineStr">
        <is>
          <t>H24</t>
        </is>
      </c>
      <c r="E271" s="211" t="inlineStr">
        <is>
          <t>String literal in formula</t>
        </is>
      </c>
      <c r="F271" s="211" t="inlineStr">
        <is>
          <t>String 'SchE_Rental'. Formula: =IFERROR(GETPIVOTDATA("Baseline_Amount",Visual_Pivot_BusinessIncome!$B$5,"Treatm</t>
        </is>
      </c>
      <c r="G271" s="211" t="inlineStr">
        <is>
          <t>If enum (status/state/etc.), pull from Dropdown_Lists.</t>
        </is>
      </c>
    </row>
    <row r="272">
      <c r="B272" s="209" t="inlineStr">
        <is>
          <t>WARN</t>
        </is>
      </c>
      <c r="C272" s="158" t="inlineStr">
        <is>
          <t>Pivot_GPD</t>
        </is>
      </c>
      <c r="D272" s="210" t="inlineStr">
        <is>
          <t>H24</t>
        </is>
      </c>
      <c r="E272" s="211" t="inlineStr">
        <is>
          <t>String literal in formula</t>
        </is>
      </c>
      <c r="F272" s="211" t="inlineStr">
        <is>
          <t>String 'Year'. Formula: =IFERROR(GETPIVOTDATA("Baseline_Amount",Visual_Pivot_BusinessIncome!$B$5,"Treatm</t>
        </is>
      </c>
      <c r="G272" s="211" t="inlineStr">
        <is>
          <t>If enum (status/state/etc.), pull from Dropdown_Lists.</t>
        </is>
      </c>
    </row>
    <row r="273">
      <c r="B273" s="209" t="inlineStr">
        <is>
          <t>WARN</t>
        </is>
      </c>
      <c r="C273" s="158" t="inlineStr">
        <is>
          <t>Pivot_GPD</t>
        </is>
      </c>
      <c r="D273" s="210" t="inlineStr">
        <is>
          <t>H25</t>
        </is>
      </c>
      <c r="E273" s="211" t="inlineStr">
        <is>
          <t>String literal in formula</t>
        </is>
      </c>
      <c r="F273" s="211" t="inlineStr">
        <is>
          <t>String 'Baseline_Amount'. Formula: =IFERROR(GETPIVOTDATA("Baseline_Amount",Visual_Pivot_BusinessIncome!$B$5,"Year",</t>
        </is>
      </c>
      <c r="G273" s="211" t="inlineStr">
        <is>
          <t>If enum (status/state/etc.), pull from Dropdown_Lists.</t>
        </is>
      </c>
    </row>
    <row r="274">
      <c r="B274" s="209" t="inlineStr">
        <is>
          <t>WARN</t>
        </is>
      </c>
      <c r="C274" s="158" t="inlineStr">
        <is>
          <t>Pivot_GPD</t>
        </is>
      </c>
      <c r="D274" s="210" t="inlineStr">
        <is>
          <t>H25</t>
        </is>
      </c>
      <c r="E274" s="211" t="inlineStr">
        <is>
          <t>String literal in formula</t>
        </is>
      </c>
      <c r="F274" s="211" t="inlineStr">
        <is>
          <t>String 'Year'. Formula: =IFERROR(GETPIVOTDATA("Baseline_Amount",Visual_Pivot_BusinessIncome!$B$5,"Year",</t>
        </is>
      </c>
      <c r="G274" s="211" t="inlineStr">
        <is>
          <t>If enum (status/state/etc.), pull from Dropdown_Lists.</t>
        </is>
      </c>
    </row>
    <row r="275">
      <c r="B275" s="209" t="inlineStr">
        <is>
          <t>WARN</t>
        </is>
      </c>
      <c r="C275" s="158" t="inlineStr">
        <is>
          <t>Pivot_GPD</t>
        </is>
      </c>
      <c r="D275" s="210" t="inlineStr">
        <is>
          <t>H7</t>
        </is>
      </c>
      <c r="E275" s="211" t="inlineStr">
        <is>
          <t>String literal in formula</t>
        </is>
      </c>
      <c r="F275" s="211" t="inlineStr">
        <is>
          <t>String 'Baseline_Amount'. Formula: =IFERROR(GETPIVOTDATA("Baseline_Amount",Visual_Pivot_Income!$B$5,"Primary_Line",</t>
        </is>
      </c>
      <c r="G275" s="211" t="inlineStr">
        <is>
          <t>If enum (status/state/etc.), pull from Dropdown_Lists.</t>
        </is>
      </c>
    </row>
    <row r="276">
      <c r="B276" s="209" t="inlineStr">
        <is>
          <t>WARN</t>
        </is>
      </c>
      <c r="C276" s="158" t="inlineStr">
        <is>
          <t>Pivot_GPD</t>
        </is>
      </c>
      <c r="D276" s="210" t="inlineStr">
        <is>
          <t>H7</t>
        </is>
      </c>
      <c r="E276" s="211" t="inlineStr">
        <is>
          <t>String literal in formula</t>
        </is>
      </c>
      <c r="F276" s="211" t="inlineStr">
        <is>
          <t>String 'Primary_Line'. Formula: =IFERROR(GETPIVOTDATA("Baseline_Amount",Visual_Pivot_Income!$B$5,"Primary_Line",</t>
        </is>
      </c>
      <c r="G276" s="211" t="inlineStr">
        <is>
          <t>If enum (status/state/etc.), pull from Dropdown_Lists.</t>
        </is>
      </c>
    </row>
    <row r="277">
      <c r="B277" s="209" t="inlineStr">
        <is>
          <t>WARN</t>
        </is>
      </c>
      <c r="C277" s="158" t="inlineStr">
        <is>
          <t>Pivot_GPD</t>
        </is>
      </c>
      <c r="D277" s="210" t="inlineStr">
        <is>
          <t>H7</t>
        </is>
      </c>
      <c r="E277" s="211" t="inlineStr">
        <is>
          <t>String literal in formula</t>
        </is>
      </c>
      <c r="F277" s="211" t="inlineStr">
        <is>
          <t>String 'Year'. Formula: =IFERROR(GETPIVOTDATA("Baseline_Amount",Visual_Pivot_Income!$B$5,"Primary_Line",</t>
        </is>
      </c>
      <c r="G277" s="211" t="inlineStr">
        <is>
          <t>If enum (status/state/etc.), pull from Dropdown_Lists.</t>
        </is>
      </c>
    </row>
    <row r="278">
      <c r="B278" s="209" t="inlineStr">
        <is>
          <t>WARN</t>
        </is>
      </c>
      <c r="C278" s="158" t="inlineStr">
        <is>
          <t>Pivot_GPD</t>
        </is>
      </c>
      <c r="D278" s="210" t="inlineStr">
        <is>
          <t>H8</t>
        </is>
      </c>
      <c r="E278" s="211" t="inlineStr">
        <is>
          <t>String literal in formula</t>
        </is>
      </c>
      <c r="F278" s="211" t="inlineStr">
        <is>
          <t>String 'Baseline_Amount'. Formula: =IFERROR(GETPIVOTDATA("Baseline_Amount",Visual_Pivot_Income!$B$5,"Primary_Line",</t>
        </is>
      </c>
      <c r="G278" s="211" t="inlineStr">
        <is>
          <t>If enum (status/state/etc.), pull from Dropdown_Lists.</t>
        </is>
      </c>
    </row>
    <row r="279">
      <c r="B279" s="209" t="inlineStr">
        <is>
          <t>WARN</t>
        </is>
      </c>
      <c r="C279" s="158" t="inlineStr">
        <is>
          <t>Pivot_GPD</t>
        </is>
      </c>
      <c r="D279" s="210" t="inlineStr">
        <is>
          <t>H8</t>
        </is>
      </c>
      <c r="E279" s="211" t="inlineStr">
        <is>
          <t>String literal in formula</t>
        </is>
      </c>
      <c r="F279" s="211" t="inlineStr">
        <is>
          <t>String 'Primary_Line'. Formula: =IFERROR(GETPIVOTDATA("Baseline_Amount",Visual_Pivot_Income!$B$5,"Primary_Line",</t>
        </is>
      </c>
      <c r="G279" s="211" t="inlineStr">
        <is>
          <t>If enum (status/state/etc.), pull from Dropdown_Lists.</t>
        </is>
      </c>
    </row>
    <row r="280">
      <c r="B280" s="209" t="inlineStr">
        <is>
          <t>WARN</t>
        </is>
      </c>
      <c r="C280" s="158" t="inlineStr">
        <is>
          <t>Pivot_GPD</t>
        </is>
      </c>
      <c r="D280" s="210" t="inlineStr">
        <is>
          <t>H8</t>
        </is>
      </c>
      <c r="E280" s="211" t="inlineStr">
        <is>
          <t>String literal in formula</t>
        </is>
      </c>
      <c r="F280" s="211" t="inlineStr">
        <is>
          <t>String 'Year'. Formula: =IFERROR(GETPIVOTDATA("Baseline_Amount",Visual_Pivot_Income!$B$5,"Primary_Line",</t>
        </is>
      </c>
      <c r="G280" s="211" t="inlineStr">
        <is>
          <t>If enum (status/state/etc.), pull from Dropdown_Lists.</t>
        </is>
      </c>
    </row>
    <row r="281">
      <c r="B281" s="209" t="inlineStr">
        <is>
          <t>WARN</t>
        </is>
      </c>
      <c r="C281" s="158" t="inlineStr">
        <is>
          <t>Pivot_GPD</t>
        </is>
      </c>
      <c r="D281" s="210" t="inlineStr">
        <is>
          <t>H9</t>
        </is>
      </c>
      <c r="E281" s="211" t="inlineStr">
        <is>
          <t>String literal in formula</t>
        </is>
      </c>
      <c r="F281" s="211" t="inlineStr">
        <is>
          <t>String 'Baseline_Amount'. Formula: =IFERROR(GETPIVOTDATA("Baseline_Amount",Visual_Pivot_Income!$B$5,"Primary_Line",</t>
        </is>
      </c>
      <c r="G281" s="211" t="inlineStr">
        <is>
          <t>If enum (status/state/etc.), pull from Dropdown_Lists.</t>
        </is>
      </c>
    </row>
    <row r="282">
      <c r="B282" s="209" t="inlineStr">
        <is>
          <t>WARN</t>
        </is>
      </c>
      <c r="C282" s="158" t="inlineStr">
        <is>
          <t>Pivot_GPD</t>
        </is>
      </c>
      <c r="D282" s="210" t="inlineStr">
        <is>
          <t>H9</t>
        </is>
      </c>
      <c r="E282" s="211" t="inlineStr">
        <is>
          <t>String literal in formula</t>
        </is>
      </c>
      <c r="F282" s="211" t="inlineStr">
        <is>
          <t>String 'Primary_Line'. Formula: =IFERROR(GETPIVOTDATA("Baseline_Amount",Visual_Pivot_Income!$B$5,"Primary_Line",</t>
        </is>
      </c>
      <c r="G282" s="211" t="inlineStr">
        <is>
          <t>If enum (status/state/etc.), pull from Dropdown_Lists.</t>
        </is>
      </c>
    </row>
    <row r="283">
      <c r="B283" s="209" t="inlineStr">
        <is>
          <t>WARN</t>
        </is>
      </c>
      <c r="C283" s="158" t="inlineStr">
        <is>
          <t>Pivot_GPD</t>
        </is>
      </c>
      <c r="D283" s="210" t="inlineStr">
        <is>
          <t>H9</t>
        </is>
      </c>
      <c r="E283" s="211" t="inlineStr">
        <is>
          <t>String literal in formula</t>
        </is>
      </c>
      <c r="F283" s="211" t="inlineStr">
        <is>
          <t>String 'Year'. Formula: =IFERROR(GETPIVOTDATA("Baseline_Amount",Visual_Pivot_Income!$B$5,"Primary_Line",</t>
        </is>
      </c>
      <c r="G283" s="211" t="inlineStr">
        <is>
          <t>If enum (status/state/etc.), pull from Dropdown_Lists.</t>
        </is>
      </c>
    </row>
    <row r="284">
      <c r="B284" s="209" t="inlineStr">
        <is>
          <t>WARN</t>
        </is>
      </c>
      <c r="C284" s="158" t="inlineStr">
        <is>
          <t>Pivot_GPD</t>
        </is>
      </c>
      <c r="D284" s="210" t="inlineStr">
        <is>
          <t>I10</t>
        </is>
      </c>
      <c r="E284" s="211" t="inlineStr">
        <is>
          <t>String literal in formula</t>
        </is>
      </c>
      <c r="F284" s="211" t="inlineStr">
        <is>
          <t>String 'Baseline_Amount'. Formula: =IFERROR(GETPIVOTDATA("Baseline_Amount",Visual_Pivot_Income!$B$5,"Primary_Line",</t>
        </is>
      </c>
      <c r="G284" s="211" t="inlineStr">
        <is>
          <t>If enum (status/state/etc.), pull from Dropdown_Lists.</t>
        </is>
      </c>
    </row>
    <row r="285">
      <c r="B285" s="209" t="inlineStr">
        <is>
          <t>WARN</t>
        </is>
      </c>
      <c r="C285" s="158" t="inlineStr">
        <is>
          <t>Pivot_GPD</t>
        </is>
      </c>
      <c r="D285" s="210" t="inlineStr">
        <is>
          <t>I10</t>
        </is>
      </c>
      <c r="E285" s="211" t="inlineStr">
        <is>
          <t>String literal in formula</t>
        </is>
      </c>
      <c r="F285" s="211" t="inlineStr">
        <is>
          <t>String 'Primary_Line'. Formula: =IFERROR(GETPIVOTDATA("Baseline_Amount",Visual_Pivot_Income!$B$5,"Primary_Line",</t>
        </is>
      </c>
      <c r="G285" s="211" t="inlineStr">
        <is>
          <t>If enum (status/state/etc.), pull from Dropdown_Lists.</t>
        </is>
      </c>
    </row>
    <row r="286">
      <c r="B286" s="209" t="inlineStr">
        <is>
          <t>WARN</t>
        </is>
      </c>
      <c r="C286" s="158" t="inlineStr">
        <is>
          <t>Pivot_GPD</t>
        </is>
      </c>
      <c r="D286" s="210" t="inlineStr">
        <is>
          <t>I10</t>
        </is>
      </c>
      <c r="E286" s="211" t="inlineStr">
        <is>
          <t>String literal in formula</t>
        </is>
      </c>
      <c r="F286" s="211" t="inlineStr">
        <is>
          <t>String 'Year'. Formula: =IFERROR(GETPIVOTDATA("Baseline_Amount",Visual_Pivot_Income!$B$5,"Primary_Line",</t>
        </is>
      </c>
      <c r="G286" s="211" t="inlineStr">
        <is>
          <t>If enum (status/state/etc.), pull from Dropdown_Lists.</t>
        </is>
      </c>
    </row>
    <row r="287">
      <c r="B287" s="209" t="inlineStr">
        <is>
          <t>WARN</t>
        </is>
      </c>
      <c r="C287" s="158" t="inlineStr">
        <is>
          <t>Pivot_GPD</t>
        </is>
      </c>
      <c r="D287" s="210" t="inlineStr">
        <is>
          <t>I11</t>
        </is>
      </c>
      <c r="E287" s="211" t="inlineStr">
        <is>
          <t>String literal in formula</t>
        </is>
      </c>
      <c r="F287" s="211" t="inlineStr">
        <is>
          <t>String 'Baseline_Amount'. Formula: =IFERROR(GETPIVOTDATA("Baseline_Amount",Visual_Pivot_Income!$B$5,"Primary_Line",</t>
        </is>
      </c>
      <c r="G287" s="211" t="inlineStr">
        <is>
          <t>If enum (status/state/etc.), pull from Dropdown_Lists.</t>
        </is>
      </c>
    </row>
    <row r="288">
      <c r="B288" s="209" t="inlineStr">
        <is>
          <t>WARN</t>
        </is>
      </c>
      <c r="C288" s="158" t="inlineStr">
        <is>
          <t>Pivot_GPD</t>
        </is>
      </c>
      <c r="D288" s="210" t="inlineStr">
        <is>
          <t>I11</t>
        </is>
      </c>
      <c r="E288" s="211" t="inlineStr">
        <is>
          <t>String literal in formula</t>
        </is>
      </c>
      <c r="F288" s="211" t="inlineStr">
        <is>
          <t>String 'Primary_Line'. Formula: =IFERROR(GETPIVOTDATA("Baseline_Amount",Visual_Pivot_Income!$B$5,"Primary_Line",</t>
        </is>
      </c>
      <c r="G288" s="211" t="inlineStr">
        <is>
          <t>If enum (status/state/etc.), pull from Dropdown_Lists.</t>
        </is>
      </c>
    </row>
    <row r="289">
      <c r="B289" s="209" t="inlineStr">
        <is>
          <t>WARN</t>
        </is>
      </c>
      <c r="C289" s="158" t="inlineStr">
        <is>
          <t>Pivot_GPD</t>
        </is>
      </c>
      <c r="D289" s="210" t="inlineStr">
        <is>
          <t>I11</t>
        </is>
      </c>
      <c r="E289" s="211" t="inlineStr">
        <is>
          <t>String literal in formula</t>
        </is>
      </c>
      <c r="F289" s="211" t="inlineStr">
        <is>
          <t>String 'Year'. Formula: =IFERROR(GETPIVOTDATA("Baseline_Amount",Visual_Pivot_Income!$B$5,"Primary_Line",</t>
        </is>
      </c>
      <c r="G289" s="211" t="inlineStr">
        <is>
          <t>If enum (status/state/etc.), pull from Dropdown_Lists.</t>
        </is>
      </c>
    </row>
    <row r="290">
      <c r="B290" s="209" t="inlineStr">
        <is>
          <t>WARN</t>
        </is>
      </c>
      <c r="C290" s="158" t="inlineStr">
        <is>
          <t>Pivot_GPD</t>
        </is>
      </c>
      <c r="D290" s="210" t="inlineStr">
        <is>
          <t>I12</t>
        </is>
      </c>
      <c r="E290" s="211" t="inlineStr">
        <is>
          <t>String literal in formula</t>
        </is>
      </c>
      <c r="F290" s="211" t="inlineStr">
        <is>
          <t>String 'Baseline_Amount'. Formula: =IFERROR(GETPIVOTDATA("Baseline_Amount",Visual_Pivot_Income!$B$5,"Primary_Line",</t>
        </is>
      </c>
      <c r="G290" s="211" t="inlineStr">
        <is>
          <t>If enum (status/state/etc.), pull from Dropdown_Lists.</t>
        </is>
      </c>
    </row>
    <row r="291">
      <c r="B291" s="209" t="inlineStr">
        <is>
          <t>WARN</t>
        </is>
      </c>
      <c r="C291" s="158" t="inlineStr">
        <is>
          <t>Pivot_GPD</t>
        </is>
      </c>
      <c r="D291" s="210" t="inlineStr">
        <is>
          <t>I12</t>
        </is>
      </c>
      <c r="E291" s="211" t="inlineStr">
        <is>
          <t>String literal in formula</t>
        </is>
      </c>
      <c r="F291" s="211" t="inlineStr">
        <is>
          <t>String 'Primary_Line'. Formula: =IFERROR(GETPIVOTDATA("Baseline_Amount",Visual_Pivot_Income!$B$5,"Primary_Line",</t>
        </is>
      </c>
      <c r="G291" s="211" t="inlineStr">
        <is>
          <t>If enum (status/state/etc.), pull from Dropdown_Lists.</t>
        </is>
      </c>
    </row>
    <row r="292">
      <c r="B292" s="209" t="inlineStr">
        <is>
          <t>WARN</t>
        </is>
      </c>
      <c r="C292" s="158" t="inlineStr">
        <is>
          <t>Pivot_GPD</t>
        </is>
      </c>
      <c r="D292" s="210" t="inlineStr">
        <is>
          <t>I12</t>
        </is>
      </c>
      <c r="E292" s="211" t="inlineStr">
        <is>
          <t>String literal in formula</t>
        </is>
      </c>
      <c r="F292" s="211" t="inlineStr">
        <is>
          <t>String 'Year'. Formula: =IFERROR(GETPIVOTDATA("Baseline_Amount",Visual_Pivot_Income!$B$5,"Primary_Line",</t>
        </is>
      </c>
      <c r="G292" s="211" t="inlineStr">
        <is>
          <t>If enum (status/state/etc.), pull from Dropdown_Lists.</t>
        </is>
      </c>
    </row>
    <row r="293">
      <c r="B293" s="209" t="inlineStr">
        <is>
          <t>WARN</t>
        </is>
      </c>
      <c r="C293" s="158" t="inlineStr">
        <is>
          <t>Pivot_GPD</t>
        </is>
      </c>
      <c r="D293" s="210" t="inlineStr">
        <is>
          <t>I13</t>
        </is>
      </c>
      <c r="E293" s="211" t="inlineStr">
        <is>
          <t>String literal in formula</t>
        </is>
      </c>
      <c r="F293" s="211" t="inlineStr">
        <is>
          <t>String 'Baseline_Amount'. Formula: =IFERROR(GETPIVOTDATA("Baseline_Amount",Visual_Pivot_Income!$B$5,"Year",2028),0)</t>
        </is>
      </c>
      <c r="G293" s="211" t="inlineStr">
        <is>
          <t>If enum (status/state/etc.), pull from Dropdown_Lists.</t>
        </is>
      </c>
    </row>
    <row r="294">
      <c r="B294" s="209" t="inlineStr">
        <is>
          <t>WARN</t>
        </is>
      </c>
      <c r="C294" s="158" t="inlineStr">
        <is>
          <t>Pivot_GPD</t>
        </is>
      </c>
      <c r="D294" s="210" t="inlineStr">
        <is>
          <t>I13</t>
        </is>
      </c>
      <c r="E294" s="211" t="inlineStr">
        <is>
          <t>String literal in formula</t>
        </is>
      </c>
      <c r="F294" s="211" t="inlineStr">
        <is>
          <t>String 'Year'. Formula: =IFERROR(GETPIVOTDATA("Baseline_Amount",Visual_Pivot_Income!$B$5,"Year",2028),0)</t>
        </is>
      </c>
      <c r="G294" s="211" t="inlineStr">
        <is>
          <t>If enum (status/state/etc.), pull from Dropdown_Lists.</t>
        </is>
      </c>
    </row>
    <row r="295">
      <c r="B295" s="209" t="inlineStr">
        <is>
          <t>WARN</t>
        </is>
      </c>
      <c r="C295" s="158" t="inlineStr">
        <is>
          <t>Pivot_GPD</t>
        </is>
      </c>
      <c r="D295" s="210" t="inlineStr">
        <is>
          <t>I17</t>
        </is>
      </c>
      <c r="E295" s="211" t="inlineStr">
        <is>
          <t>String literal in formula</t>
        </is>
      </c>
      <c r="F295" s="211" t="inlineStr">
        <is>
          <t>String 'Helper_Amount'. Formula: =IFERROR(GETPIVOTDATA("Helper_Amount",Visual_Pivot_HelperCarveOuts!$B$5,"Helper_</t>
        </is>
      </c>
      <c r="G295" s="211" t="inlineStr">
        <is>
          <t>If enum (status/state/etc.), pull from Dropdown_Lists.</t>
        </is>
      </c>
    </row>
    <row r="296">
      <c r="B296" s="209" t="inlineStr">
        <is>
          <t>WARN</t>
        </is>
      </c>
      <c r="C296" s="158" t="inlineStr">
        <is>
          <t>Pivot_GPD</t>
        </is>
      </c>
      <c r="D296" s="210" t="inlineStr">
        <is>
          <t>I17</t>
        </is>
      </c>
      <c r="E296" s="211" t="inlineStr">
        <is>
          <t>String literal in formula</t>
        </is>
      </c>
      <c r="F296" s="211" t="inlineStr">
        <is>
          <t>String 'Helper_Treatment'. Formula: =IFERROR(GETPIVOTDATA("Helper_Amount",Visual_Pivot_HelperCarveOuts!$B$5,"Helper_</t>
        </is>
      </c>
      <c r="G296" s="211" t="inlineStr">
        <is>
          <t>If enum (status/state/etc.), pull from Dropdown_Lists.</t>
        </is>
      </c>
    </row>
    <row r="297">
      <c r="B297" s="209" t="inlineStr">
        <is>
          <t>WARN</t>
        </is>
      </c>
      <c r="C297" s="158" t="inlineStr">
        <is>
          <t>Pivot_GPD</t>
        </is>
      </c>
      <c r="D297" s="210" t="inlineStr">
        <is>
          <t>I17</t>
        </is>
      </c>
      <c r="E297" s="211" t="inlineStr">
        <is>
          <t>String literal in formula</t>
        </is>
      </c>
      <c r="F297" s="211" t="inlineStr">
        <is>
          <t>String 'OWNER_PAY'. Formula: =IFERROR(GETPIVOTDATA("Helper_Amount",Visual_Pivot_HelperCarveOuts!$B$5,"Helper_</t>
        </is>
      </c>
      <c r="G297" s="211" t="inlineStr">
        <is>
          <t>If enum (status/state/etc.), pull from Dropdown_Lists.</t>
        </is>
      </c>
    </row>
    <row r="298">
      <c r="B298" s="209" t="inlineStr">
        <is>
          <t>WARN</t>
        </is>
      </c>
      <c r="C298" s="158" t="inlineStr">
        <is>
          <t>Pivot_GPD</t>
        </is>
      </c>
      <c r="D298" s="210" t="inlineStr">
        <is>
          <t>I17</t>
        </is>
      </c>
      <c r="E298" s="211" t="inlineStr">
        <is>
          <t>String literal in formula</t>
        </is>
      </c>
      <c r="F298" s="211" t="inlineStr">
        <is>
          <t>String 'Year'. Formula: =IFERROR(GETPIVOTDATA("Helper_Amount",Visual_Pivot_HelperCarveOuts!$B$5,"Helper_</t>
        </is>
      </c>
      <c r="G298" s="211" t="inlineStr">
        <is>
          <t>If enum (status/state/etc.), pull from Dropdown_Lists.</t>
        </is>
      </c>
    </row>
    <row r="299">
      <c r="B299" s="209" t="inlineStr">
        <is>
          <t>WARN</t>
        </is>
      </c>
      <c r="C299" s="158" t="inlineStr">
        <is>
          <t>Pivot_GPD</t>
        </is>
      </c>
      <c r="D299" s="210" t="inlineStr">
        <is>
          <t>I18</t>
        </is>
      </c>
      <c r="E299" s="211" t="inlineStr">
        <is>
          <t>String literal in formula</t>
        </is>
      </c>
      <c r="F299" s="211" t="inlineStr">
        <is>
          <t>String 'Helper_Amount'. Formula: =IFERROR(GETPIVOTDATA("Helper_Amount",Visual_Pivot_HelperCarveOuts!$B$5,"Helper_</t>
        </is>
      </c>
      <c r="G299" s="211" t="inlineStr">
        <is>
          <t>If enum (status/state/etc.), pull from Dropdown_Lists.</t>
        </is>
      </c>
    </row>
    <row r="300">
      <c r="B300" s="209" t="inlineStr">
        <is>
          <t>WARN</t>
        </is>
      </c>
      <c r="C300" s="158" t="inlineStr">
        <is>
          <t>Pivot_GPD</t>
        </is>
      </c>
      <c r="D300" s="210" t="inlineStr">
        <is>
          <t>I18</t>
        </is>
      </c>
      <c r="E300" s="211" t="inlineStr">
        <is>
          <t>String literal in formula</t>
        </is>
      </c>
      <c r="F300" s="211" t="inlineStr">
        <is>
          <t>String 'Helper_Treatment'. Formula: =IFERROR(GETPIVOTDATA("Helper_Amount",Visual_Pivot_HelperCarveOuts!$B$5,"Helper_</t>
        </is>
      </c>
      <c r="G300" s="211" t="inlineStr">
        <is>
          <t>If enum (status/state/etc.), pull from Dropdown_Lists.</t>
        </is>
      </c>
    </row>
    <row r="301">
      <c r="B301" s="209" t="inlineStr">
        <is>
          <t>WARN</t>
        </is>
      </c>
      <c r="C301" s="158" t="inlineStr">
        <is>
          <t>Pivot_GPD</t>
        </is>
      </c>
      <c r="D301" s="210" t="inlineStr">
        <is>
          <t>I18</t>
        </is>
      </c>
      <c r="E301" s="211" t="inlineStr">
        <is>
          <t>String literal in formula</t>
        </is>
      </c>
      <c r="F301" s="211" t="inlineStr">
        <is>
          <t>String 'QUAL_DIV'. Formula: =IFERROR(GETPIVOTDATA("Helper_Amount",Visual_Pivot_HelperCarveOuts!$B$5,"Helper_</t>
        </is>
      </c>
      <c r="G301" s="211" t="inlineStr">
        <is>
          <t>If enum (status/state/etc.), pull from Dropdown_Lists.</t>
        </is>
      </c>
    </row>
    <row r="302">
      <c r="B302" s="209" t="inlineStr">
        <is>
          <t>WARN</t>
        </is>
      </c>
      <c r="C302" s="158" t="inlineStr">
        <is>
          <t>Pivot_GPD</t>
        </is>
      </c>
      <c r="D302" s="210" t="inlineStr">
        <is>
          <t>I18</t>
        </is>
      </c>
      <c r="E302" s="211" t="inlineStr">
        <is>
          <t>String literal in formula</t>
        </is>
      </c>
      <c r="F302" s="211" t="inlineStr">
        <is>
          <t>String 'Year'. Formula: =IFERROR(GETPIVOTDATA("Helper_Amount",Visual_Pivot_HelperCarveOuts!$B$5,"Helper_</t>
        </is>
      </c>
      <c r="G302" s="211" t="inlineStr">
        <is>
          <t>If enum (status/state/etc.), pull from Dropdown_Lists.</t>
        </is>
      </c>
    </row>
    <row r="303">
      <c r="B303" s="209" t="inlineStr">
        <is>
          <t>WARN</t>
        </is>
      </c>
      <c r="C303" s="158" t="inlineStr">
        <is>
          <t>Pivot_GPD</t>
        </is>
      </c>
      <c r="D303" s="210" t="inlineStr">
        <is>
          <t>I22</t>
        </is>
      </c>
      <c r="E303" s="211" t="inlineStr">
        <is>
          <t>String literal in formula</t>
        </is>
      </c>
      <c r="F303" s="211" t="inlineStr">
        <is>
          <t>String 'Baseline_Amount'. Formula: =IFERROR(GETPIVOTDATA("Baseline_Amount",Visual_Pivot_BusinessIncome!$B$5,"Treatm</t>
        </is>
      </c>
      <c r="G303" s="211" t="inlineStr">
        <is>
          <t>If enum (status/state/etc.), pull from Dropdown_Lists.</t>
        </is>
      </c>
    </row>
    <row r="304">
      <c r="B304" s="209" t="inlineStr">
        <is>
          <t>WARN</t>
        </is>
      </c>
      <c r="C304" s="158" t="inlineStr">
        <is>
          <t>Pivot_GPD</t>
        </is>
      </c>
      <c r="D304" s="210" t="inlineStr">
        <is>
          <t>I22</t>
        </is>
      </c>
      <c r="E304" s="211" t="inlineStr">
        <is>
          <t>String literal in formula</t>
        </is>
      </c>
      <c r="F304" s="211" t="inlineStr">
        <is>
          <t>String 'Treatment_Profile'. Formula: =IFERROR(GETPIVOTDATA("Baseline_Amount",Visual_Pivot_BusinessIncome!$B$5,"Treatm</t>
        </is>
      </c>
      <c r="G304" s="211" t="inlineStr">
        <is>
          <t>If enum (status/state/etc.), pull from Dropdown_Lists.</t>
        </is>
      </c>
    </row>
    <row r="305">
      <c r="B305" s="209" t="inlineStr">
        <is>
          <t>WARN</t>
        </is>
      </c>
      <c r="C305" s="158" t="inlineStr">
        <is>
          <t>Pivot_GPD</t>
        </is>
      </c>
      <c r="D305" s="210" t="inlineStr">
        <is>
          <t>I22</t>
        </is>
      </c>
      <c r="E305" s="211" t="inlineStr">
        <is>
          <t>String literal in formula</t>
        </is>
      </c>
      <c r="F305" s="211" t="inlineStr">
        <is>
          <t>String 'K1_SCorp_Active'. Formula: =IFERROR(GETPIVOTDATA("Baseline_Amount",Visual_Pivot_BusinessIncome!$B$5,"Treatm</t>
        </is>
      </c>
      <c r="G305" s="211" t="inlineStr">
        <is>
          <t>If enum (status/state/etc.), pull from Dropdown_Lists.</t>
        </is>
      </c>
    </row>
    <row r="306">
      <c r="B306" s="209" t="inlineStr">
        <is>
          <t>WARN</t>
        </is>
      </c>
      <c r="C306" s="158" t="inlineStr">
        <is>
          <t>Pivot_GPD</t>
        </is>
      </c>
      <c r="D306" s="210" t="inlineStr">
        <is>
          <t>I22</t>
        </is>
      </c>
      <c r="E306" s="211" t="inlineStr">
        <is>
          <t>String literal in formula</t>
        </is>
      </c>
      <c r="F306" s="211" t="inlineStr">
        <is>
          <t>String 'Year'. Formula: =IFERROR(GETPIVOTDATA("Baseline_Amount",Visual_Pivot_BusinessIncome!$B$5,"Treatm</t>
        </is>
      </c>
      <c r="G306" s="211" t="inlineStr">
        <is>
          <t>If enum (status/state/etc.), pull from Dropdown_Lists.</t>
        </is>
      </c>
    </row>
    <row r="307">
      <c r="B307" s="209" t="inlineStr">
        <is>
          <t>WARN</t>
        </is>
      </c>
      <c r="C307" s="158" t="inlineStr">
        <is>
          <t>Pivot_GPD</t>
        </is>
      </c>
      <c r="D307" s="210" t="inlineStr">
        <is>
          <t>I23</t>
        </is>
      </c>
      <c r="E307" s="211" t="inlineStr">
        <is>
          <t>String literal in formula</t>
        </is>
      </c>
      <c r="F307" s="211" t="inlineStr">
        <is>
          <t>String 'Baseline_Amount'. Formula: =IFERROR(GETPIVOTDATA("Baseline_Amount",Visual_Pivot_BusinessIncome!$B$5,"Treatm</t>
        </is>
      </c>
      <c r="G307" s="211" t="inlineStr">
        <is>
          <t>If enum (status/state/etc.), pull from Dropdown_Lists.</t>
        </is>
      </c>
    </row>
    <row r="308">
      <c r="B308" s="209" t="inlineStr">
        <is>
          <t>WARN</t>
        </is>
      </c>
      <c r="C308" s="158" t="inlineStr">
        <is>
          <t>Pivot_GPD</t>
        </is>
      </c>
      <c r="D308" s="210" t="inlineStr">
        <is>
          <t>I23</t>
        </is>
      </c>
      <c r="E308" s="211" t="inlineStr">
        <is>
          <t>String literal in formula</t>
        </is>
      </c>
      <c r="F308" s="211" t="inlineStr">
        <is>
          <t>String 'Treatment_Profile'. Formula: =IFERROR(GETPIVOTDATA("Baseline_Amount",Visual_Pivot_BusinessIncome!$B$5,"Treatm</t>
        </is>
      </c>
      <c r="G308" s="211" t="inlineStr">
        <is>
          <t>If enum (status/state/etc.), pull from Dropdown_Lists.</t>
        </is>
      </c>
    </row>
    <row r="309">
      <c r="B309" s="209" t="inlineStr">
        <is>
          <t>WARN</t>
        </is>
      </c>
      <c r="C309" s="158" t="inlineStr">
        <is>
          <t>Pivot_GPD</t>
        </is>
      </c>
      <c r="D309" s="210" t="inlineStr">
        <is>
          <t>I23</t>
        </is>
      </c>
      <c r="E309" s="211" t="inlineStr">
        <is>
          <t>String literal in formula</t>
        </is>
      </c>
      <c r="F309" s="211" t="inlineStr">
        <is>
          <t>String 'K1_PTP_Passive'. Formula: =IFERROR(GETPIVOTDATA("Baseline_Amount",Visual_Pivot_BusinessIncome!$B$5,"Treatm</t>
        </is>
      </c>
      <c r="G309" s="211" t="inlineStr">
        <is>
          <t>If enum (status/state/etc.), pull from Dropdown_Lists.</t>
        </is>
      </c>
    </row>
    <row r="310">
      <c r="B310" s="209" t="inlineStr">
        <is>
          <t>WARN</t>
        </is>
      </c>
      <c r="C310" s="158" t="inlineStr">
        <is>
          <t>Pivot_GPD</t>
        </is>
      </c>
      <c r="D310" s="210" t="inlineStr">
        <is>
          <t>I23</t>
        </is>
      </c>
      <c r="E310" s="211" t="inlineStr">
        <is>
          <t>String literal in formula</t>
        </is>
      </c>
      <c r="F310" s="211" t="inlineStr">
        <is>
          <t>String 'Year'. Formula: =IFERROR(GETPIVOTDATA("Baseline_Amount",Visual_Pivot_BusinessIncome!$B$5,"Treatm</t>
        </is>
      </c>
      <c r="G310" s="211" t="inlineStr">
        <is>
          <t>If enum (status/state/etc.), pull from Dropdown_Lists.</t>
        </is>
      </c>
    </row>
    <row r="311">
      <c r="B311" s="209" t="inlineStr">
        <is>
          <t>WARN</t>
        </is>
      </c>
      <c r="C311" s="158" t="inlineStr">
        <is>
          <t>Pivot_GPD</t>
        </is>
      </c>
      <c r="D311" s="210" t="inlineStr">
        <is>
          <t>I24</t>
        </is>
      </c>
      <c r="E311" s="211" t="inlineStr">
        <is>
          <t>String literal in formula</t>
        </is>
      </c>
      <c r="F311" s="211" t="inlineStr">
        <is>
          <t>String 'Baseline_Amount'. Formula: =IFERROR(GETPIVOTDATA("Baseline_Amount",Visual_Pivot_BusinessIncome!$B$5,"Treatm</t>
        </is>
      </c>
      <c r="G311" s="211" t="inlineStr">
        <is>
          <t>If enum (status/state/etc.), pull from Dropdown_Lists.</t>
        </is>
      </c>
    </row>
    <row r="312">
      <c r="B312" s="209" t="inlineStr">
        <is>
          <t>WARN</t>
        </is>
      </c>
      <c r="C312" s="158" t="inlineStr">
        <is>
          <t>Pivot_GPD</t>
        </is>
      </c>
      <c r="D312" s="210" t="inlineStr">
        <is>
          <t>I24</t>
        </is>
      </c>
      <c r="E312" s="211" t="inlineStr">
        <is>
          <t>String literal in formula</t>
        </is>
      </c>
      <c r="F312" s="211" t="inlineStr">
        <is>
          <t>String 'Treatment_Profile'. Formula: =IFERROR(GETPIVOTDATA("Baseline_Amount",Visual_Pivot_BusinessIncome!$B$5,"Treatm</t>
        </is>
      </c>
      <c r="G312" s="211" t="inlineStr">
        <is>
          <t>If enum (status/state/etc.), pull from Dropdown_Lists.</t>
        </is>
      </c>
    </row>
    <row r="313">
      <c r="B313" s="209" t="inlineStr">
        <is>
          <t>WARN</t>
        </is>
      </c>
      <c r="C313" s="158" t="inlineStr">
        <is>
          <t>Pivot_GPD</t>
        </is>
      </c>
      <c r="D313" s="210" t="inlineStr">
        <is>
          <t>I24</t>
        </is>
      </c>
      <c r="E313" s="211" t="inlineStr">
        <is>
          <t>String literal in formula</t>
        </is>
      </c>
      <c r="F313" s="211" t="inlineStr">
        <is>
          <t>String 'SchE_Rental'. Formula: =IFERROR(GETPIVOTDATA("Baseline_Amount",Visual_Pivot_BusinessIncome!$B$5,"Treatm</t>
        </is>
      </c>
      <c r="G313" s="211" t="inlineStr">
        <is>
          <t>If enum (status/state/etc.), pull from Dropdown_Lists.</t>
        </is>
      </c>
    </row>
    <row r="314">
      <c r="B314" s="209" t="inlineStr">
        <is>
          <t>WARN</t>
        </is>
      </c>
      <c r="C314" s="158" t="inlineStr">
        <is>
          <t>Pivot_GPD</t>
        </is>
      </c>
      <c r="D314" s="210" t="inlineStr">
        <is>
          <t>I24</t>
        </is>
      </c>
      <c r="E314" s="211" t="inlineStr">
        <is>
          <t>String literal in formula</t>
        </is>
      </c>
      <c r="F314" s="211" t="inlineStr">
        <is>
          <t>String 'Year'. Formula: =IFERROR(GETPIVOTDATA("Baseline_Amount",Visual_Pivot_BusinessIncome!$B$5,"Treatm</t>
        </is>
      </c>
      <c r="G314" s="211" t="inlineStr">
        <is>
          <t>If enum (status/state/etc.), pull from Dropdown_Lists.</t>
        </is>
      </c>
    </row>
    <row r="315">
      <c r="B315" s="209" t="inlineStr">
        <is>
          <t>WARN</t>
        </is>
      </c>
      <c r="C315" s="158" t="inlineStr">
        <is>
          <t>Pivot_GPD</t>
        </is>
      </c>
      <c r="D315" s="210" t="inlineStr">
        <is>
          <t>I25</t>
        </is>
      </c>
      <c r="E315" s="211" t="inlineStr">
        <is>
          <t>String literal in formula</t>
        </is>
      </c>
      <c r="F315" s="211" t="inlineStr">
        <is>
          <t>String 'Baseline_Amount'. Formula: =IFERROR(GETPIVOTDATA("Baseline_Amount",Visual_Pivot_BusinessIncome!$B$5,"Year",</t>
        </is>
      </c>
      <c r="G315" s="211" t="inlineStr">
        <is>
          <t>If enum (status/state/etc.), pull from Dropdown_Lists.</t>
        </is>
      </c>
    </row>
    <row r="316">
      <c r="B316" s="209" t="inlineStr">
        <is>
          <t>WARN</t>
        </is>
      </c>
      <c r="C316" s="158" t="inlineStr">
        <is>
          <t>Pivot_GPD</t>
        </is>
      </c>
      <c r="D316" s="210" t="inlineStr">
        <is>
          <t>I25</t>
        </is>
      </c>
      <c r="E316" s="211" t="inlineStr">
        <is>
          <t>String literal in formula</t>
        </is>
      </c>
      <c r="F316" s="211" t="inlineStr">
        <is>
          <t>String 'Year'. Formula: =IFERROR(GETPIVOTDATA("Baseline_Amount",Visual_Pivot_BusinessIncome!$B$5,"Year",</t>
        </is>
      </c>
      <c r="G316" s="211" t="inlineStr">
        <is>
          <t>If enum (status/state/etc.), pull from Dropdown_Lists.</t>
        </is>
      </c>
    </row>
    <row r="317">
      <c r="B317" s="209" t="inlineStr">
        <is>
          <t>WARN</t>
        </is>
      </c>
      <c r="C317" s="158" t="inlineStr">
        <is>
          <t>Pivot_GPD</t>
        </is>
      </c>
      <c r="D317" s="210" t="inlineStr">
        <is>
          <t>I7</t>
        </is>
      </c>
      <c r="E317" s="211" t="inlineStr">
        <is>
          <t>String literal in formula</t>
        </is>
      </c>
      <c r="F317" s="211" t="inlineStr">
        <is>
          <t>String 'Baseline_Amount'. Formula: =IFERROR(GETPIVOTDATA("Baseline_Amount",Visual_Pivot_Income!$B$5,"Primary_Line",</t>
        </is>
      </c>
      <c r="G317" s="211" t="inlineStr">
        <is>
          <t>If enum (status/state/etc.), pull from Dropdown_Lists.</t>
        </is>
      </c>
    </row>
    <row r="318">
      <c r="B318" s="209" t="inlineStr">
        <is>
          <t>WARN</t>
        </is>
      </c>
      <c r="C318" s="158" t="inlineStr">
        <is>
          <t>Pivot_GPD</t>
        </is>
      </c>
      <c r="D318" s="210" t="inlineStr">
        <is>
          <t>I7</t>
        </is>
      </c>
      <c r="E318" s="211" t="inlineStr">
        <is>
          <t>String literal in formula</t>
        </is>
      </c>
      <c r="F318" s="211" t="inlineStr">
        <is>
          <t>String 'Primary_Line'. Formula: =IFERROR(GETPIVOTDATA("Baseline_Amount",Visual_Pivot_Income!$B$5,"Primary_Line",</t>
        </is>
      </c>
      <c r="G318" s="211" t="inlineStr">
        <is>
          <t>If enum (status/state/etc.), pull from Dropdown_Lists.</t>
        </is>
      </c>
    </row>
    <row r="319">
      <c r="B319" s="209" t="inlineStr">
        <is>
          <t>WARN</t>
        </is>
      </c>
      <c r="C319" s="158" t="inlineStr">
        <is>
          <t>Pivot_GPD</t>
        </is>
      </c>
      <c r="D319" s="210" t="inlineStr">
        <is>
          <t>I7</t>
        </is>
      </c>
      <c r="E319" s="211" t="inlineStr">
        <is>
          <t>String literal in formula</t>
        </is>
      </c>
      <c r="F319" s="211" t="inlineStr">
        <is>
          <t>String 'Year'. Formula: =IFERROR(GETPIVOTDATA("Baseline_Amount",Visual_Pivot_Income!$B$5,"Primary_Line",</t>
        </is>
      </c>
      <c r="G319" s="211" t="inlineStr">
        <is>
          <t>If enum (status/state/etc.), pull from Dropdown_Lists.</t>
        </is>
      </c>
    </row>
    <row r="320">
      <c r="B320" s="209" t="inlineStr">
        <is>
          <t>WARN</t>
        </is>
      </c>
      <c r="C320" s="158" t="inlineStr">
        <is>
          <t>Pivot_GPD</t>
        </is>
      </c>
      <c r="D320" s="210" t="inlineStr">
        <is>
          <t>I8</t>
        </is>
      </c>
      <c r="E320" s="211" t="inlineStr">
        <is>
          <t>String literal in formula</t>
        </is>
      </c>
      <c r="F320" s="211" t="inlineStr">
        <is>
          <t>String 'Baseline_Amount'. Formula: =IFERROR(GETPIVOTDATA("Baseline_Amount",Visual_Pivot_Income!$B$5,"Primary_Line",</t>
        </is>
      </c>
      <c r="G320" s="211" t="inlineStr">
        <is>
          <t>If enum (status/state/etc.), pull from Dropdown_Lists.</t>
        </is>
      </c>
    </row>
    <row r="321">
      <c r="B321" s="209" t="inlineStr">
        <is>
          <t>WARN</t>
        </is>
      </c>
      <c r="C321" s="158" t="inlineStr">
        <is>
          <t>Pivot_GPD</t>
        </is>
      </c>
      <c r="D321" s="210" t="inlineStr">
        <is>
          <t>I8</t>
        </is>
      </c>
      <c r="E321" s="211" t="inlineStr">
        <is>
          <t>String literal in formula</t>
        </is>
      </c>
      <c r="F321" s="211" t="inlineStr">
        <is>
          <t>String 'Primary_Line'. Formula: =IFERROR(GETPIVOTDATA("Baseline_Amount",Visual_Pivot_Income!$B$5,"Primary_Line",</t>
        </is>
      </c>
      <c r="G321" s="211" t="inlineStr">
        <is>
          <t>If enum (status/state/etc.), pull from Dropdown_Lists.</t>
        </is>
      </c>
    </row>
    <row r="322">
      <c r="B322" s="209" t="inlineStr">
        <is>
          <t>WARN</t>
        </is>
      </c>
      <c r="C322" s="158" t="inlineStr">
        <is>
          <t>Pivot_GPD</t>
        </is>
      </c>
      <c r="D322" s="210" t="inlineStr">
        <is>
          <t>I8</t>
        </is>
      </c>
      <c r="E322" s="211" t="inlineStr">
        <is>
          <t>String literal in formula</t>
        </is>
      </c>
      <c r="F322" s="211" t="inlineStr">
        <is>
          <t>String 'Year'. Formula: =IFERROR(GETPIVOTDATA("Baseline_Amount",Visual_Pivot_Income!$B$5,"Primary_Line",</t>
        </is>
      </c>
      <c r="G322" s="211" t="inlineStr">
        <is>
          <t>If enum (status/state/etc.), pull from Dropdown_Lists.</t>
        </is>
      </c>
    </row>
    <row r="323">
      <c r="B323" s="209" t="inlineStr">
        <is>
          <t>WARN</t>
        </is>
      </c>
      <c r="C323" s="158" t="inlineStr">
        <is>
          <t>Pivot_GPD</t>
        </is>
      </c>
      <c r="D323" s="210" t="inlineStr">
        <is>
          <t>I9</t>
        </is>
      </c>
      <c r="E323" s="211" t="inlineStr">
        <is>
          <t>String literal in formula</t>
        </is>
      </c>
      <c r="F323" s="211" t="inlineStr">
        <is>
          <t>String 'Baseline_Amount'. Formula: =IFERROR(GETPIVOTDATA("Baseline_Amount",Visual_Pivot_Income!$B$5,"Primary_Line",</t>
        </is>
      </c>
      <c r="G323" s="211" t="inlineStr">
        <is>
          <t>If enum (status/state/etc.), pull from Dropdown_Lists.</t>
        </is>
      </c>
    </row>
    <row r="324">
      <c r="B324" s="209" t="inlineStr">
        <is>
          <t>WARN</t>
        </is>
      </c>
      <c r="C324" s="158" t="inlineStr">
        <is>
          <t>Pivot_GPD</t>
        </is>
      </c>
      <c r="D324" s="210" t="inlineStr">
        <is>
          <t>I9</t>
        </is>
      </c>
      <c r="E324" s="211" t="inlineStr">
        <is>
          <t>String literal in formula</t>
        </is>
      </c>
      <c r="F324" s="211" t="inlineStr">
        <is>
          <t>String 'Primary_Line'. Formula: =IFERROR(GETPIVOTDATA("Baseline_Amount",Visual_Pivot_Income!$B$5,"Primary_Line",</t>
        </is>
      </c>
      <c r="G324" s="211" t="inlineStr">
        <is>
          <t>If enum (status/state/etc.), pull from Dropdown_Lists.</t>
        </is>
      </c>
    </row>
    <row r="325">
      <c r="B325" s="209" t="inlineStr">
        <is>
          <t>WARN</t>
        </is>
      </c>
      <c r="C325" s="158" t="inlineStr">
        <is>
          <t>Pivot_GPD</t>
        </is>
      </c>
      <c r="D325" s="210" t="inlineStr">
        <is>
          <t>I9</t>
        </is>
      </c>
      <c r="E325" s="211" t="inlineStr">
        <is>
          <t>String literal in formula</t>
        </is>
      </c>
      <c r="F325" s="211" t="inlineStr">
        <is>
          <t>String 'Year'. Formula: =IFERROR(GETPIVOTDATA("Baseline_Amount",Visual_Pivot_Income!$B$5,"Primary_Line",</t>
        </is>
      </c>
      <c r="G325" s="211" t="inlineStr">
        <is>
          <t>If enum (status/state/etc.), pull from Dropdown_Lists.</t>
        </is>
      </c>
    </row>
    <row r="326">
      <c r="B326" s="209" t="inlineStr">
        <is>
          <t>WARN</t>
        </is>
      </c>
      <c r="C326" s="158" t="inlineStr">
        <is>
          <t>Pivot_GPD</t>
        </is>
      </c>
      <c r="D326" s="210" t="inlineStr">
        <is>
          <t>J10</t>
        </is>
      </c>
      <c r="E326" s="211" t="inlineStr">
        <is>
          <t>String literal in formula</t>
        </is>
      </c>
      <c r="F326" s="211" t="inlineStr">
        <is>
          <t>String 'Baseline_Amount'. Formula: =IFERROR(GETPIVOTDATA("Baseline_Amount",Visual_Pivot_Income!$B$5,"Primary_Line",</t>
        </is>
      </c>
      <c r="G326" s="211" t="inlineStr">
        <is>
          <t>If enum (status/state/etc.), pull from Dropdown_Lists.</t>
        </is>
      </c>
    </row>
    <row r="327">
      <c r="B327" s="209" t="inlineStr">
        <is>
          <t>WARN</t>
        </is>
      </c>
      <c r="C327" s="158" t="inlineStr">
        <is>
          <t>Pivot_GPD</t>
        </is>
      </c>
      <c r="D327" s="210" t="inlineStr">
        <is>
          <t>J10</t>
        </is>
      </c>
      <c r="E327" s="211" t="inlineStr">
        <is>
          <t>String literal in formula</t>
        </is>
      </c>
      <c r="F327" s="211" t="inlineStr">
        <is>
          <t>String 'Primary_Line'. Formula: =IFERROR(GETPIVOTDATA("Baseline_Amount",Visual_Pivot_Income!$B$5,"Primary_Line",</t>
        </is>
      </c>
      <c r="G327" s="211" t="inlineStr">
        <is>
          <t>If enum (status/state/etc.), pull from Dropdown_Lists.</t>
        </is>
      </c>
    </row>
    <row r="328">
      <c r="B328" s="209" t="inlineStr">
        <is>
          <t>WARN</t>
        </is>
      </c>
      <c r="C328" s="158" t="inlineStr">
        <is>
          <t>Pivot_GPD</t>
        </is>
      </c>
      <c r="D328" s="210" t="inlineStr">
        <is>
          <t>J10</t>
        </is>
      </c>
      <c r="E328" s="211" t="inlineStr">
        <is>
          <t>String literal in formula</t>
        </is>
      </c>
      <c r="F328" s="211" t="inlineStr">
        <is>
          <t>String 'Year'. Formula: =IFERROR(GETPIVOTDATA("Baseline_Amount",Visual_Pivot_Income!$B$5,"Primary_Line",</t>
        </is>
      </c>
      <c r="G328" s="211" t="inlineStr">
        <is>
          <t>If enum (status/state/etc.), pull from Dropdown_Lists.</t>
        </is>
      </c>
    </row>
    <row r="329">
      <c r="B329" s="209" t="inlineStr">
        <is>
          <t>WARN</t>
        </is>
      </c>
      <c r="C329" s="158" t="inlineStr">
        <is>
          <t>Pivot_GPD</t>
        </is>
      </c>
      <c r="D329" s="210" t="inlineStr">
        <is>
          <t>J11</t>
        </is>
      </c>
      <c r="E329" s="211" t="inlineStr">
        <is>
          <t>String literal in formula</t>
        </is>
      </c>
      <c r="F329" s="211" t="inlineStr">
        <is>
          <t>String 'Baseline_Amount'. Formula: =IFERROR(GETPIVOTDATA("Baseline_Amount",Visual_Pivot_Income!$B$5,"Primary_Line",</t>
        </is>
      </c>
      <c r="G329" s="211" t="inlineStr">
        <is>
          <t>If enum (status/state/etc.), pull from Dropdown_Lists.</t>
        </is>
      </c>
    </row>
    <row r="330">
      <c r="B330" s="209" t="inlineStr">
        <is>
          <t>WARN</t>
        </is>
      </c>
      <c r="C330" s="158" t="inlineStr">
        <is>
          <t>Pivot_GPD</t>
        </is>
      </c>
      <c r="D330" s="210" t="inlineStr">
        <is>
          <t>J11</t>
        </is>
      </c>
      <c r="E330" s="211" t="inlineStr">
        <is>
          <t>String literal in formula</t>
        </is>
      </c>
      <c r="F330" s="211" t="inlineStr">
        <is>
          <t>String 'Primary_Line'. Formula: =IFERROR(GETPIVOTDATA("Baseline_Amount",Visual_Pivot_Income!$B$5,"Primary_Line",</t>
        </is>
      </c>
      <c r="G330" s="211" t="inlineStr">
        <is>
          <t>If enum (status/state/etc.), pull from Dropdown_Lists.</t>
        </is>
      </c>
    </row>
    <row r="331">
      <c r="B331" s="209" t="inlineStr">
        <is>
          <t>WARN</t>
        </is>
      </c>
      <c r="C331" s="158" t="inlineStr">
        <is>
          <t>Pivot_GPD</t>
        </is>
      </c>
      <c r="D331" s="210" t="inlineStr">
        <is>
          <t>J11</t>
        </is>
      </c>
      <c r="E331" s="211" t="inlineStr">
        <is>
          <t>String literal in formula</t>
        </is>
      </c>
      <c r="F331" s="211" t="inlineStr">
        <is>
          <t>String 'Year'. Formula: =IFERROR(GETPIVOTDATA("Baseline_Amount",Visual_Pivot_Income!$B$5,"Primary_Line",</t>
        </is>
      </c>
      <c r="G331" s="211" t="inlineStr">
        <is>
          <t>If enum (status/state/etc.), pull from Dropdown_Lists.</t>
        </is>
      </c>
    </row>
    <row r="332">
      <c r="B332" s="209" t="inlineStr">
        <is>
          <t>WARN</t>
        </is>
      </c>
      <c r="C332" s="158" t="inlineStr">
        <is>
          <t>Pivot_GPD</t>
        </is>
      </c>
      <c r="D332" s="210" t="inlineStr">
        <is>
          <t>J12</t>
        </is>
      </c>
      <c r="E332" s="211" t="inlineStr">
        <is>
          <t>String literal in formula</t>
        </is>
      </c>
      <c r="F332" s="211" t="inlineStr">
        <is>
          <t>String 'Baseline_Amount'. Formula: =IFERROR(GETPIVOTDATA("Baseline_Amount",Visual_Pivot_Income!$B$5,"Primary_Line",</t>
        </is>
      </c>
      <c r="G332" s="211" t="inlineStr">
        <is>
          <t>If enum (status/state/etc.), pull from Dropdown_Lists.</t>
        </is>
      </c>
    </row>
    <row r="333">
      <c r="B333" s="209" t="inlineStr">
        <is>
          <t>WARN</t>
        </is>
      </c>
      <c r="C333" s="158" t="inlineStr">
        <is>
          <t>Pivot_GPD</t>
        </is>
      </c>
      <c r="D333" s="210" t="inlineStr">
        <is>
          <t>J12</t>
        </is>
      </c>
      <c r="E333" s="211" t="inlineStr">
        <is>
          <t>String literal in formula</t>
        </is>
      </c>
      <c r="F333" s="211" t="inlineStr">
        <is>
          <t>String 'Primary_Line'. Formula: =IFERROR(GETPIVOTDATA("Baseline_Amount",Visual_Pivot_Income!$B$5,"Primary_Line",</t>
        </is>
      </c>
      <c r="G333" s="211" t="inlineStr">
        <is>
          <t>If enum (status/state/etc.), pull from Dropdown_Lists.</t>
        </is>
      </c>
    </row>
    <row r="334">
      <c r="B334" s="209" t="inlineStr">
        <is>
          <t>WARN</t>
        </is>
      </c>
      <c r="C334" s="158" t="inlineStr">
        <is>
          <t>Pivot_GPD</t>
        </is>
      </c>
      <c r="D334" s="210" t="inlineStr">
        <is>
          <t>J12</t>
        </is>
      </c>
      <c r="E334" s="211" t="inlineStr">
        <is>
          <t>String literal in formula</t>
        </is>
      </c>
      <c r="F334" s="211" t="inlineStr">
        <is>
          <t>String 'Year'. Formula: =IFERROR(GETPIVOTDATA("Baseline_Amount",Visual_Pivot_Income!$B$5,"Primary_Line",</t>
        </is>
      </c>
      <c r="G334" s="211" t="inlineStr">
        <is>
          <t>If enum (status/state/etc.), pull from Dropdown_Lists.</t>
        </is>
      </c>
    </row>
    <row r="335">
      <c r="B335" s="209" t="inlineStr">
        <is>
          <t>WARN</t>
        </is>
      </c>
      <c r="C335" s="158" t="inlineStr">
        <is>
          <t>Pivot_GPD</t>
        </is>
      </c>
      <c r="D335" s="210" t="inlineStr">
        <is>
          <t>J13</t>
        </is>
      </c>
      <c r="E335" s="211" t="inlineStr">
        <is>
          <t>String literal in formula</t>
        </is>
      </c>
      <c r="F335" s="211" t="inlineStr">
        <is>
          <t>String 'Baseline_Amount'. Formula: =IFERROR(GETPIVOTDATA("Baseline_Amount",Visual_Pivot_Income!$B$5,"Year",Active_Y</t>
        </is>
      </c>
      <c r="G335" s="211" t="inlineStr">
        <is>
          <t>If enum (status/state/etc.), pull from Dropdown_Lists.</t>
        </is>
      </c>
    </row>
    <row r="336">
      <c r="B336" s="209" t="inlineStr">
        <is>
          <t>WARN</t>
        </is>
      </c>
      <c r="C336" s="158" t="inlineStr">
        <is>
          <t>Pivot_GPD</t>
        </is>
      </c>
      <c r="D336" s="210" t="inlineStr">
        <is>
          <t>J13</t>
        </is>
      </c>
      <c r="E336" s="211" t="inlineStr">
        <is>
          <t>String literal in formula</t>
        </is>
      </c>
      <c r="F336" s="211" t="inlineStr">
        <is>
          <t>String 'Year'. Formula: =IFERROR(GETPIVOTDATA("Baseline_Amount",Visual_Pivot_Income!$B$5,"Year",Active_Y</t>
        </is>
      </c>
      <c r="G336" s="211" t="inlineStr">
        <is>
          <t>If enum (status/state/etc.), pull from Dropdown_Lists.</t>
        </is>
      </c>
    </row>
    <row r="337">
      <c r="B337" s="209" t="inlineStr">
        <is>
          <t>WARN</t>
        </is>
      </c>
      <c r="C337" s="158" t="inlineStr">
        <is>
          <t>Pivot_GPD</t>
        </is>
      </c>
      <c r="D337" s="210" t="inlineStr">
        <is>
          <t>J17</t>
        </is>
      </c>
      <c r="E337" s="211" t="inlineStr">
        <is>
          <t>String literal in formula</t>
        </is>
      </c>
      <c r="F337" s="211" t="inlineStr">
        <is>
          <t>String 'Helper_Amount'. Formula: =IFERROR(GETPIVOTDATA("Helper_Amount",Visual_Pivot_HelperCarveOuts!$B$5,"Helper_</t>
        </is>
      </c>
      <c r="G337" s="211" t="inlineStr">
        <is>
          <t>If enum (status/state/etc.), pull from Dropdown_Lists.</t>
        </is>
      </c>
    </row>
    <row r="338">
      <c r="B338" s="209" t="inlineStr">
        <is>
          <t>WARN</t>
        </is>
      </c>
      <c r="C338" s="158" t="inlineStr">
        <is>
          <t>Pivot_GPD</t>
        </is>
      </c>
      <c r="D338" s="210" t="inlineStr">
        <is>
          <t>J17</t>
        </is>
      </c>
      <c r="E338" s="211" t="inlineStr">
        <is>
          <t>String literal in formula</t>
        </is>
      </c>
      <c r="F338" s="211" t="inlineStr">
        <is>
          <t>String 'Helper_Treatment'. Formula: =IFERROR(GETPIVOTDATA("Helper_Amount",Visual_Pivot_HelperCarveOuts!$B$5,"Helper_</t>
        </is>
      </c>
      <c r="G338" s="211" t="inlineStr">
        <is>
          <t>If enum (status/state/etc.), pull from Dropdown_Lists.</t>
        </is>
      </c>
    </row>
    <row r="339">
      <c r="B339" s="209" t="inlineStr">
        <is>
          <t>WARN</t>
        </is>
      </c>
      <c r="C339" s="158" t="inlineStr">
        <is>
          <t>Pivot_GPD</t>
        </is>
      </c>
      <c r="D339" s="210" t="inlineStr">
        <is>
          <t>J17</t>
        </is>
      </c>
      <c r="E339" s="211" t="inlineStr">
        <is>
          <t>String literal in formula</t>
        </is>
      </c>
      <c r="F339" s="211" t="inlineStr">
        <is>
          <t>String 'OWNER_PAY'. Formula: =IFERROR(GETPIVOTDATA("Helper_Amount",Visual_Pivot_HelperCarveOuts!$B$5,"Helper_</t>
        </is>
      </c>
      <c r="G339" s="211" t="inlineStr">
        <is>
          <t>If enum (status/state/etc.), pull from Dropdown_Lists.</t>
        </is>
      </c>
    </row>
    <row r="340">
      <c r="B340" s="209" t="inlineStr">
        <is>
          <t>WARN</t>
        </is>
      </c>
      <c r="C340" s="158" t="inlineStr">
        <is>
          <t>Pivot_GPD</t>
        </is>
      </c>
      <c r="D340" s="210" t="inlineStr">
        <is>
          <t>J17</t>
        </is>
      </c>
      <c r="E340" s="211" t="inlineStr">
        <is>
          <t>String literal in formula</t>
        </is>
      </c>
      <c r="F340" s="211" t="inlineStr">
        <is>
          <t>String 'Year'. Formula: =IFERROR(GETPIVOTDATA("Helper_Amount",Visual_Pivot_HelperCarveOuts!$B$5,"Helper_</t>
        </is>
      </c>
      <c r="G340" s="211" t="inlineStr">
        <is>
          <t>If enum (status/state/etc.), pull from Dropdown_Lists.</t>
        </is>
      </c>
    </row>
    <row r="341">
      <c r="B341" s="209" t="inlineStr">
        <is>
          <t>WARN</t>
        </is>
      </c>
      <c r="C341" s="158" t="inlineStr">
        <is>
          <t>Pivot_GPD</t>
        </is>
      </c>
      <c r="D341" s="210" t="inlineStr">
        <is>
          <t>J18</t>
        </is>
      </c>
      <c r="E341" s="211" t="inlineStr">
        <is>
          <t>String literal in formula</t>
        </is>
      </c>
      <c r="F341" s="211" t="inlineStr">
        <is>
          <t>String 'Helper_Amount'. Formula: =IFERROR(GETPIVOTDATA("Helper_Amount",Visual_Pivot_HelperCarveOuts!$B$5,"Helper_</t>
        </is>
      </c>
      <c r="G341" s="211" t="inlineStr">
        <is>
          <t>If enum (status/state/etc.), pull from Dropdown_Lists.</t>
        </is>
      </c>
    </row>
    <row r="342">
      <c r="B342" s="209" t="inlineStr">
        <is>
          <t>WARN</t>
        </is>
      </c>
      <c r="C342" s="158" t="inlineStr">
        <is>
          <t>Pivot_GPD</t>
        </is>
      </c>
      <c r="D342" s="210" t="inlineStr">
        <is>
          <t>J18</t>
        </is>
      </c>
      <c r="E342" s="211" t="inlineStr">
        <is>
          <t>String literal in formula</t>
        </is>
      </c>
      <c r="F342" s="211" t="inlineStr">
        <is>
          <t>String 'Helper_Treatment'. Formula: =IFERROR(GETPIVOTDATA("Helper_Amount",Visual_Pivot_HelperCarveOuts!$B$5,"Helper_</t>
        </is>
      </c>
      <c r="G342" s="211" t="inlineStr">
        <is>
          <t>If enum (status/state/etc.), pull from Dropdown_Lists.</t>
        </is>
      </c>
    </row>
    <row r="343">
      <c r="B343" s="209" t="inlineStr">
        <is>
          <t>WARN</t>
        </is>
      </c>
      <c r="C343" s="158" t="inlineStr">
        <is>
          <t>Pivot_GPD</t>
        </is>
      </c>
      <c r="D343" s="210" t="inlineStr">
        <is>
          <t>J18</t>
        </is>
      </c>
      <c r="E343" s="211" t="inlineStr">
        <is>
          <t>String literal in formula</t>
        </is>
      </c>
      <c r="F343" s="211" t="inlineStr">
        <is>
          <t>String 'QUAL_DIV'. Formula: =IFERROR(GETPIVOTDATA("Helper_Amount",Visual_Pivot_HelperCarveOuts!$B$5,"Helper_</t>
        </is>
      </c>
      <c r="G343" s="211" t="inlineStr">
        <is>
          <t>If enum (status/state/etc.), pull from Dropdown_Lists.</t>
        </is>
      </c>
    </row>
    <row r="344">
      <c r="B344" s="209" t="inlineStr">
        <is>
          <t>WARN</t>
        </is>
      </c>
      <c r="C344" s="158" t="inlineStr">
        <is>
          <t>Pivot_GPD</t>
        </is>
      </c>
      <c r="D344" s="210" t="inlineStr">
        <is>
          <t>J18</t>
        </is>
      </c>
      <c r="E344" s="211" t="inlineStr">
        <is>
          <t>String literal in formula</t>
        </is>
      </c>
      <c r="F344" s="211" t="inlineStr">
        <is>
          <t>String 'Year'. Formula: =IFERROR(GETPIVOTDATA("Helper_Amount",Visual_Pivot_HelperCarveOuts!$B$5,"Helper_</t>
        </is>
      </c>
      <c r="G344" s="211" t="inlineStr">
        <is>
          <t>If enum (status/state/etc.), pull from Dropdown_Lists.</t>
        </is>
      </c>
    </row>
    <row r="345">
      <c r="B345" s="209" t="inlineStr">
        <is>
          <t>WARN</t>
        </is>
      </c>
      <c r="C345" s="158" t="inlineStr">
        <is>
          <t>Pivot_GPD</t>
        </is>
      </c>
      <c r="D345" s="210" t="inlineStr">
        <is>
          <t>J22</t>
        </is>
      </c>
      <c r="E345" s="211" t="inlineStr">
        <is>
          <t>String literal in formula</t>
        </is>
      </c>
      <c r="F345" s="211" t="inlineStr">
        <is>
          <t>String 'Baseline_Amount'. Formula: =IFERROR(GETPIVOTDATA("Baseline_Amount",Visual_Pivot_BusinessIncome!$B$5,"Treatm</t>
        </is>
      </c>
      <c r="G345" s="211" t="inlineStr">
        <is>
          <t>If enum (status/state/etc.), pull from Dropdown_Lists.</t>
        </is>
      </c>
    </row>
    <row r="346">
      <c r="B346" s="209" t="inlineStr">
        <is>
          <t>WARN</t>
        </is>
      </c>
      <c r="C346" s="158" t="inlineStr">
        <is>
          <t>Pivot_GPD</t>
        </is>
      </c>
      <c r="D346" s="210" t="inlineStr">
        <is>
          <t>J22</t>
        </is>
      </c>
      <c r="E346" s="211" t="inlineStr">
        <is>
          <t>String literal in formula</t>
        </is>
      </c>
      <c r="F346" s="211" t="inlineStr">
        <is>
          <t>String 'Treatment_Profile'. Formula: =IFERROR(GETPIVOTDATA("Baseline_Amount",Visual_Pivot_BusinessIncome!$B$5,"Treatm</t>
        </is>
      </c>
      <c r="G346" s="211" t="inlineStr">
        <is>
          <t>If enum (status/state/etc.), pull from Dropdown_Lists.</t>
        </is>
      </c>
    </row>
    <row r="347">
      <c r="B347" s="209" t="inlineStr">
        <is>
          <t>WARN</t>
        </is>
      </c>
      <c r="C347" s="158" t="inlineStr">
        <is>
          <t>Pivot_GPD</t>
        </is>
      </c>
      <c r="D347" s="210" t="inlineStr">
        <is>
          <t>J22</t>
        </is>
      </c>
      <c r="E347" s="211" t="inlineStr">
        <is>
          <t>String literal in formula</t>
        </is>
      </c>
      <c r="F347" s="211" t="inlineStr">
        <is>
          <t>String 'K1_SCorp_Active'. Formula: =IFERROR(GETPIVOTDATA("Baseline_Amount",Visual_Pivot_BusinessIncome!$B$5,"Treatm</t>
        </is>
      </c>
      <c r="G347" s="211" t="inlineStr">
        <is>
          <t>If enum (status/state/etc.), pull from Dropdown_Lists.</t>
        </is>
      </c>
    </row>
    <row r="348">
      <c r="B348" s="209" t="inlineStr">
        <is>
          <t>WARN</t>
        </is>
      </c>
      <c r="C348" s="158" t="inlineStr">
        <is>
          <t>Pivot_GPD</t>
        </is>
      </c>
      <c r="D348" s="210" t="inlineStr">
        <is>
          <t>J22</t>
        </is>
      </c>
      <c r="E348" s="211" t="inlineStr">
        <is>
          <t>String literal in formula</t>
        </is>
      </c>
      <c r="F348" s="211" t="inlineStr">
        <is>
          <t>String 'Year'. Formula: =IFERROR(GETPIVOTDATA("Baseline_Amount",Visual_Pivot_BusinessIncome!$B$5,"Treatm</t>
        </is>
      </c>
      <c r="G348" s="211" t="inlineStr">
        <is>
          <t>If enum (status/state/etc.), pull from Dropdown_Lists.</t>
        </is>
      </c>
    </row>
    <row r="349">
      <c r="B349" s="209" t="inlineStr">
        <is>
          <t>WARN</t>
        </is>
      </c>
      <c r="C349" s="158" t="inlineStr">
        <is>
          <t>Pivot_GPD</t>
        </is>
      </c>
      <c r="D349" s="210" t="inlineStr">
        <is>
          <t>J23</t>
        </is>
      </c>
      <c r="E349" s="211" t="inlineStr">
        <is>
          <t>String literal in formula</t>
        </is>
      </c>
      <c r="F349" s="211" t="inlineStr">
        <is>
          <t>String 'Baseline_Amount'. Formula: =IFERROR(GETPIVOTDATA("Baseline_Amount",Visual_Pivot_BusinessIncome!$B$5,"Treatm</t>
        </is>
      </c>
      <c r="G349" s="211" t="inlineStr">
        <is>
          <t>If enum (status/state/etc.), pull from Dropdown_Lists.</t>
        </is>
      </c>
    </row>
    <row r="350">
      <c r="B350" s="209" t="inlineStr">
        <is>
          <t>WARN</t>
        </is>
      </c>
      <c r="C350" s="158" t="inlineStr">
        <is>
          <t>Pivot_GPD</t>
        </is>
      </c>
      <c r="D350" s="210" t="inlineStr">
        <is>
          <t>J23</t>
        </is>
      </c>
      <c r="E350" s="211" t="inlineStr">
        <is>
          <t>String literal in formula</t>
        </is>
      </c>
      <c r="F350" s="211" t="inlineStr">
        <is>
          <t>String 'Treatment_Profile'. Formula: =IFERROR(GETPIVOTDATA("Baseline_Amount",Visual_Pivot_BusinessIncome!$B$5,"Treatm</t>
        </is>
      </c>
      <c r="G350" s="211" t="inlineStr">
        <is>
          <t>If enum (status/state/etc.), pull from Dropdown_Lists.</t>
        </is>
      </c>
    </row>
    <row r="351">
      <c r="B351" s="209" t="inlineStr">
        <is>
          <t>WARN</t>
        </is>
      </c>
      <c r="C351" s="158" t="inlineStr">
        <is>
          <t>Pivot_GPD</t>
        </is>
      </c>
      <c r="D351" s="210" t="inlineStr">
        <is>
          <t>J23</t>
        </is>
      </c>
      <c r="E351" s="211" t="inlineStr">
        <is>
          <t>String literal in formula</t>
        </is>
      </c>
      <c r="F351" s="211" t="inlineStr">
        <is>
          <t>String 'K1_PTP_Passive'. Formula: =IFERROR(GETPIVOTDATA("Baseline_Amount",Visual_Pivot_BusinessIncome!$B$5,"Treatm</t>
        </is>
      </c>
      <c r="G351" s="211" t="inlineStr">
        <is>
          <t>If enum (status/state/etc.), pull from Dropdown_Lists.</t>
        </is>
      </c>
    </row>
    <row r="352">
      <c r="B352" s="209" t="inlineStr">
        <is>
          <t>WARN</t>
        </is>
      </c>
      <c r="C352" s="158" t="inlineStr">
        <is>
          <t>Pivot_GPD</t>
        </is>
      </c>
      <c r="D352" s="210" t="inlineStr">
        <is>
          <t>J23</t>
        </is>
      </c>
      <c r="E352" s="211" t="inlineStr">
        <is>
          <t>String literal in formula</t>
        </is>
      </c>
      <c r="F352" s="211" t="inlineStr">
        <is>
          <t>String 'Year'. Formula: =IFERROR(GETPIVOTDATA("Baseline_Amount",Visual_Pivot_BusinessIncome!$B$5,"Treatm</t>
        </is>
      </c>
      <c r="G352" s="211" t="inlineStr">
        <is>
          <t>If enum (status/state/etc.), pull from Dropdown_Lists.</t>
        </is>
      </c>
    </row>
    <row r="353">
      <c r="B353" s="209" t="inlineStr">
        <is>
          <t>WARN</t>
        </is>
      </c>
      <c r="C353" s="158" t="inlineStr">
        <is>
          <t>Pivot_GPD</t>
        </is>
      </c>
      <c r="D353" s="210" t="inlineStr">
        <is>
          <t>J24</t>
        </is>
      </c>
      <c r="E353" s="211" t="inlineStr">
        <is>
          <t>String literal in formula</t>
        </is>
      </c>
      <c r="F353" s="211" t="inlineStr">
        <is>
          <t>String 'Baseline_Amount'. Formula: =IFERROR(GETPIVOTDATA("Baseline_Amount",Visual_Pivot_BusinessIncome!$B$5,"Treatm</t>
        </is>
      </c>
      <c r="G353" s="211" t="inlineStr">
        <is>
          <t>If enum (status/state/etc.), pull from Dropdown_Lists.</t>
        </is>
      </c>
    </row>
    <row r="354">
      <c r="B354" s="209" t="inlineStr">
        <is>
          <t>WARN</t>
        </is>
      </c>
      <c r="C354" s="158" t="inlineStr">
        <is>
          <t>Pivot_GPD</t>
        </is>
      </c>
      <c r="D354" s="210" t="inlineStr">
        <is>
          <t>J24</t>
        </is>
      </c>
      <c r="E354" s="211" t="inlineStr">
        <is>
          <t>String literal in formula</t>
        </is>
      </c>
      <c r="F354" s="211" t="inlineStr">
        <is>
          <t>String 'Treatment_Profile'. Formula: =IFERROR(GETPIVOTDATA("Baseline_Amount",Visual_Pivot_BusinessIncome!$B$5,"Treatm</t>
        </is>
      </c>
      <c r="G354" s="211" t="inlineStr">
        <is>
          <t>If enum (status/state/etc.), pull from Dropdown_Lists.</t>
        </is>
      </c>
    </row>
    <row r="355">
      <c r="B355" s="209" t="inlineStr">
        <is>
          <t>WARN</t>
        </is>
      </c>
      <c r="C355" s="158" t="inlineStr">
        <is>
          <t>Pivot_GPD</t>
        </is>
      </c>
      <c r="D355" s="210" t="inlineStr">
        <is>
          <t>J24</t>
        </is>
      </c>
      <c r="E355" s="211" t="inlineStr">
        <is>
          <t>String literal in formula</t>
        </is>
      </c>
      <c r="F355" s="211" t="inlineStr">
        <is>
          <t>String 'SchE_Rental'. Formula: =IFERROR(GETPIVOTDATA("Baseline_Amount",Visual_Pivot_BusinessIncome!$B$5,"Treatm</t>
        </is>
      </c>
      <c r="G355" s="211" t="inlineStr">
        <is>
          <t>If enum (status/state/etc.), pull from Dropdown_Lists.</t>
        </is>
      </c>
    </row>
    <row r="356">
      <c r="B356" s="209" t="inlineStr">
        <is>
          <t>WARN</t>
        </is>
      </c>
      <c r="C356" s="158" t="inlineStr">
        <is>
          <t>Pivot_GPD</t>
        </is>
      </c>
      <c r="D356" s="210" t="inlineStr">
        <is>
          <t>J24</t>
        </is>
      </c>
      <c r="E356" s="211" t="inlineStr">
        <is>
          <t>String literal in formula</t>
        </is>
      </c>
      <c r="F356" s="211" t="inlineStr">
        <is>
          <t>String 'Year'. Formula: =IFERROR(GETPIVOTDATA("Baseline_Amount",Visual_Pivot_BusinessIncome!$B$5,"Treatm</t>
        </is>
      </c>
      <c r="G356" s="211" t="inlineStr">
        <is>
          <t>If enum (status/state/etc.), pull from Dropdown_Lists.</t>
        </is>
      </c>
    </row>
    <row r="357">
      <c r="B357" s="209" t="inlineStr">
        <is>
          <t>WARN</t>
        </is>
      </c>
      <c r="C357" s="158" t="inlineStr">
        <is>
          <t>Pivot_GPD</t>
        </is>
      </c>
      <c r="D357" s="210" t="inlineStr">
        <is>
          <t>J25</t>
        </is>
      </c>
      <c r="E357" s="211" t="inlineStr">
        <is>
          <t>String literal in formula</t>
        </is>
      </c>
      <c r="F357" s="211" t="inlineStr">
        <is>
          <t>String 'Baseline_Amount'. Formula: =IFERROR(GETPIVOTDATA("Baseline_Amount",Visual_Pivot_BusinessIncome!$B$5,"Year",</t>
        </is>
      </c>
      <c r="G357" s="211" t="inlineStr">
        <is>
          <t>If enum (status/state/etc.), pull from Dropdown_Lists.</t>
        </is>
      </c>
    </row>
    <row r="358">
      <c r="B358" s="209" t="inlineStr">
        <is>
          <t>WARN</t>
        </is>
      </c>
      <c r="C358" s="158" t="inlineStr">
        <is>
          <t>Pivot_GPD</t>
        </is>
      </c>
      <c r="D358" s="210" t="inlineStr">
        <is>
          <t>J25</t>
        </is>
      </c>
      <c r="E358" s="211" t="inlineStr">
        <is>
          <t>String literal in formula</t>
        </is>
      </c>
      <c r="F358" s="211" t="inlineStr">
        <is>
          <t>String 'Year'. Formula: =IFERROR(GETPIVOTDATA("Baseline_Amount",Visual_Pivot_BusinessIncome!$B$5,"Year",</t>
        </is>
      </c>
      <c r="G358" s="211" t="inlineStr">
        <is>
          <t>If enum (status/state/etc.), pull from Dropdown_Lists.</t>
        </is>
      </c>
    </row>
    <row r="359">
      <c r="B359" s="209" t="inlineStr">
        <is>
          <t>WARN</t>
        </is>
      </c>
      <c r="C359" s="158" t="inlineStr">
        <is>
          <t>Pivot_GPD</t>
        </is>
      </c>
      <c r="D359" s="210" t="inlineStr">
        <is>
          <t>J7</t>
        </is>
      </c>
      <c r="E359" s="211" t="inlineStr">
        <is>
          <t>String literal in formula</t>
        </is>
      </c>
      <c r="F359" s="211" t="inlineStr">
        <is>
          <t>String 'Baseline_Amount'. Formula: =IFERROR(GETPIVOTDATA("Baseline_Amount",Visual_Pivot_Income!$B$5,"Primary_Line",</t>
        </is>
      </c>
      <c r="G359" s="211" t="inlineStr">
        <is>
          <t>If enum (status/state/etc.), pull from Dropdown_Lists.</t>
        </is>
      </c>
    </row>
    <row r="360">
      <c r="B360" s="209" t="inlineStr">
        <is>
          <t>WARN</t>
        </is>
      </c>
      <c r="C360" s="158" t="inlineStr">
        <is>
          <t>Pivot_GPD</t>
        </is>
      </c>
      <c r="D360" s="210" t="inlineStr">
        <is>
          <t>J7</t>
        </is>
      </c>
      <c r="E360" s="211" t="inlineStr">
        <is>
          <t>String literal in formula</t>
        </is>
      </c>
      <c r="F360" s="211" t="inlineStr">
        <is>
          <t>String 'Primary_Line'. Formula: =IFERROR(GETPIVOTDATA("Baseline_Amount",Visual_Pivot_Income!$B$5,"Primary_Line",</t>
        </is>
      </c>
      <c r="G360" s="211" t="inlineStr">
        <is>
          <t>If enum (status/state/etc.), pull from Dropdown_Lists.</t>
        </is>
      </c>
    </row>
    <row r="361">
      <c r="B361" s="209" t="inlineStr">
        <is>
          <t>WARN</t>
        </is>
      </c>
      <c r="C361" s="158" t="inlineStr">
        <is>
          <t>Pivot_GPD</t>
        </is>
      </c>
      <c r="D361" s="210" t="inlineStr">
        <is>
          <t>J7</t>
        </is>
      </c>
      <c r="E361" s="211" t="inlineStr">
        <is>
          <t>String literal in formula</t>
        </is>
      </c>
      <c r="F361" s="211" t="inlineStr">
        <is>
          <t>String 'Year'. Formula: =IFERROR(GETPIVOTDATA("Baseline_Amount",Visual_Pivot_Income!$B$5,"Primary_Line",</t>
        </is>
      </c>
      <c r="G361" s="211" t="inlineStr">
        <is>
          <t>If enum (status/state/etc.), pull from Dropdown_Lists.</t>
        </is>
      </c>
    </row>
    <row r="362">
      <c r="B362" s="209" t="inlineStr">
        <is>
          <t>WARN</t>
        </is>
      </c>
      <c r="C362" s="158" t="inlineStr">
        <is>
          <t>Pivot_GPD</t>
        </is>
      </c>
      <c r="D362" s="210" t="inlineStr">
        <is>
          <t>J8</t>
        </is>
      </c>
      <c r="E362" s="211" t="inlineStr">
        <is>
          <t>String literal in formula</t>
        </is>
      </c>
      <c r="F362" s="211" t="inlineStr">
        <is>
          <t>String 'Baseline_Amount'. Formula: =IFERROR(GETPIVOTDATA("Baseline_Amount",Visual_Pivot_Income!$B$5,"Primary_Line",</t>
        </is>
      </c>
      <c r="G362" s="211" t="inlineStr">
        <is>
          <t>If enum (status/state/etc.), pull from Dropdown_Lists.</t>
        </is>
      </c>
    </row>
    <row r="363">
      <c r="B363" s="209" t="inlineStr">
        <is>
          <t>WARN</t>
        </is>
      </c>
      <c r="C363" s="158" t="inlineStr">
        <is>
          <t>Pivot_GPD</t>
        </is>
      </c>
      <c r="D363" s="210" t="inlineStr">
        <is>
          <t>J8</t>
        </is>
      </c>
      <c r="E363" s="211" t="inlineStr">
        <is>
          <t>String literal in formula</t>
        </is>
      </c>
      <c r="F363" s="211" t="inlineStr">
        <is>
          <t>String 'Primary_Line'. Formula: =IFERROR(GETPIVOTDATA("Baseline_Amount",Visual_Pivot_Income!$B$5,"Primary_Line",</t>
        </is>
      </c>
      <c r="G363" s="211" t="inlineStr">
        <is>
          <t>If enum (status/state/etc.), pull from Dropdown_Lists.</t>
        </is>
      </c>
    </row>
    <row r="364">
      <c r="B364" s="209" t="inlineStr">
        <is>
          <t>WARN</t>
        </is>
      </c>
      <c r="C364" s="158" t="inlineStr">
        <is>
          <t>Pivot_GPD</t>
        </is>
      </c>
      <c r="D364" s="210" t="inlineStr">
        <is>
          <t>J8</t>
        </is>
      </c>
      <c r="E364" s="211" t="inlineStr">
        <is>
          <t>String literal in formula</t>
        </is>
      </c>
      <c r="F364" s="211" t="inlineStr">
        <is>
          <t>String 'Year'. Formula: =IFERROR(GETPIVOTDATA("Baseline_Amount",Visual_Pivot_Income!$B$5,"Primary_Line",</t>
        </is>
      </c>
      <c r="G364" s="211" t="inlineStr">
        <is>
          <t>If enum (status/state/etc.), pull from Dropdown_Lists.</t>
        </is>
      </c>
    </row>
    <row r="365">
      <c r="B365" s="209" t="inlineStr">
        <is>
          <t>WARN</t>
        </is>
      </c>
      <c r="C365" s="158" t="inlineStr">
        <is>
          <t>Pivot_GPD</t>
        </is>
      </c>
      <c r="D365" s="210" t="inlineStr">
        <is>
          <t>J9</t>
        </is>
      </c>
      <c r="E365" s="211" t="inlineStr">
        <is>
          <t>String literal in formula</t>
        </is>
      </c>
      <c r="F365" s="211" t="inlineStr">
        <is>
          <t>String 'Baseline_Amount'. Formula: =IFERROR(GETPIVOTDATA("Baseline_Amount",Visual_Pivot_Income!$B$5,"Primary_Line",</t>
        </is>
      </c>
      <c r="G365" s="211" t="inlineStr">
        <is>
          <t>If enum (status/state/etc.), pull from Dropdown_Lists.</t>
        </is>
      </c>
    </row>
    <row r="366">
      <c r="B366" s="209" t="inlineStr">
        <is>
          <t>WARN</t>
        </is>
      </c>
      <c r="C366" s="158" t="inlineStr">
        <is>
          <t>Pivot_GPD</t>
        </is>
      </c>
      <c r="D366" s="210" t="inlineStr">
        <is>
          <t>J9</t>
        </is>
      </c>
      <c r="E366" s="211" t="inlineStr">
        <is>
          <t>String literal in formula</t>
        </is>
      </c>
      <c r="F366" s="211" t="inlineStr">
        <is>
          <t>String 'Primary_Line'. Formula: =IFERROR(GETPIVOTDATA("Baseline_Amount",Visual_Pivot_Income!$B$5,"Primary_Line",</t>
        </is>
      </c>
      <c r="G366" s="211" t="inlineStr">
        <is>
          <t>If enum (status/state/etc.), pull from Dropdown_Lists.</t>
        </is>
      </c>
    </row>
    <row r="367">
      <c r="B367" s="209" t="inlineStr">
        <is>
          <t>WARN</t>
        </is>
      </c>
      <c r="C367" s="158" t="inlineStr">
        <is>
          <t>Pivot_GPD</t>
        </is>
      </c>
      <c r="D367" s="210" t="inlineStr">
        <is>
          <t>J9</t>
        </is>
      </c>
      <c r="E367" s="211" t="inlineStr">
        <is>
          <t>String literal in formula</t>
        </is>
      </c>
      <c r="F367" s="211" t="inlineStr">
        <is>
          <t>String 'Year'. Formula: =IFERROR(GETPIVOTDATA("Baseline_Amount",Visual_Pivot_Income!$B$5,"Primary_Line",</t>
        </is>
      </c>
      <c r="G367" s="211" t="inlineStr">
        <is>
          <t>If enum (status/state/etc.), pull from Dropdown_Lists.</t>
        </is>
      </c>
    </row>
    <row r="368">
      <c r="B368" s="209" t="inlineStr">
        <is>
          <t>WARN</t>
        </is>
      </c>
      <c r="C368" s="158" t="inlineStr">
        <is>
          <t>Pivot_Helpers</t>
        </is>
      </c>
      <c r="D368" s="210" t="inlineStr">
        <is>
          <t>C10</t>
        </is>
      </c>
      <c r="E368" s="211" t="inlineStr">
        <is>
          <t>String literal in formula</t>
        </is>
      </c>
      <c r="F368" s="211" t="inlineStr">
        <is>
          <t>String 'Business Income'. Formula: =SUMIFS(tblMaster_Inputs[Baseline_Amount], tblMaster_Inputs[Year], 2023, tblMast</t>
        </is>
      </c>
      <c r="G368" s="211" t="inlineStr">
        <is>
          <t>If enum (status/state/etc.), pull from Dropdown_Lists.</t>
        </is>
      </c>
    </row>
    <row r="369">
      <c r="B369" s="209" t="inlineStr">
        <is>
          <t>WARN</t>
        </is>
      </c>
      <c r="C369" s="158" t="inlineStr">
        <is>
          <t>Pivot_Helpers</t>
        </is>
      </c>
      <c r="D369" s="210" t="inlineStr">
        <is>
          <t>C11</t>
        </is>
      </c>
      <c r="E369" s="211" t="inlineStr">
        <is>
          <t>String literal in formula</t>
        </is>
      </c>
      <c r="F369" s="211" t="inlineStr">
        <is>
          <t>String 'TAX_EXEMPT'. Formula: =SUMIFS(tblMaster_Inputs[Helper_Amount], tblMaster_Inputs[Year], 2023, tblMaster</t>
        </is>
      </c>
      <c r="G369" s="211" t="inlineStr">
        <is>
          <t>If enum (status/state/etc.), pull from Dropdown_Lists.</t>
        </is>
      </c>
    </row>
    <row r="370">
      <c r="B370" s="209" t="inlineStr">
        <is>
          <t>WARN</t>
        </is>
      </c>
      <c r="C370" s="158" t="inlineStr">
        <is>
          <t>Pivot_Helpers</t>
        </is>
      </c>
      <c r="D370" s="210" t="inlineStr">
        <is>
          <t>C12</t>
        </is>
      </c>
      <c r="E370" s="211" t="inlineStr">
        <is>
          <t>String literal in formula</t>
        </is>
      </c>
      <c r="F370" s="211" t="inlineStr">
        <is>
          <t>String 'QUAL_DIV'. Formula: =SUMIFS(tblMaster_Inputs[Helper_Amount], tblMaster_Inputs[Year], 2023, tblMaster</t>
        </is>
      </c>
      <c r="G370" s="211" t="inlineStr">
        <is>
          <t>If enum (status/state/etc.), pull from Dropdown_Lists.</t>
        </is>
      </c>
    </row>
    <row r="371">
      <c r="B371" s="209" t="inlineStr">
        <is>
          <t>WARN</t>
        </is>
      </c>
      <c r="C371" s="158" t="inlineStr">
        <is>
          <t>Pivot_Helpers</t>
        </is>
      </c>
      <c r="D371" s="210" t="inlineStr">
        <is>
          <t>C13</t>
        </is>
      </c>
      <c r="E371" s="211" t="inlineStr">
        <is>
          <t>Hardcoded threshold</t>
        </is>
      </c>
      <c r="F371" s="211" t="inlineStr">
        <is>
          <t>Int 1250 embedded. Formula: =SUMIFS(tblMaster_Inputs[Baseline_Amount], tblMaster_Inputs[Year], 2023, tblMaster_Inputs[Treatment_</t>
        </is>
      </c>
      <c r="G371" s="211" t="inlineStr">
        <is>
          <t>Replace with named range or tblThresholds FILTER/XLOOKUP.</t>
        </is>
      </c>
    </row>
    <row r="372">
      <c r="B372" s="209" t="inlineStr">
        <is>
          <t>WARN</t>
        </is>
      </c>
      <c r="C372" s="158" t="inlineStr">
        <is>
          <t>Pivot_Helpers</t>
        </is>
      </c>
      <c r="D372" s="210" t="inlineStr">
        <is>
          <t>C13</t>
        </is>
      </c>
      <c r="E372" s="211" t="inlineStr">
        <is>
          <t>String literal in formula</t>
        </is>
      </c>
      <c r="F372" s="211" t="inlineStr">
        <is>
          <t>String 'LTCG_Stock'. Formula: =SUMIFS(tblMaster_Inputs[Baseline_Amount], tblMaster_Inputs[Year], 2023, tblMast</t>
        </is>
      </c>
      <c r="G372" s="211" t="inlineStr">
        <is>
          <t>If enum (status/state/etc.), pull from Dropdown_Lists.</t>
        </is>
      </c>
    </row>
    <row r="373">
      <c r="B373" s="209" t="inlineStr">
        <is>
          <t>WARN</t>
        </is>
      </c>
      <c r="C373" s="158" t="inlineStr">
        <is>
          <t>Pivot_Helpers</t>
        </is>
      </c>
      <c r="D373" s="210" t="inlineStr">
        <is>
          <t>C13</t>
        </is>
      </c>
      <c r="E373" s="211" t="inlineStr">
        <is>
          <t>String literal in formula</t>
        </is>
      </c>
      <c r="F373" s="211" t="inlineStr">
        <is>
          <t>String 'LTCG_RE'. Formula: =SUMIFS(tblMaster_Inputs[Baseline_Amount], tblMaster_Inputs[Year], 2023, tblMast</t>
        </is>
      </c>
      <c r="G373" s="211" t="inlineStr">
        <is>
          <t>If enum (status/state/etc.), pull from Dropdown_Lists.</t>
        </is>
      </c>
    </row>
    <row r="374">
      <c r="B374" s="209" t="inlineStr">
        <is>
          <t>WARN</t>
        </is>
      </c>
      <c r="C374" s="158" t="inlineStr">
        <is>
          <t>Pivot_Helpers</t>
        </is>
      </c>
      <c r="D374" s="210" t="inlineStr">
        <is>
          <t>C13</t>
        </is>
      </c>
      <c r="E374" s="211" t="inlineStr">
        <is>
          <t>String literal in formula</t>
        </is>
      </c>
      <c r="F374" s="211" t="inlineStr">
        <is>
          <t>String 'LTCG_K1_Passthrough'. Formula: =SUMIFS(tblMaster_Inputs[Baseline_Amount], tblMaster_Inputs[Year], 2023, tblMast</t>
        </is>
      </c>
      <c r="G374" s="211" t="inlineStr">
        <is>
          <t>If enum (status/state/etc.), pull from Dropdown_Lists.</t>
        </is>
      </c>
    </row>
    <row r="375">
      <c r="B375" s="209" t="inlineStr">
        <is>
          <t>WARN</t>
        </is>
      </c>
      <c r="C375" s="158" t="inlineStr">
        <is>
          <t>Pivot_Helpers</t>
        </is>
      </c>
      <c r="D375" s="210" t="inlineStr">
        <is>
          <t>C13</t>
        </is>
      </c>
      <c r="E375" s="211" t="inlineStr">
        <is>
          <t>String literal in formula</t>
        </is>
      </c>
      <c r="F375" s="211" t="inlineStr">
        <is>
          <t>String 'Sec1250_Recap'. Formula: =SUMIFS(tblMaster_Inputs[Baseline_Amount], tblMaster_Inputs[Year], 2023, tblMast</t>
        </is>
      </c>
      <c r="G375" s="211" t="inlineStr">
        <is>
          <t>If enum (status/state/etc.), pull from Dropdown_Lists.</t>
        </is>
      </c>
    </row>
    <row r="376">
      <c r="B376" s="209" t="inlineStr">
        <is>
          <t>WARN</t>
        </is>
      </c>
      <c r="C376" s="158" t="inlineStr">
        <is>
          <t>Pivot_Helpers</t>
        </is>
      </c>
      <c r="D376" s="210" t="inlineStr">
        <is>
          <t>C14</t>
        </is>
      </c>
      <c r="E376" s="211" t="inlineStr">
        <is>
          <t>String literal in formula</t>
        </is>
      </c>
      <c r="F376" s="211" t="inlineStr">
        <is>
          <t>String 'STCG_Stock'. Formula: =SUMIFS(tblMaster_Inputs[Baseline_Amount], tblMaster_Inputs[Year], 2023, tblMast</t>
        </is>
      </c>
      <c r="G376" s="211" t="inlineStr">
        <is>
          <t>If enum (status/state/etc.), pull from Dropdown_Lists.</t>
        </is>
      </c>
    </row>
    <row r="377">
      <c r="B377" s="209" t="inlineStr">
        <is>
          <t>WARN</t>
        </is>
      </c>
      <c r="C377" s="158" t="inlineStr">
        <is>
          <t>Pivot_Helpers</t>
        </is>
      </c>
      <c r="D377" s="210" t="inlineStr">
        <is>
          <t>C15</t>
        </is>
      </c>
      <c r="E377" s="211" t="inlineStr">
        <is>
          <t>String literal in formula</t>
        </is>
      </c>
      <c r="F377" s="211" t="inlineStr">
        <is>
          <t>String 'SEC1250'. Formula: =SUMIFS(tblMaster_Inputs[Helper_Amount], tblMaster_Inputs[Year], 2023, tblMaster</t>
        </is>
      </c>
      <c r="G377" s="211" t="inlineStr">
        <is>
          <t>If enum (status/state/etc.), pull from Dropdown_Lists.</t>
        </is>
      </c>
    </row>
    <row r="378">
      <c r="B378" s="209" t="inlineStr">
        <is>
          <t>WARN</t>
        </is>
      </c>
      <c r="C378" s="158" t="inlineStr">
        <is>
          <t>Pivot_Helpers</t>
        </is>
      </c>
      <c r="D378" s="210" t="inlineStr">
        <is>
          <t>C5</t>
        </is>
      </c>
      <c r="E378" s="211" t="inlineStr">
        <is>
          <t>String literal in formula</t>
        </is>
      </c>
      <c r="F378" s="211" t="inlineStr">
        <is>
          <t>String 'W2_SCorpOwner'. Formula: =SUMIFS(tblMaster_Inputs[Baseline_Amount], tblMaster_Inputs[Year], 2023, tblMast</t>
        </is>
      </c>
      <c r="G378" s="211" t="inlineStr">
        <is>
          <t>If enum (status/state/etc.), pull from Dropdown_Lists.</t>
        </is>
      </c>
    </row>
    <row r="379">
      <c r="B379" s="209" t="inlineStr">
        <is>
          <t>WARN</t>
        </is>
      </c>
      <c r="C379" s="158" t="inlineStr">
        <is>
          <t>Pivot_Helpers</t>
        </is>
      </c>
      <c r="D379" s="210" t="inlineStr">
        <is>
          <t>C6</t>
        </is>
      </c>
      <c r="E379" s="211" t="inlineStr">
        <is>
          <t>String literal in formula</t>
        </is>
      </c>
      <c r="F379" s="211" t="inlineStr">
        <is>
          <t>String 'W2_Employee'. Formula: =SUMIFS(tblMaster_Inputs[Baseline_Amount], tblMaster_Inputs[Year], 2023, tblMast</t>
        </is>
      </c>
      <c r="G379" s="211" t="inlineStr">
        <is>
          <t>If enum (status/state/etc.), pull from Dropdown_Lists.</t>
        </is>
      </c>
    </row>
    <row r="380">
      <c r="B380" s="209" t="inlineStr">
        <is>
          <t>WARN</t>
        </is>
      </c>
      <c r="C380" s="158" t="inlineStr">
        <is>
          <t>Pivot_Helpers</t>
        </is>
      </c>
      <c r="D380" s="210" t="inlineStr">
        <is>
          <t>C8</t>
        </is>
      </c>
      <c r="E380" s="211" t="inlineStr">
        <is>
          <t>String literal in formula</t>
        </is>
      </c>
      <c r="F380" s="211" t="inlineStr">
        <is>
          <t>String 'Business Income'. Formula: =SUMIFS(tblMaster_Inputs[Baseline_Amount], tblMaster_Inputs[Year], 2023, tblMast</t>
        </is>
      </c>
      <c r="G380" s="211" t="inlineStr">
        <is>
          <t>If enum (status/state/etc.), pull from Dropdown_Lists.</t>
        </is>
      </c>
    </row>
    <row r="381">
      <c r="B381" s="209" t="inlineStr">
        <is>
          <t>WARN</t>
        </is>
      </c>
      <c r="C381" s="158" t="inlineStr">
        <is>
          <t>Pivot_Helpers</t>
        </is>
      </c>
      <c r="D381" s="210" t="inlineStr">
        <is>
          <t>C9</t>
        </is>
      </c>
      <c r="E381" s="211" t="inlineStr">
        <is>
          <t>String literal in formula</t>
        </is>
      </c>
      <c r="F381" s="211" t="inlineStr">
        <is>
          <t>String 'Business Income'. Formula: =SUMIFS(tblMaster_Inputs[Baseline_Amount], tblMaster_Inputs[Year], 2023, tblMast</t>
        </is>
      </c>
      <c r="G381" s="211" t="inlineStr">
        <is>
          <t>If enum (status/state/etc.), pull from Dropdown_Lists.</t>
        </is>
      </c>
    </row>
    <row r="382">
      <c r="B382" s="209" t="inlineStr">
        <is>
          <t>WARN</t>
        </is>
      </c>
      <c r="C382" s="158" t="inlineStr">
        <is>
          <t>Pivot_Helpers</t>
        </is>
      </c>
      <c r="D382" s="210" t="inlineStr">
        <is>
          <t>D10</t>
        </is>
      </c>
      <c r="E382" s="211" t="inlineStr">
        <is>
          <t>String literal in formula</t>
        </is>
      </c>
      <c r="F382" s="211" t="inlineStr">
        <is>
          <t>String 'Business Income'. Formula: =SUMIFS(tblMaster_Inputs[Baseline_Amount], tblMaster_Inputs[Year], 2024, tblMast</t>
        </is>
      </c>
      <c r="G382" s="211" t="inlineStr">
        <is>
          <t>If enum (status/state/etc.), pull from Dropdown_Lists.</t>
        </is>
      </c>
    </row>
    <row r="383">
      <c r="B383" s="209" t="inlineStr">
        <is>
          <t>WARN</t>
        </is>
      </c>
      <c r="C383" s="158" t="inlineStr">
        <is>
          <t>Pivot_Helpers</t>
        </is>
      </c>
      <c r="D383" s="210" t="inlineStr">
        <is>
          <t>D11</t>
        </is>
      </c>
      <c r="E383" s="211" t="inlineStr">
        <is>
          <t>String literal in formula</t>
        </is>
      </c>
      <c r="F383" s="211" t="inlineStr">
        <is>
          <t>String 'TAX_EXEMPT'. Formula: =SUMIFS(tblMaster_Inputs[Helper_Amount], tblMaster_Inputs[Year], 2024, tblMaster</t>
        </is>
      </c>
      <c r="G383" s="211" t="inlineStr">
        <is>
          <t>If enum (status/state/etc.), pull from Dropdown_Lists.</t>
        </is>
      </c>
    </row>
    <row r="384">
      <c r="B384" s="209" t="inlineStr">
        <is>
          <t>WARN</t>
        </is>
      </c>
      <c r="C384" s="158" t="inlineStr">
        <is>
          <t>Pivot_Helpers</t>
        </is>
      </c>
      <c r="D384" s="210" t="inlineStr">
        <is>
          <t>D12</t>
        </is>
      </c>
      <c r="E384" s="211" t="inlineStr">
        <is>
          <t>String literal in formula</t>
        </is>
      </c>
      <c r="F384" s="211" t="inlineStr">
        <is>
          <t>String 'QUAL_DIV'. Formula: =SUMIFS(tblMaster_Inputs[Helper_Amount], tblMaster_Inputs[Year], 2024, tblMaster</t>
        </is>
      </c>
      <c r="G384" s="211" t="inlineStr">
        <is>
          <t>If enum (status/state/etc.), pull from Dropdown_Lists.</t>
        </is>
      </c>
    </row>
    <row r="385">
      <c r="B385" s="209" t="inlineStr">
        <is>
          <t>WARN</t>
        </is>
      </c>
      <c r="C385" s="158" t="inlineStr">
        <is>
          <t>Pivot_Helpers</t>
        </is>
      </c>
      <c r="D385" s="210" t="inlineStr">
        <is>
          <t>D13</t>
        </is>
      </c>
      <c r="E385" s="211" t="inlineStr">
        <is>
          <t>Hardcoded threshold</t>
        </is>
      </c>
      <c r="F385" s="211" t="inlineStr">
        <is>
          <t>Int 1250 embedded. Formula: =SUMIFS(tblMaster_Inputs[Baseline_Amount], tblMaster_Inputs[Year], 2024, tblMaster_Inputs[Treatment_</t>
        </is>
      </c>
      <c r="G385" s="211" t="inlineStr">
        <is>
          <t>Replace with named range or tblThresholds FILTER/XLOOKUP.</t>
        </is>
      </c>
    </row>
    <row r="386">
      <c r="B386" s="209" t="inlineStr">
        <is>
          <t>WARN</t>
        </is>
      </c>
      <c r="C386" s="158" t="inlineStr">
        <is>
          <t>Pivot_Helpers</t>
        </is>
      </c>
      <c r="D386" s="210" t="inlineStr">
        <is>
          <t>D13</t>
        </is>
      </c>
      <c r="E386" s="211" t="inlineStr">
        <is>
          <t>String literal in formula</t>
        </is>
      </c>
      <c r="F386" s="211" t="inlineStr">
        <is>
          <t>String 'LTCG_Stock'. Formula: =SUMIFS(tblMaster_Inputs[Baseline_Amount], tblMaster_Inputs[Year], 2024, tblMast</t>
        </is>
      </c>
      <c r="G386" s="211" t="inlineStr">
        <is>
          <t>If enum (status/state/etc.), pull from Dropdown_Lists.</t>
        </is>
      </c>
    </row>
    <row r="387">
      <c r="B387" s="209" t="inlineStr">
        <is>
          <t>WARN</t>
        </is>
      </c>
      <c r="C387" s="158" t="inlineStr">
        <is>
          <t>Pivot_Helpers</t>
        </is>
      </c>
      <c r="D387" s="210" t="inlineStr">
        <is>
          <t>D13</t>
        </is>
      </c>
      <c r="E387" s="211" t="inlineStr">
        <is>
          <t>String literal in formula</t>
        </is>
      </c>
      <c r="F387" s="211" t="inlineStr">
        <is>
          <t>String 'LTCG_RE'. Formula: =SUMIFS(tblMaster_Inputs[Baseline_Amount], tblMaster_Inputs[Year], 2024, tblMast</t>
        </is>
      </c>
      <c r="G387" s="211" t="inlineStr">
        <is>
          <t>If enum (status/state/etc.), pull from Dropdown_Lists.</t>
        </is>
      </c>
    </row>
    <row r="388">
      <c r="B388" s="209" t="inlineStr">
        <is>
          <t>WARN</t>
        </is>
      </c>
      <c r="C388" s="158" t="inlineStr">
        <is>
          <t>Pivot_Helpers</t>
        </is>
      </c>
      <c r="D388" s="210" t="inlineStr">
        <is>
          <t>D13</t>
        </is>
      </c>
      <c r="E388" s="211" t="inlineStr">
        <is>
          <t>String literal in formula</t>
        </is>
      </c>
      <c r="F388" s="211" t="inlineStr">
        <is>
          <t>String 'LTCG_K1_Passthrough'. Formula: =SUMIFS(tblMaster_Inputs[Baseline_Amount], tblMaster_Inputs[Year], 2024, tblMast</t>
        </is>
      </c>
      <c r="G388" s="211" t="inlineStr">
        <is>
          <t>If enum (status/state/etc.), pull from Dropdown_Lists.</t>
        </is>
      </c>
    </row>
    <row r="389">
      <c r="B389" s="209" t="inlineStr">
        <is>
          <t>WARN</t>
        </is>
      </c>
      <c r="C389" s="158" t="inlineStr">
        <is>
          <t>Pivot_Helpers</t>
        </is>
      </c>
      <c r="D389" s="210" t="inlineStr">
        <is>
          <t>D13</t>
        </is>
      </c>
      <c r="E389" s="211" t="inlineStr">
        <is>
          <t>String literal in formula</t>
        </is>
      </c>
      <c r="F389" s="211" t="inlineStr">
        <is>
          <t>String 'Sec1250_Recap'. Formula: =SUMIFS(tblMaster_Inputs[Baseline_Amount], tblMaster_Inputs[Year], 2024, tblMast</t>
        </is>
      </c>
      <c r="G389" s="211" t="inlineStr">
        <is>
          <t>If enum (status/state/etc.), pull from Dropdown_Lists.</t>
        </is>
      </c>
    </row>
    <row r="390">
      <c r="B390" s="209" t="inlineStr">
        <is>
          <t>WARN</t>
        </is>
      </c>
      <c r="C390" s="158" t="inlineStr">
        <is>
          <t>Pivot_Helpers</t>
        </is>
      </c>
      <c r="D390" s="210" t="inlineStr">
        <is>
          <t>D14</t>
        </is>
      </c>
      <c r="E390" s="211" t="inlineStr">
        <is>
          <t>String literal in formula</t>
        </is>
      </c>
      <c r="F390" s="211" t="inlineStr">
        <is>
          <t>String 'STCG_Stock'. Formula: =SUMIFS(tblMaster_Inputs[Baseline_Amount], tblMaster_Inputs[Year], 2024, tblMast</t>
        </is>
      </c>
      <c r="G390" s="211" t="inlineStr">
        <is>
          <t>If enum (status/state/etc.), pull from Dropdown_Lists.</t>
        </is>
      </c>
    </row>
    <row r="391">
      <c r="B391" s="209" t="inlineStr">
        <is>
          <t>WARN</t>
        </is>
      </c>
      <c r="C391" s="158" t="inlineStr">
        <is>
          <t>Pivot_Helpers</t>
        </is>
      </c>
      <c r="D391" s="210" t="inlineStr">
        <is>
          <t>D15</t>
        </is>
      </c>
      <c r="E391" s="211" t="inlineStr">
        <is>
          <t>String literal in formula</t>
        </is>
      </c>
      <c r="F391" s="211" t="inlineStr">
        <is>
          <t>String 'SEC1250'. Formula: =SUMIFS(tblMaster_Inputs[Helper_Amount], tblMaster_Inputs[Year], 2024, tblMaster</t>
        </is>
      </c>
      <c r="G391" s="211" t="inlineStr">
        <is>
          <t>If enum (status/state/etc.), pull from Dropdown_Lists.</t>
        </is>
      </c>
    </row>
    <row r="392">
      <c r="B392" s="209" t="inlineStr">
        <is>
          <t>WARN</t>
        </is>
      </c>
      <c r="C392" s="158" t="inlineStr">
        <is>
          <t>Pivot_Helpers</t>
        </is>
      </c>
      <c r="D392" s="210" t="inlineStr">
        <is>
          <t>D5</t>
        </is>
      </c>
      <c r="E392" s="211" t="inlineStr">
        <is>
          <t>String literal in formula</t>
        </is>
      </c>
      <c r="F392" s="211" t="inlineStr">
        <is>
          <t>String 'W2_SCorpOwner'. Formula: =SUMIFS(tblMaster_Inputs[Baseline_Amount], tblMaster_Inputs[Year], 2024, tblMast</t>
        </is>
      </c>
      <c r="G392" s="211" t="inlineStr">
        <is>
          <t>If enum (status/state/etc.), pull from Dropdown_Lists.</t>
        </is>
      </c>
    </row>
    <row r="393">
      <c r="B393" s="209" t="inlineStr">
        <is>
          <t>WARN</t>
        </is>
      </c>
      <c r="C393" s="158" t="inlineStr">
        <is>
          <t>Pivot_Helpers</t>
        </is>
      </c>
      <c r="D393" s="210" t="inlineStr">
        <is>
          <t>D6</t>
        </is>
      </c>
      <c r="E393" s="211" t="inlineStr">
        <is>
          <t>String literal in formula</t>
        </is>
      </c>
      <c r="F393" s="211" t="inlineStr">
        <is>
          <t>String 'W2_Employee'. Formula: =SUMIFS(tblMaster_Inputs[Baseline_Amount], tblMaster_Inputs[Year], 2024, tblMast</t>
        </is>
      </c>
      <c r="G393" s="211" t="inlineStr">
        <is>
          <t>If enum (status/state/etc.), pull from Dropdown_Lists.</t>
        </is>
      </c>
    </row>
    <row r="394">
      <c r="B394" s="209" t="inlineStr">
        <is>
          <t>WARN</t>
        </is>
      </c>
      <c r="C394" s="158" t="inlineStr">
        <is>
          <t>Pivot_Helpers</t>
        </is>
      </c>
      <c r="D394" s="210" t="inlineStr">
        <is>
          <t>D8</t>
        </is>
      </c>
      <c r="E394" s="211" t="inlineStr">
        <is>
          <t>String literal in formula</t>
        </is>
      </c>
      <c r="F394" s="211" t="inlineStr">
        <is>
          <t>String 'Business Income'. Formula: =SUMIFS(tblMaster_Inputs[Baseline_Amount], tblMaster_Inputs[Year], 2024, tblMast</t>
        </is>
      </c>
      <c r="G394" s="211" t="inlineStr">
        <is>
          <t>If enum (status/state/etc.), pull from Dropdown_Lists.</t>
        </is>
      </c>
    </row>
    <row r="395">
      <c r="B395" s="209" t="inlineStr">
        <is>
          <t>WARN</t>
        </is>
      </c>
      <c r="C395" s="158" t="inlineStr">
        <is>
          <t>Pivot_Helpers</t>
        </is>
      </c>
      <c r="D395" s="210" t="inlineStr">
        <is>
          <t>D9</t>
        </is>
      </c>
      <c r="E395" s="211" t="inlineStr">
        <is>
          <t>String literal in formula</t>
        </is>
      </c>
      <c r="F395" s="211" t="inlineStr">
        <is>
          <t>String 'Business Income'. Formula: =SUMIFS(tblMaster_Inputs[Baseline_Amount], tblMaster_Inputs[Year], 2024, tblMast</t>
        </is>
      </c>
      <c r="G395" s="211" t="inlineStr">
        <is>
          <t>If enum (status/state/etc.), pull from Dropdown_Lists.</t>
        </is>
      </c>
    </row>
    <row r="396">
      <c r="B396" s="209" t="inlineStr">
        <is>
          <t>WARN</t>
        </is>
      </c>
      <c r="C396" s="158" t="inlineStr">
        <is>
          <t>Pivot_Helpers</t>
        </is>
      </c>
      <c r="D396" s="210" t="inlineStr">
        <is>
          <t>E10</t>
        </is>
      </c>
      <c r="E396" s="211" t="inlineStr">
        <is>
          <t>String literal in formula</t>
        </is>
      </c>
      <c r="F396" s="211" t="inlineStr">
        <is>
          <t>String 'Business Income'. Formula: =SUMIFS(tblMaster_Inputs[Baseline_Amount], tblMaster_Inputs[Year], 2025, tblMast</t>
        </is>
      </c>
      <c r="G396" s="211" t="inlineStr">
        <is>
          <t>If enum (status/state/etc.), pull from Dropdown_Lists.</t>
        </is>
      </c>
    </row>
    <row r="397">
      <c r="B397" s="209" t="inlineStr">
        <is>
          <t>WARN</t>
        </is>
      </c>
      <c r="C397" s="158" t="inlineStr">
        <is>
          <t>Pivot_Helpers</t>
        </is>
      </c>
      <c r="D397" s="210" t="inlineStr">
        <is>
          <t>E11</t>
        </is>
      </c>
      <c r="E397" s="211" t="inlineStr">
        <is>
          <t>String literal in formula</t>
        </is>
      </c>
      <c r="F397" s="211" t="inlineStr">
        <is>
          <t>String 'TAX_EXEMPT'. Formula: =SUMIFS(tblMaster_Inputs[Helper_Amount], tblMaster_Inputs[Year], 2025, tblMaster</t>
        </is>
      </c>
      <c r="G397" s="211" t="inlineStr">
        <is>
          <t>If enum (status/state/etc.), pull from Dropdown_Lists.</t>
        </is>
      </c>
    </row>
    <row r="398">
      <c r="B398" s="209" t="inlineStr">
        <is>
          <t>WARN</t>
        </is>
      </c>
      <c r="C398" s="158" t="inlineStr">
        <is>
          <t>Pivot_Helpers</t>
        </is>
      </c>
      <c r="D398" s="210" t="inlineStr">
        <is>
          <t>E12</t>
        </is>
      </c>
      <c r="E398" s="211" t="inlineStr">
        <is>
          <t>String literal in formula</t>
        </is>
      </c>
      <c r="F398" s="211" t="inlineStr">
        <is>
          <t>String 'QUAL_DIV'. Formula: =SUMIFS(tblMaster_Inputs[Helper_Amount], tblMaster_Inputs[Year], 2025, tblMaster</t>
        </is>
      </c>
      <c r="G398" s="211" t="inlineStr">
        <is>
          <t>If enum (status/state/etc.), pull from Dropdown_Lists.</t>
        </is>
      </c>
    </row>
    <row r="399">
      <c r="B399" s="209" t="inlineStr">
        <is>
          <t>WARN</t>
        </is>
      </c>
      <c r="C399" s="158" t="inlineStr">
        <is>
          <t>Pivot_Helpers</t>
        </is>
      </c>
      <c r="D399" s="210" t="inlineStr">
        <is>
          <t>E13</t>
        </is>
      </c>
      <c r="E399" s="211" t="inlineStr">
        <is>
          <t>Hardcoded threshold</t>
        </is>
      </c>
      <c r="F399" s="211" t="inlineStr">
        <is>
          <t>Int 1250 embedded. Formula: =SUMIFS(tblMaster_Inputs[Baseline_Amount], tblMaster_Inputs[Year], 2025, tblMaster_Inputs[Treatment_</t>
        </is>
      </c>
      <c r="G399" s="211" t="inlineStr">
        <is>
          <t>Replace with named range or tblThresholds FILTER/XLOOKUP.</t>
        </is>
      </c>
    </row>
    <row r="400">
      <c r="B400" s="209" t="inlineStr">
        <is>
          <t>WARN</t>
        </is>
      </c>
      <c r="C400" s="158" t="inlineStr">
        <is>
          <t>Pivot_Helpers</t>
        </is>
      </c>
      <c r="D400" s="210" t="inlineStr">
        <is>
          <t>E13</t>
        </is>
      </c>
      <c r="E400" s="211" t="inlineStr">
        <is>
          <t>String literal in formula</t>
        </is>
      </c>
      <c r="F400" s="211" t="inlineStr">
        <is>
          <t>String 'LTCG_Stock'. Formula: =SUMIFS(tblMaster_Inputs[Baseline_Amount], tblMaster_Inputs[Year], 2025, tblMast</t>
        </is>
      </c>
      <c r="G400" s="211" t="inlineStr">
        <is>
          <t>If enum (status/state/etc.), pull from Dropdown_Lists.</t>
        </is>
      </c>
    </row>
    <row r="401">
      <c r="B401" s="209" t="inlineStr">
        <is>
          <t>WARN</t>
        </is>
      </c>
      <c r="C401" s="158" t="inlineStr">
        <is>
          <t>Pivot_Helpers</t>
        </is>
      </c>
      <c r="D401" s="210" t="inlineStr">
        <is>
          <t>E13</t>
        </is>
      </c>
      <c r="E401" s="211" t="inlineStr">
        <is>
          <t>String literal in formula</t>
        </is>
      </c>
      <c r="F401" s="211" t="inlineStr">
        <is>
          <t>String 'LTCG_RE'. Formula: =SUMIFS(tblMaster_Inputs[Baseline_Amount], tblMaster_Inputs[Year], 2025, tblMast</t>
        </is>
      </c>
      <c r="G401" s="211" t="inlineStr">
        <is>
          <t>If enum (status/state/etc.), pull from Dropdown_Lists.</t>
        </is>
      </c>
    </row>
    <row r="402">
      <c r="B402" s="209" t="inlineStr">
        <is>
          <t>WARN</t>
        </is>
      </c>
      <c r="C402" s="158" t="inlineStr">
        <is>
          <t>Pivot_Helpers</t>
        </is>
      </c>
      <c r="D402" s="210" t="inlineStr">
        <is>
          <t>E13</t>
        </is>
      </c>
      <c r="E402" s="211" t="inlineStr">
        <is>
          <t>String literal in formula</t>
        </is>
      </c>
      <c r="F402" s="211" t="inlineStr">
        <is>
          <t>String 'LTCG_K1_Passthrough'. Formula: =SUMIFS(tblMaster_Inputs[Baseline_Amount], tblMaster_Inputs[Year], 2025, tblMast</t>
        </is>
      </c>
      <c r="G402" s="211" t="inlineStr">
        <is>
          <t>If enum (status/state/etc.), pull from Dropdown_Lists.</t>
        </is>
      </c>
    </row>
    <row r="403">
      <c r="B403" s="209" t="inlineStr">
        <is>
          <t>WARN</t>
        </is>
      </c>
      <c r="C403" s="158" t="inlineStr">
        <is>
          <t>Pivot_Helpers</t>
        </is>
      </c>
      <c r="D403" s="210" t="inlineStr">
        <is>
          <t>E13</t>
        </is>
      </c>
      <c r="E403" s="211" t="inlineStr">
        <is>
          <t>String literal in formula</t>
        </is>
      </c>
      <c r="F403" s="211" t="inlineStr">
        <is>
          <t>String 'Sec1250_Recap'. Formula: =SUMIFS(tblMaster_Inputs[Baseline_Amount], tblMaster_Inputs[Year], 2025, tblMast</t>
        </is>
      </c>
      <c r="G403" s="211" t="inlineStr">
        <is>
          <t>If enum (status/state/etc.), pull from Dropdown_Lists.</t>
        </is>
      </c>
    </row>
    <row r="404">
      <c r="B404" s="209" t="inlineStr">
        <is>
          <t>WARN</t>
        </is>
      </c>
      <c r="C404" s="158" t="inlineStr">
        <is>
          <t>Pivot_Helpers</t>
        </is>
      </c>
      <c r="D404" s="210" t="inlineStr">
        <is>
          <t>E14</t>
        </is>
      </c>
      <c r="E404" s="211" t="inlineStr">
        <is>
          <t>String literal in formula</t>
        </is>
      </c>
      <c r="F404" s="211" t="inlineStr">
        <is>
          <t>String 'STCG_Stock'. Formula: =SUMIFS(tblMaster_Inputs[Baseline_Amount], tblMaster_Inputs[Year], 2025, tblMast</t>
        </is>
      </c>
      <c r="G404" s="211" t="inlineStr">
        <is>
          <t>If enum (status/state/etc.), pull from Dropdown_Lists.</t>
        </is>
      </c>
    </row>
    <row r="405">
      <c r="B405" s="209" t="inlineStr">
        <is>
          <t>WARN</t>
        </is>
      </c>
      <c r="C405" s="158" t="inlineStr">
        <is>
          <t>Pivot_Helpers</t>
        </is>
      </c>
      <c r="D405" s="210" t="inlineStr">
        <is>
          <t>E15</t>
        </is>
      </c>
      <c r="E405" s="211" t="inlineStr">
        <is>
          <t>String literal in formula</t>
        </is>
      </c>
      <c r="F405" s="211" t="inlineStr">
        <is>
          <t>String 'SEC1250'. Formula: =SUMIFS(tblMaster_Inputs[Helper_Amount], tblMaster_Inputs[Year], 2025, tblMaster</t>
        </is>
      </c>
      <c r="G405" s="211" t="inlineStr">
        <is>
          <t>If enum (status/state/etc.), pull from Dropdown_Lists.</t>
        </is>
      </c>
    </row>
    <row r="406">
      <c r="B406" s="209" t="inlineStr">
        <is>
          <t>WARN</t>
        </is>
      </c>
      <c r="C406" s="158" t="inlineStr">
        <is>
          <t>Pivot_Helpers</t>
        </is>
      </c>
      <c r="D406" s="210" t="inlineStr">
        <is>
          <t>E5</t>
        </is>
      </c>
      <c r="E406" s="211" t="inlineStr">
        <is>
          <t>String literal in formula</t>
        </is>
      </c>
      <c r="F406" s="211" t="inlineStr">
        <is>
          <t>String 'W2_SCorpOwner'. Formula: =SUMIFS(tblMaster_Inputs[Baseline_Amount], tblMaster_Inputs[Year], 2025, tblMast</t>
        </is>
      </c>
      <c r="G406" s="211" t="inlineStr">
        <is>
          <t>If enum (status/state/etc.), pull from Dropdown_Lists.</t>
        </is>
      </c>
    </row>
    <row r="407">
      <c r="B407" s="209" t="inlineStr">
        <is>
          <t>WARN</t>
        </is>
      </c>
      <c r="C407" s="158" t="inlineStr">
        <is>
          <t>Pivot_Helpers</t>
        </is>
      </c>
      <c r="D407" s="210" t="inlineStr">
        <is>
          <t>E6</t>
        </is>
      </c>
      <c r="E407" s="211" t="inlineStr">
        <is>
          <t>String literal in formula</t>
        </is>
      </c>
      <c r="F407" s="211" t="inlineStr">
        <is>
          <t>String 'W2_Employee'. Formula: =SUMIFS(tblMaster_Inputs[Baseline_Amount], tblMaster_Inputs[Year], 2025, tblMast</t>
        </is>
      </c>
      <c r="G407" s="211" t="inlineStr">
        <is>
          <t>If enum (status/state/etc.), pull from Dropdown_Lists.</t>
        </is>
      </c>
    </row>
    <row r="408">
      <c r="B408" s="209" t="inlineStr">
        <is>
          <t>WARN</t>
        </is>
      </c>
      <c r="C408" s="158" t="inlineStr">
        <is>
          <t>Pivot_Helpers</t>
        </is>
      </c>
      <c r="D408" s="210" t="inlineStr">
        <is>
          <t>E8</t>
        </is>
      </c>
      <c r="E408" s="211" t="inlineStr">
        <is>
          <t>String literal in formula</t>
        </is>
      </c>
      <c r="F408" s="211" t="inlineStr">
        <is>
          <t>String 'Business Income'. Formula: =SUMIFS(tblMaster_Inputs[Baseline_Amount], tblMaster_Inputs[Year], 2025, tblMast</t>
        </is>
      </c>
      <c r="G408" s="211" t="inlineStr">
        <is>
          <t>If enum (status/state/etc.), pull from Dropdown_Lists.</t>
        </is>
      </c>
    </row>
    <row r="409">
      <c r="B409" s="209" t="inlineStr">
        <is>
          <t>WARN</t>
        </is>
      </c>
      <c r="C409" s="158" t="inlineStr">
        <is>
          <t>Pivot_Helpers</t>
        </is>
      </c>
      <c r="D409" s="210" t="inlineStr">
        <is>
          <t>E9</t>
        </is>
      </c>
      <c r="E409" s="211" t="inlineStr">
        <is>
          <t>String literal in formula</t>
        </is>
      </c>
      <c r="F409" s="211" t="inlineStr">
        <is>
          <t>String 'Business Income'. Formula: =SUMIFS(tblMaster_Inputs[Baseline_Amount], tblMaster_Inputs[Year], 2025, tblMast</t>
        </is>
      </c>
      <c r="G409" s="211" t="inlineStr">
        <is>
          <t>If enum (status/state/etc.), pull from Dropdown_Lists.</t>
        </is>
      </c>
    </row>
    <row r="410">
      <c r="B410" s="209" t="inlineStr">
        <is>
          <t>WARN</t>
        </is>
      </c>
      <c r="C410" s="158" t="inlineStr">
        <is>
          <t>Pivot_Helpers</t>
        </is>
      </c>
      <c r="D410" s="210" t="inlineStr">
        <is>
          <t>F10</t>
        </is>
      </c>
      <c r="E410" s="211" t="inlineStr">
        <is>
          <t>String literal in formula</t>
        </is>
      </c>
      <c r="F410" s="211" t="inlineStr">
        <is>
          <t>String 'Business Income'. Formula: =SUMIFS(tblMaster_Inputs[Baseline_Amount], tblMaster_Inputs[Year], 2026, tblMast</t>
        </is>
      </c>
      <c r="G410" s="211" t="inlineStr">
        <is>
          <t>If enum (status/state/etc.), pull from Dropdown_Lists.</t>
        </is>
      </c>
    </row>
    <row r="411">
      <c r="B411" s="209" t="inlineStr">
        <is>
          <t>WARN</t>
        </is>
      </c>
      <c r="C411" s="158" t="inlineStr">
        <is>
          <t>Pivot_Helpers</t>
        </is>
      </c>
      <c r="D411" s="210" t="inlineStr">
        <is>
          <t>F11</t>
        </is>
      </c>
      <c r="E411" s="211" t="inlineStr">
        <is>
          <t>String literal in formula</t>
        </is>
      </c>
      <c r="F411" s="211" t="inlineStr">
        <is>
          <t>String 'TAX_EXEMPT'. Formula: =SUMIFS(tblMaster_Inputs[Helper_Amount], tblMaster_Inputs[Year], 2026, tblMaster</t>
        </is>
      </c>
      <c r="G411" s="211" t="inlineStr">
        <is>
          <t>If enum (status/state/etc.), pull from Dropdown_Lists.</t>
        </is>
      </c>
    </row>
    <row r="412">
      <c r="B412" s="209" t="inlineStr">
        <is>
          <t>WARN</t>
        </is>
      </c>
      <c r="C412" s="158" t="inlineStr">
        <is>
          <t>Pivot_Helpers</t>
        </is>
      </c>
      <c r="D412" s="210" t="inlineStr">
        <is>
          <t>F12</t>
        </is>
      </c>
      <c r="E412" s="211" t="inlineStr">
        <is>
          <t>String literal in formula</t>
        </is>
      </c>
      <c r="F412" s="211" t="inlineStr">
        <is>
          <t>String 'QUAL_DIV'. Formula: =SUMIFS(tblMaster_Inputs[Helper_Amount], tblMaster_Inputs[Year], 2026, tblMaster</t>
        </is>
      </c>
      <c r="G412" s="211" t="inlineStr">
        <is>
          <t>If enum (status/state/etc.), pull from Dropdown_Lists.</t>
        </is>
      </c>
    </row>
    <row r="413">
      <c r="B413" s="209" t="inlineStr">
        <is>
          <t>WARN</t>
        </is>
      </c>
      <c r="C413" s="158" t="inlineStr">
        <is>
          <t>Pivot_Helpers</t>
        </is>
      </c>
      <c r="D413" s="210" t="inlineStr">
        <is>
          <t>F13</t>
        </is>
      </c>
      <c r="E413" s="211" t="inlineStr">
        <is>
          <t>Hardcoded threshold</t>
        </is>
      </c>
      <c r="F413" s="211" t="inlineStr">
        <is>
          <t>Int 1250 embedded. Formula: =SUMIFS(tblMaster_Inputs[Baseline_Amount], tblMaster_Inputs[Year], 2026, tblMaster_Inputs[Treatment_</t>
        </is>
      </c>
      <c r="G413" s="211" t="inlineStr">
        <is>
          <t>Replace with named range or tblThresholds FILTER/XLOOKUP.</t>
        </is>
      </c>
    </row>
    <row r="414">
      <c r="B414" s="209" t="inlineStr">
        <is>
          <t>WARN</t>
        </is>
      </c>
      <c r="C414" s="158" t="inlineStr">
        <is>
          <t>Pivot_Helpers</t>
        </is>
      </c>
      <c r="D414" s="210" t="inlineStr">
        <is>
          <t>F13</t>
        </is>
      </c>
      <c r="E414" s="211" t="inlineStr">
        <is>
          <t>String literal in formula</t>
        </is>
      </c>
      <c r="F414" s="211" t="inlineStr">
        <is>
          <t>String 'LTCG_Stock'. Formula: =SUMIFS(tblMaster_Inputs[Baseline_Amount], tblMaster_Inputs[Year], 2026, tblMast</t>
        </is>
      </c>
      <c r="G414" s="211" t="inlineStr">
        <is>
          <t>If enum (status/state/etc.), pull from Dropdown_Lists.</t>
        </is>
      </c>
    </row>
    <row r="415">
      <c r="B415" s="209" t="inlineStr">
        <is>
          <t>WARN</t>
        </is>
      </c>
      <c r="C415" s="158" t="inlineStr">
        <is>
          <t>Pivot_Helpers</t>
        </is>
      </c>
      <c r="D415" s="210" t="inlineStr">
        <is>
          <t>F13</t>
        </is>
      </c>
      <c r="E415" s="211" t="inlineStr">
        <is>
          <t>String literal in formula</t>
        </is>
      </c>
      <c r="F415" s="211" t="inlineStr">
        <is>
          <t>String 'LTCG_RE'. Formula: =SUMIFS(tblMaster_Inputs[Baseline_Amount], tblMaster_Inputs[Year], 2026, tblMast</t>
        </is>
      </c>
      <c r="G415" s="211" t="inlineStr">
        <is>
          <t>If enum (status/state/etc.), pull from Dropdown_Lists.</t>
        </is>
      </c>
    </row>
    <row r="416">
      <c r="B416" s="209" t="inlineStr">
        <is>
          <t>WARN</t>
        </is>
      </c>
      <c r="C416" s="158" t="inlineStr">
        <is>
          <t>Pivot_Helpers</t>
        </is>
      </c>
      <c r="D416" s="210" t="inlineStr">
        <is>
          <t>F13</t>
        </is>
      </c>
      <c r="E416" s="211" t="inlineStr">
        <is>
          <t>String literal in formula</t>
        </is>
      </c>
      <c r="F416" s="211" t="inlineStr">
        <is>
          <t>String 'LTCG_K1_Passthrough'. Formula: =SUMIFS(tblMaster_Inputs[Baseline_Amount], tblMaster_Inputs[Year], 2026, tblMast</t>
        </is>
      </c>
      <c r="G416" s="211" t="inlineStr">
        <is>
          <t>If enum (status/state/etc.), pull from Dropdown_Lists.</t>
        </is>
      </c>
    </row>
    <row r="417">
      <c r="B417" s="209" t="inlineStr">
        <is>
          <t>WARN</t>
        </is>
      </c>
      <c r="C417" s="158" t="inlineStr">
        <is>
          <t>Pivot_Helpers</t>
        </is>
      </c>
      <c r="D417" s="210" t="inlineStr">
        <is>
          <t>F13</t>
        </is>
      </c>
      <c r="E417" s="211" t="inlineStr">
        <is>
          <t>String literal in formula</t>
        </is>
      </c>
      <c r="F417" s="211" t="inlineStr">
        <is>
          <t>String 'Sec1250_Recap'. Formula: =SUMIFS(tblMaster_Inputs[Baseline_Amount], tblMaster_Inputs[Year], 2026, tblMast</t>
        </is>
      </c>
      <c r="G417" s="211" t="inlineStr">
        <is>
          <t>If enum (status/state/etc.), pull from Dropdown_Lists.</t>
        </is>
      </c>
    </row>
    <row r="418">
      <c r="B418" s="209" t="inlineStr">
        <is>
          <t>WARN</t>
        </is>
      </c>
      <c r="C418" s="158" t="inlineStr">
        <is>
          <t>Pivot_Helpers</t>
        </is>
      </c>
      <c r="D418" s="210" t="inlineStr">
        <is>
          <t>F14</t>
        </is>
      </c>
      <c r="E418" s="211" t="inlineStr">
        <is>
          <t>String literal in formula</t>
        </is>
      </c>
      <c r="F418" s="211" t="inlineStr">
        <is>
          <t>String 'STCG_Stock'. Formula: =SUMIFS(tblMaster_Inputs[Baseline_Amount], tblMaster_Inputs[Year], 2026, tblMast</t>
        </is>
      </c>
      <c r="G418" s="211" t="inlineStr">
        <is>
          <t>If enum (status/state/etc.), pull from Dropdown_Lists.</t>
        </is>
      </c>
    </row>
    <row r="419">
      <c r="B419" s="209" t="inlineStr">
        <is>
          <t>WARN</t>
        </is>
      </c>
      <c r="C419" s="158" t="inlineStr">
        <is>
          <t>Pivot_Helpers</t>
        </is>
      </c>
      <c r="D419" s="210" t="inlineStr">
        <is>
          <t>F15</t>
        </is>
      </c>
      <c r="E419" s="211" t="inlineStr">
        <is>
          <t>String literal in formula</t>
        </is>
      </c>
      <c r="F419" s="211" t="inlineStr">
        <is>
          <t>String 'SEC1250'. Formula: =SUMIFS(tblMaster_Inputs[Helper_Amount], tblMaster_Inputs[Year], 2026, tblMaster</t>
        </is>
      </c>
      <c r="G419" s="211" t="inlineStr">
        <is>
          <t>If enum (status/state/etc.), pull from Dropdown_Lists.</t>
        </is>
      </c>
    </row>
    <row r="420">
      <c r="B420" s="209" t="inlineStr">
        <is>
          <t>WARN</t>
        </is>
      </c>
      <c r="C420" s="158" t="inlineStr">
        <is>
          <t>Pivot_Helpers</t>
        </is>
      </c>
      <c r="D420" s="210" t="inlineStr">
        <is>
          <t>F5</t>
        </is>
      </c>
      <c r="E420" s="211" t="inlineStr">
        <is>
          <t>String literal in formula</t>
        </is>
      </c>
      <c r="F420" s="211" t="inlineStr">
        <is>
          <t>String 'W2_SCorpOwner'. Formula: =SUMIFS(tblMaster_Inputs[Baseline_Amount], tblMaster_Inputs[Year], 2026, tblMast</t>
        </is>
      </c>
      <c r="G420" s="211" t="inlineStr">
        <is>
          <t>If enum (status/state/etc.), pull from Dropdown_Lists.</t>
        </is>
      </c>
    </row>
    <row r="421">
      <c r="B421" s="209" t="inlineStr">
        <is>
          <t>WARN</t>
        </is>
      </c>
      <c r="C421" s="158" t="inlineStr">
        <is>
          <t>Pivot_Helpers</t>
        </is>
      </c>
      <c r="D421" s="210" t="inlineStr">
        <is>
          <t>F6</t>
        </is>
      </c>
      <c r="E421" s="211" t="inlineStr">
        <is>
          <t>String literal in formula</t>
        </is>
      </c>
      <c r="F421" s="211" t="inlineStr">
        <is>
          <t>String 'W2_Employee'. Formula: =SUMIFS(tblMaster_Inputs[Baseline_Amount], tblMaster_Inputs[Year], 2026, tblMast</t>
        </is>
      </c>
      <c r="G421" s="211" t="inlineStr">
        <is>
          <t>If enum (status/state/etc.), pull from Dropdown_Lists.</t>
        </is>
      </c>
    </row>
    <row r="422">
      <c r="B422" s="209" t="inlineStr">
        <is>
          <t>WARN</t>
        </is>
      </c>
      <c r="C422" s="158" t="inlineStr">
        <is>
          <t>Pivot_Helpers</t>
        </is>
      </c>
      <c r="D422" s="210" t="inlineStr">
        <is>
          <t>F8</t>
        </is>
      </c>
      <c r="E422" s="211" t="inlineStr">
        <is>
          <t>String literal in formula</t>
        </is>
      </c>
      <c r="F422" s="211" t="inlineStr">
        <is>
          <t>String 'Business Income'. Formula: =SUMIFS(tblMaster_Inputs[Baseline_Amount], tblMaster_Inputs[Year], 2026, tblMast</t>
        </is>
      </c>
      <c r="G422" s="211" t="inlineStr">
        <is>
          <t>If enum (status/state/etc.), pull from Dropdown_Lists.</t>
        </is>
      </c>
    </row>
    <row r="423">
      <c r="B423" s="209" t="inlineStr">
        <is>
          <t>WARN</t>
        </is>
      </c>
      <c r="C423" s="158" t="inlineStr">
        <is>
          <t>Pivot_Helpers</t>
        </is>
      </c>
      <c r="D423" s="210" t="inlineStr">
        <is>
          <t>F9</t>
        </is>
      </c>
      <c r="E423" s="211" t="inlineStr">
        <is>
          <t>String literal in formula</t>
        </is>
      </c>
      <c r="F423" s="211" t="inlineStr">
        <is>
          <t>String 'Business Income'. Formula: =SUMIFS(tblMaster_Inputs[Baseline_Amount], tblMaster_Inputs[Year], 2026, tblMast</t>
        </is>
      </c>
      <c r="G423" s="211" t="inlineStr">
        <is>
          <t>If enum (status/state/etc.), pull from Dropdown_Lists.</t>
        </is>
      </c>
    </row>
    <row r="424">
      <c r="B424" s="209" t="inlineStr">
        <is>
          <t>WARN</t>
        </is>
      </c>
      <c r="C424" s="158" t="inlineStr">
        <is>
          <t>Pivot_Helpers</t>
        </is>
      </c>
      <c r="D424" s="210" t="inlineStr">
        <is>
          <t>G10</t>
        </is>
      </c>
      <c r="E424" s="211" t="inlineStr">
        <is>
          <t>String literal in formula</t>
        </is>
      </c>
      <c r="F424" s="211" t="inlineStr">
        <is>
          <t>String 'Business Income'. Formula: =SUMIFS(tblMaster_Inputs[Baseline_Amount], tblMaster_Inputs[Year], 2027, tblMast</t>
        </is>
      </c>
      <c r="G424" s="211" t="inlineStr">
        <is>
          <t>If enum (status/state/etc.), pull from Dropdown_Lists.</t>
        </is>
      </c>
    </row>
    <row r="425">
      <c r="B425" s="209" t="inlineStr">
        <is>
          <t>WARN</t>
        </is>
      </c>
      <c r="C425" s="158" t="inlineStr">
        <is>
          <t>Pivot_Helpers</t>
        </is>
      </c>
      <c r="D425" s="210" t="inlineStr">
        <is>
          <t>G11</t>
        </is>
      </c>
      <c r="E425" s="211" t="inlineStr">
        <is>
          <t>String literal in formula</t>
        </is>
      </c>
      <c r="F425" s="211" t="inlineStr">
        <is>
          <t>String 'TAX_EXEMPT'. Formula: =SUMIFS(tblMaster_Inputs[Helper_Amount], tblMaster_Inputs[Year], 2027, tblMaster</t>
        </is>
      </c>
      <c r="G425" s="211" t="inlineStr">
        <is>
          <t>If enum (status/state/etc.), pull from Dropdown_Lists.</t>
        </is>
      </c>
    </row>
    <row r="426">
      <c r="B426" s="209" t="inlineStr">
        <is>
          <t>WARN</t>
        </is>
      </c>
      <c r="C426" s="158" t="inlineStr">
        <is>
          <t>Pivot_Helpers</t>
        </is>
      </c>
      <c r="D426" s="210" t="inlineStr">
        <is>
          <t>G12</t>
        </is>
      </c>
      <c r="E426" s="211" t="inlineStr">
        <is>
          <t>String literal in formula</t>
        </is>
      </c>
      <c r="F426" s="211" t="inlineStr">
        <is>
          <t>String 'QUAL_DIV'. Formula: =SUMIFS(tblMaster_Inputs[Helper_Amount], tblMaster_Inputs[Year], 2027, tblMaster</t>
        </is>
      </c>
      <c r="G426" s="211" t="inlineStr">
        <is>
          <t>If enum (status/state/etc.), pull from Dropdown_Lists.</t>
        </is>
      </c>
    </row>
    <row r="427">
      <c r="B427" s="209" t="inlineStr">
        <is>
          <t>WARN</t>
        </is>
      </c>
      <c r="C427" s="158" t="inlineStr">
        <is>
          <t>Pivot_Helpers</t>
        </is>
      </c>
      <c r="D427" s="210" t="inlineStr">
        <is>
          <t>G13</t>
        </is>
      </c>
      <c r="E427" s="211" t="inlineStr">
        <is>
          <t>Hardcoded threshold</t>
        </is>
      </c>
      <c r="F427" s="211" t="inlineStr">
        <is>
          <t>Int 1250 embedded. Formula: =SUMIFS(tblMaster_Inputs[Baseline_Amount], tblMaster_Inputs[Year], 2027, tblMaster_Inputs[Treatment_</t>
        </is>
      </c>
      <c r="G427" s="211" t="inlineStr">
        <is>
          <t>Replace with named range or tblThresholds FILTER/XLOOKUP.</t>
        </is>
      </c>
    </row>
    <row r="428">
      <c r="B428" s="209" t="inlineStr">
        <is>
          <t>WARN</t>
        </is>
      </c>
      <c r="C428" s="158" t="inlineStr">
        <is>
          <t>Pivot_Helpers</t>
        </is>
      </c>
      <c r="D428" s="210" t="inlineStr">
        <is>
          <t>G13</t>
        </is>
      </c>
      <c r="E428" s="211" t="inlineStr">
        <is>
          <t>String literal in formula</t>
        </is>
      </c>
      <c r="F428" s="211" t="inlineStr">
        <is>
          <t>String 'LTCG_Stock'. Formula: =SUMIFS(tblMaster_Inputs[Baseline_Amount], tblMaster_Inputs[Year], 2027, tblMast</t>
        </is>
      </c>
      <c r="G428" s="211" t="inlineStr">
        <is>
          <t>If enum (status/state/etc.), pull from Dropdown_Lists.</t>
        </is>
      </c>
    </row>
    <row r="429">
      <c r="B429" s="209" t="inlineStr">
        <is>
          <t>WARN</t>
        </is>
      </c>
      <c r="C429" s="158" t="inlineStr">
        <is>
          <t>Pivot_Helpers</t>
        </is>
      </c>
      <c r="D429" s="210" t="inlineStr">
        <is>
          <t>G13</t>
        </is>
      </c>
      <c r="E429" s="211" t="inlineStr">
        <is>
          <t>String literal in formula</t>
        </is>
      </c>
      <c r="F429" s="211" t="inlineStr">
        <is>
          <t>String 'LTCG_RE'. Formula: =SUMIFS(tblMaster_Inputs[Baseline_Amount], tblMaster_Inputs[Year], 2027, tblMast</t>
        </is>
      </c>
      <c r="G429" s="211" t="inlineStr">
        <is>
          <t>If enum (status/state/etc.), pull from Dropdown_Lists.</t>
        </is>
      </c>
    </row>
    <row r="430">
      <c r="B430" s="209" t="inlineStr">
        <is>
          <t>WARN</t>
        </is>
      </c>
      <c r="C430" s="158" t="inlineStr">
        <is>
          <t>Pivot_Helpers</t>
        </is>
      </c>
      <c r="D430" s="210" t="inlineStr">
        <is>
          <t>G13</t>
        </is>
      </c>
      <c r="E430" s="211" t="inlineStr">
        <is>
          <t>String literal in formula</t>
        </is>
      </c>
      <c r="F430" s="211" t="inlineStr">
        <is>
          <t>String 'LTCG_K1_Passthrough'. Formula: =SUMIFS(tblMaster_Inputs[Baseline_Amount], tblMaster_Inputs[Year], 2027, tblMast</t>
        </is>
      </c>
      <c r="G430" s="211" t="inlineStr">
        <is>
          <t>If enum (status/state/etc.), pull from Dropdown_Lists.</t>
        </is>
      </c>
    </row>
    <row r="431">
      <c r="B431" s="209" t="inlineStr">
        <is>
          <t>WARN</t>
        </is>
      </c>
      <c r="C431" s="158" t="inlineStr">
        <is>
          <t>Pivot_Helpers</t>
        </is>
      </c>
      <c r="D431" s="210" t="inlineStr">
        <is>
          <t>G13</t>
        </is>
      </c>
      <c r="E431" s="211" t="inlineStr">
        <is>
          <t>String literal in formula</t>
        </is>
      </c>
      <c r="F431" s="211" t="inlineStr">
        <is>
          <t>String 'Sec1250_Recap'. Formula: =SUMIFS(tblMaster_Inputs[Baseline_Amount], tblMaster_Inputs[Year], 2027, tblMast</t>
        </is>
      </c>
      <c r="G431" s="211" t="inlineStr">
        <is>
          <t>If enum (status/state/etc.), pull from Dropdown_Lists.</t>
        </is>
      </c>
    </row>
    <row r="432">
      <c r="B432" s="209" t="inlineStr">
        <is>
          <t>WARN</t>
        </is>
      </c>
      <c r="C432" s="158" t="inlineStr">
        <is>
          <t>Pivot_Helpers</t>
        </is>
      </c>
      <c r="D432" s="210" t="inlineStr">
        <is>
          <t>G14</t>
        </is>
      </c>
      <c r="E432" s="211" t="inlineStr">
        <is>
          <t>String literal in formula</t>
        </is>
      </c>
      <c r="F432" s="211" t="inlineStr">
        <is>
          <t>String 'STCG_Stock'. Formula: =SUMIFS(tblMaster_Inputs[Baseline_Amount], tblMaster_Inputs[Year], 2027, tblMast</t>
        </is>
      </c>
      <c r="G432" s="211" t="inlineStr">
        <is>
          <t>If enum (status/state/etc.), pull from Dropdown_Lists.</t>
        </is>
      </c>
    </row>
    <row r="433">
      <c r="B433" s="209" t="inlineStr">
        <is>
          <t>WARN</t>
        </is>
      </c>
      <c r="C433" s="158" t="inlineStr">
        <is>
          <t>Pivot_Helpers</t>
        </is>
      </c>
      <c r="D433" s="210" t="inlineStr">
        <is>
          <t>G15</t>
        </is>
      </c>
      <c r="E433" s="211" t="inlineStr">
        <is>
          <t>String literal in formula</t>
        </is>
      </c>
      <c r="F433" s="211" t="inlineStr">
        <is>
          <t>String 'SEC1250'. Formula: =SUMIFS(tblMaster_Inputs[Helper_Amount], tblMaster_Inputs[Year], 2027, tblMaster</t>
        </is>
      </c>
      <c r="G433" s="211" t="inlineStr">
        <is>
          <t>If enum (status/state/etc.), pull from Dropdown_Lists.</t>
        </is>
      </c>
    </row>
    <row r="434">
      <c r="B434" s="209" t="inlineStr">
        <is>
          <t>WARN</t>
        </is>
      </c>
      <c r="C434" s="158" t="inlineStr">
        <is>
          <t>Pivot_Helpers</t>
        </is>
      </c>
      <c r="D434" s="210" t="inlineStr">
        <is>
          <t>G5</t>
        </is>
      </c>
      <c r="E434" s="211" t="inlineStr">
        <is>
          <t>String literal in formula</t>
        </is>
      </c>
      <c r="F434" s="211" t="inlineStr">
        <is>
          <t>String 'W2_SCorpOwner'. Formula: =SUMIFS(tblMaster_Inputs[Baseline_Amount], tblMaster_Inputs[Year], 2027, tblMast</t>
        </is>
      </c>
      <c r="G434" s="211" t="inlineStr">
        <is>
          <t>If enum (status/state/etc.), pull from Dropdown_Lists.</t>
        </is>
      </c>
    </row>
    <row r="435">
      <c r="B435" s="209" t="inlineStr">
        <is>
          <t>WARN</t>
        </is>
      </c>
      <c r="C435" s="158" t="inlineStr">
        <is>
          <t>Pivot_Helpers</t>
        </is>
      </c>
      <c r="D435" s="210" t="inlineStr">
        <is>
          <t>G6</t>
        </is>
      </c>
      <c r="E435" s="211" t="inlineStr">
        <is>
          <t>String literal in formula</t>
        </is>
      </c>
      <c r="F435" s="211" t="inlineStr">
        <is>
          <t>String 'W2_Employee'. Formula: =SUMIFS(tblMaster_Inputs[Baseline_Amount], tblMaster_Inputs[Year], 2027, tblMast</t>
        </is>
      </c>
      <c r="G435" s="211" t="inlineStr">
        <is>
          <t>If enum (status/state/etc.), pull from Dropdown_Lists.</t>
        </is>
      </c>
    </row>
    <row r="436">
      <c r="B436" s="209" t="inlineStr">
        <is>
          <t>WARN</t>
        </is>
      </c>
      <c r="C436" s="158" t="inlineStr">
        <is>
          <t>Pivot_Helpers</t>
        </is>
      </c>
      <c r="D436" s="210" t="inlineStr">
        <is>
          <t>G8</t>
        </is>
      </c>
      <c r="E436" s="211" t="inlineStr">
        <is>
          <t>String literal in formula</t>
        </is>
      </c>
      <c r="F436" s="211" t="inlineStr">
        <is>
          <t>String 'Business Income'. Formula: =SUMIFS(tblMaster_Inputs[Baseline_Amount], tblMaster_Inputs[Year], 2027, tblMast</t>
        </is>
      </c>
      <c r="G436" s="211" t="inlineStr">
        <is>
          <t>If enum (status/state/etc.), pull from Dropdown_Lists.</t>
        </is>
      </c>
    </row>
    <row r="437">
      <c r="B437" s="209" t="inlineStr">
        <is>
          <t>WARN</t>
        </is>
      </c>
      <c r="C437" s="158" t="inlineStr">
        <is>
          <t>Pivot_Helpers</t>
        </is>
      </c>
      <c r="D437" s="210" t="inlineStr">
        <is>
          <t>G9</t>
        </is>
      </c>
      <c r="E437" s="211" t="inlineStr">
        <is>
          <t>String literal in formula</t>
        </is>
      </c>
      <c r="F437" s="211" t="inlineStr">
        <is>
          <t>String 'Business Income'. Formula: =SUMIFS(tblMaster_Inputs[Baseline_Amount], tblMaster_Inputs[Year], 2027, tblMast</t>
        </is>
      </c>
      <c r="G437" s="211" t="inlineStr">
        <is>
          <t>If enum (status/state/etc.), pull from Dropdown_Lists.</t>
        </is>
      </c>
    </row>
    <row r="438">
      <c r="B438" s="209" t="inlineStr">
        <is>
          <t>WARN</t>
        </is>
      </c>
      <c r="C438" s="158" t="inlineStr">
        <is>
          <t>Pivot_Helpers</t>
        </is>
      </c>
      <c r="D438" s="210" t="inlineStr">
        <is>
          <t>H10</t>
        </is>
      </c>
      <c r="E438" s="211" t="inlineStr">
        <is>
          <t>String literal in formula</t>
        </is>
      </c>
      <c r="F438" s="211" t="inlineStr">
        <is>
          <t>String 'Business Income'. Formula: =SUMIFS(tblMaster_Inputs[Baseline_Amount], tblMaster_Inputs[Year], 2028, tblMast</t>
        </is>
      </c>
      <c r="G438" s="211" t="inlineStr">
        <is>
          <t>If enum (status/state/etc.), pull from Dropdown_Lists.</t>
        </is>
      </c>
    </row>
    <row r="439">
      <c r="B439" s="209" t="inlineStr">
        <is>
          <t>WARN</t>
        </is>
      </c>
      <c r="C439" s="158" t="inlineStr">
        <is>
          <t>Pivot_Helpers</t>
        </is>
      </c>
      <c r="D439" s="210" t="inlineStr">
        <is>
          <t>H11</t>
        </is>
      </c>
      <c r="E439" s="211" t="inlineStr">
        <is>
          <t>String literal in formula</t>
        </is>
      </c>
      <c r="F439" s="211" t="inlineStr">
        <is>
          <t>String 'TAX_EXEMPT'. Formula: =SUMIFS(tblMaster_Inputs[Helper_Amount], tblMaster_Inputs[Year], 2028, tblMaster</t>
        </is>
      </c>
      <c r="G439" s="211" t="inlineStr">
        <is>
          <t>If enum (status/state/etc.), pull from Dropdown_Lists.</t>
        </is>
      </c>
    </row>
    <row r="440">
      <c r="B440" s="209" t="inlineStr">
        <is>
          <t>WARN</t>
        </is>
      </c>
      <c r="C440" s="158" t="inlineStr">
        <is>
          <t>Pivot_Helpers</t>
        </is>
      </c>
      <c r="D440" s="210" t="inlineStr">
        <is>
          <t>H12</t>
        </is>
      </c>
      <c r="E440" s="211" t="inlineStr">
        <is>
          <t>String literal in formula</t>
        </is>
      </c>
      <c r="F440" s="211" t="inlineStr">
        <is>
          <t>String 'QUAL_DIV'. Formula: =SUMIFS(tblMaster_Inputs[Helper_Amount], tblMaster_Inputs[Year], 2028, tblMaster</t>
        </is>
      </c>
      <c r="G440" s="211" t="inlineStr">
        <is>
          <t>If enum (status/state/etc.), pull from Dropdown_Lists.</t>
        </is>
      </c>
    </row>
    <row r="441">
      <c r="B441" s="209" t="inlineStr">
        <is>
          <t>WARN</t>
        </is>
      </c>
      <c r="C441" s="158" t="inlineStr">
        <is>
          <t>Pivot_Helpers</t>
        </is>
      </c>
      <c r="D441" s="210" t="inlineStr">
        <is>
          <t>H13</t>
        </is>
      </c>
      <c r="E441" s="211" t="inlineStr">
        <is>
          <t>Hardcoded threshold</t>
        </is>
      </c>
      <c r="F441" s="211" t="inlineStr">
        <is>
          <t>Int 1250 embedded. Formula: =SUMIFS(tblMaster_Inputs[Baseline_Amount], tblMaster_Inputs[Year], 2028, tblMaster_Inputs[Treatment_</t>
        </is>
      </c>
      <c r="G441" s="211" t="inlineStr">
        <is>
          <t>Replace with named range or tblThresholds FILTER/XLOOKUP.</t>
        </is>
      </c>
    </row>
    <row r="442">
      <c r="B442" s="209" t="inlineStr">
        <is>
          <t>WARN</t>
        </is>
      </c>
      <c r="C442" s="158" t="inlineStr">
        <is>
          <t>Pivot_Helpers</t>
        </is>
      </c>
      <c r="D442" s="210" t="inlineStr">
        <is>
          <t>H13</t>
        </is>
      </c>
      <c r="E442" s="211" t="inlineStr">
        <is>
          <t>String literal in formula</t>
        </is>
      </c>
      <c r="F442" s="211" t="inlineStr">
        <is>
          <t>String 'LTCG_Stock'. Formula: =SUMIFS(tblMaster_Inputs[Baseline_Amount], tblMaster_Inputs[Year], 2028, tblMast</t>
        </is>
      </c>
      <c r="G442" s="211" t="inlineStr">
        <is>
          <t>If enum (status/state/etc.), pull from Dropdown_Lists.</t>
        </is>
      </c>
    </row>
    <row r="443">
      <c r="B443" s="209" t="inlineStr">
        <is>
          <t>WARN</t>
        </is>
      </c>
      <c r="C443" s="158" t="inlineStr">
        <is>
          <t>Pivot_Helpers</t>
        </is>
      </c>
      <c r="D443" s="210" t="inlineStr">
        <is>
          <t>H13</t>
        </is>
      </c>
      <c r="E443" s="211" t="inlineStr">
        <is>
          <t>String literal in formula</t>
        </is>
      </c>
      <c r="F443" s="211" t="inlineStr">
        <is>
          <t>String 'LTCG_RE'. Formula: =SUMIFS(tblMaster_Inputs[Baseline_Amount], tblMaster_Inputs[Year], 2028, tblMast</t>
        </is>
      </c>
      <c r="G443" s="211" t="inlineStr">
        <is>
          <t>If enum (status/state/etc.), pull from Dropdown_Lists.</t>
        </is>
      </c>
    </row>
    <row r="444">
      <c r="B444" s="209" t="inlineStr">
        <is>
          <t>WARN</t>
        </is>
      </c>
      <c r="C444" s="158" t="inlineStr">
        <is>
          <t>Pivot_Helpers</t>
        </is>
      </c>
      <c r="D444" s="210" t="inlineStr">
        <is>
          <t>H13</t>
        </is>
      </c>
      <c r="E444" s="211" t="inlineStr">
        <is>
          <t>String literal in formula</t>
        </is>
      </c>
      <c r="F444" s="211" t="inlineStr">
        <is>
          <t>String 'LTCG_K1_Passthrough'. Formula: =SUMIFS(tblMaster_Inputs[Baseline_Amount], tblMaster_Inputs[Year], 2028, tblMast</t>
        </is>
      </c>
      <c r="G444" s="211" t="inlineStr">
        <is>
          <t>If enum (status/state/etc.), pull from Dropdown_Lists.</t>
        </is>
      </c>
    </row>
    <row r="445">
      <c r="B445" s="209" t="inlineStr">
        <is>
          <t>WARN</t>
        </is>
      </c>
      <c r="C445" s="158" t="inlineStr">
        <is>
          <t>Pivot_Helpers</t>
        </is>
      </c>
      <c r="D445" s="210" t="inlineStr">
        <is>
          <t>H13</t>
        </is>
      </c>
      <c r="E445" s="211" t="inlineStr">
        <is>
          <t>String literal in formula</t>
        </is>
      </c>
      <c r="F445" s="211" t="inlineStr">
        <is>
          <t>String 'Sec1250_Recap'. Formula: =SUMIFS(tblMaster_Inputs[Baseline_Amount], tblMaster_Inputs[Year], 2028, tblMast</t>
        </is>
      </c>
      <c r="G445" s="211" t="inlineStr">
        <is>
          <t>If enum (status/state/etc.), pull from Dropdown_Lists.</t>
        </is>
      </c>
    </row>
    <row r="446">
      <c r="B446" s="209" t="inlineStr">
        <is>
          <t>WARN</t>
        </is>
      </c>
      <c r="C446" s="158" t="inlineStr">
        <is>
          <t>Pivot_Helpers</t>
        </is>
      </c>
      <c r="D446" s="210" t="inlineStr">
        <is>
          <t>H14</t>
        </is>
      </c>
      <c r="E446" s="211" t="inlineStr">
        <is>
          <t>String literal in formula</t>
        </is>
      </c>
      <c r="F446" s="211" t="inlineStr">
        <is>
          <t>String 'STCG_Stock'. Formula: =SUMIFS(tblMaster_Inputs[Baseline_Amount], tblMaster_Inputs[Year], 2028, tblMast</t>
        </is>
      </c>
      <c r="G446" s="211" t="inlineStr">
        <is>
          <t>If enum (status/state/etc.), pull from Dropdown_Lists.</t>
        </is>
      </c>
    </row>
    <row r="447">
      <c r="B447" s="209" t="inlineStr">
        <is>
          <t>WARN</t>
        </is>
      </c>
      <c r="C447" s="158" t="inlineStr">
        <is>
          <t>Pivot_Helpers</t>
        </is>
      </c>
      <c r="D447" s="210" t="inlineStr">
        <is>
          <t>H15</t>
        </is>
      </c>
      <c r="E447" s="211" t="inlineStr">
        <is>
          <t>String literal in formula</t>
        </is>
      </c>
      <c r="F447" s="211" t="inlineStr">
        <is>
          <t>String 'SEC1250'. Formula: =SUMIFS(tblMaster_Inputs[Helper_Amount], tblMaster_Inputs[Year], 2028, tblMaster</t>
        </is>
      </c>
      <c r="G447" s="211" t="inlineStr">
        <is>
          <t>If enum (status/state/etc.), pull from Dropdown_Lists.</t>
        </is>
      </c>
    </row>
    <row r="448">
      <c r="B448" s="209" t="inlineStr">
        <is>
          <t>WARN</t>
        </is>
      </c>
      <c r="C448" s="158" t="inlineStr">
        <is>
          <t>Pivot_Helpers</t>
        </is>
      </c>
      <c r="D448" s="210" t="inlineStr">
        <is>
          <t>H5</t>
        </is>
      </c>
      <c r="E448" s="211" t="inlineStr">
        <is>
          <t>String literal in formula</t>
        </is>
      </c>
      <c r="F448" s="211" t="inlineStr">
        <is>
          <t>String 'W2_SCorpOwner'. Formula: =SUMIFS(tblMaster_Inputs[Baseline_Amount], tblMaster_Inputs[Year], 2028, tblMast</t>
        </is>
      </c>
      <c r="G448" s="211" t="inlineStr">
        <is>
          <t>If enum (status/state/etc.), pull from Dropdown_Lists.</t>
        </is>
      </c>
    </row>
    <row r="449">
      <c r="B449" s="209" t="inlineStr">
        <is>
          <t>WARN</t>
        </is>
      </c>
      <c r="C449" s="158" t="inlineStr">
        <is>
          <t>Pivot_Helpers</t>
        </is>
      </c>
      <c r="D449" s="210" t="inlineStr">
        <is>
          <t>H6</t>
        </is>
      </c>
      <c r="E449" s="211" t="inlineStr">
        <is>
          <t>String literal in formula</t>
        </is>
      </c>
      <c r="F449" s="211" t="inlineStr">
        <is>
          <t>String 'W2_Employee'. Formula: =SUMIFS(tblMaster_Inputs[Baseline_Amount], tblMaster_Inputs[Year], 2028, tblMast</t>
        </is>
      </c>
      <c r="G449" s="211" t="inlineStr">
        <is>
          <t>If enum (status/state/etc.), pull from Dropdown_Lists.</t>
        </is>
      </c>
    </row>
    <row r="450">
      <c r="B450" s="209" t="inlineStr">
        <is>
          <t>WARN</t>
        </is>
      </c>
      <c r="C450" s="158" t="inlineStr">
        <is>
          <t>Pivot_Helpers</t>
        </is>
      </c>
      <c r="D450" s="210" t="inlineStr">
        <is>
          <t>H8</t>
        </is>
      </c>
      <c r="E450" s="211" t="inlineStr">
        <is>
          <t>String literal in formula</t>
        </is>
      </c>
      <c r="F450" s="211" t="inlineStr">
        <is>
          <t>String 'Business Income'. Formula: =SUMIFS(tblMaster_Inputs[Baseline_Amount], tblMaster_Inputs[Year], 2028, tblMast</t>
        </is>
      </c>
      <c r="G450" s="211" t="inlineStr">
        <is>
          <t>If enum (status/state/etc.), pull from Dropdown_Lists.</t>
        </is>
      </c>
    </row>
    <row r="451">
      <c r="B451" s="209" t="inlineStr">
        <is>
          <t>WARN</t>
        </is>
      </c>
      <c r="C451" s="158" t="inlineStr">
        <is>
          <t>Pivot_Helpers</t>
        </is>
      </c>
      <c r="D451" s="210" t="inlineStr">
        <is>
          <t>H9</t>
        </is>
      </c>
      <c r="E451" s="211" t="inlineStr">
        <is>
          <t>String literal in formula</t>
        </is>
      </c>
      <c r="F451" s="211" t="inlineStr">
        <is>
          <t>String 'Business Income'. Formula: =SUMIFS(tblMaster_Inputs[Baseline_Amount], tblMaster_Inputs[Year], 2028, tblMast</t>
        </is>
      </c>
      <c r="G451" s="211" t="inlineStr">
        <is>
          <t>If enum (status/state/etc.), pull from Dropdown_Lists.</t>
        </is>
      </c>
    </row>
    <row r="452">
      <c r="B452" s="209" t="inlineStr">
        <is>
          <t>WARN</t>
        </is>
      </c>
      <c r="C452" s="158" t="inlineStr">
        <is>
          <t>Pivot_Helpers</t>
        </is>
      </c>
      <c r="D452" s="210" t="inlineStr">
        <is>
          <t>I10</t>
        </is>
      </c>
      <c r="E452" s="211" t="inlineStr">
        <is>
          <t>String literal in formula</t>
        </is>
      </c>
      <c r="F452" s="211" t="inlineStr">
        <is>
          <t>String 'Business Income'. Formula: =SUMIFS(tblMaster_Inputs[Baseline_Amount], tblMaster_Inputs[Year], 2023, tblMast</t>
        </is>
      </c>
      <c r="G452" s="211" t="inlineStr">
        <is>
          <t>If enum (status/state/etc.), pull from Dropdown_Lists.</t>
        </is>
      </c>
    </row>
    <row r="453">
      <c r="B453" s="209" t="inlineStr">
        <is>
          <t>WARN</t>
        </is>
      </c>
      <c r="C453" s="158" t="inlineStr">
        <is>
          <t>Pivot_Helpers</t>
        </is>
      </c>
      <c r="D453" s="210" t="inlineStr">
        <is>
          <t>I11</t>
        </is>
      </c>
      <c r="E453" s="211" t="inlineStr">
        <is>
          <t>String literal in formula</t>
        </is>
      </c>
      <c r="F453" s="211" t="inlineStr">
        <is>
          <t>String 'TAX_EXEMPT'. Formula: =SUMIFS(tblMaster_Inputs[Helper_Amount], tblMaster_Inputs[Year], 2023, tblMaster</t>
        </is>
      </c>
      <c r="G453" s="211" t="inlineStr">
        <is>
          <t>If enum (status/state/etc.), pull from Dropdown_Lists.</t>
        </is>
      </c>
    </row>
    <row r="454">
      <c r="B454" s="209" t="inlineStr">
        <is>
          <t>WARN</t>
        </is>
      </c>
      <c r="C454" s="158" t="inlineStr">
        <is>
          <t>Pivot_Helpers</t>
        </is>
      </c>
      <c r="D454" s="210" t="inlineStr">
        <is>
          <t>I12</t>
        </is>
      </c>
      <c r="E454" s="211" t="inlineStr">
        <is>
          <t>String literal in formula</t>
        </is>
      </c>
      <c r="F454" s="211" t="inlineStr">
        <is>
          <t>String 'QUAL_DIV'. Formula: =SUMIFS(tblMaster_Inputs[Helper_Amount], tblMaster_Inputs[Year], 2023, tblMaster</t>
        </is>
      </c>
      <c r="G454" s="211" t="inlineStr">
        <is>
          <t>If enum (status/state/etc.), pull from Dropdown_Lists.</t>
        </is>
      </c>
    </row>
    <row r="455">
      <c r="B455" s="209" t="inlineStr">
        <is>
          <t>WARN</t>
        </is>
      </c>
      <c r="C455" s="158" t="inlineStr">
        <is>
          <t>Pivot_Helpers</t>
        </is>
      </c>
      <c r="D455" s="210" t="inlineStr">
        <is>
          <t>I13</t>
        </is>
      </c>
      <c r="E455" s="211" t="inlineStr">
        <is>
          <t>Hardcoded threshold</t>
        </is>
      </c>
      <c r="F455" s="211" t="inlineStr">
        <is>
          <t>Int 1250 embedded. Formula: =SUMIFS(tblMaster_Inputs[Baseline_Amount], tblMaster_Inputs[Year], 2023, tblMaster_Inputs[Treatment_</t>
        </is>
      </c>
      <c r="G455" s="211" t="inlineStr">
        <is>
          <t>Replace with named range or tblThresholds FILTER/XLOOKUP.</t>
        </is>
      </c>
    </row>
    <row r="456">
      <c r="B456" s="209" t="inlineStr">
        <is>
          <t>WARN</t>
        </is>
      </c>
      <c r="C456" s="158" t="inlineStr">
        <is>
          <t>Pivot_Helpers</t>
        </is>
      </c>
      <c r="D456" s="210" t="inlineStr">
        <is>
          <t>I13</t>
        </is>
      </c>
      <c r="E456" s="211" t="inlineStr">
        <is>
          <t>String literal in formula</t>
        </is>
      </c>
      <c r="F456" s="211" t="inlineStr">
        <is>
          <t>String 'LTCG_Stock'. Formula: =SUMIFS(tblMaster_Inputs[Baseline_Amount], tblMaster_Inputs[Year], 2023, tblMast</t>
        </is>
      </c>
      <c r="G456" s="211" t="inlineStr">
        <is>
          <t>If enum (status/state/etc.), pull from Dropdown_Lists.</t>
        </is>
      </c>
    </row>
    <row r="457">
      <c r="B457" s="209" t="inlineStr">
        <is>
          <t>WARN</t>
        </is>
      </c>
      <c r="C457" s="158" t="inlineStr">
        <is>
          <t>Pivot_Helpers</t>
        </is>
      </c>
      <c r="D457" s="210" t="inlineStr">
        <is>
          <t>I13</t>
        </is>
      </c>
      <c r="E457" s="211" t="inlineStr">
        <is>
          <t>String literal in formula</t>
        </is>
      </c>
      <c r="F457" s="211" t="inlineStr">
        <is>
          <t>String 'LTCG_RE'. Formula: =SUMIFS(tblMaster_Inputs[Baseline_Amount], tblMaster_Inputs[Year], 2023, tblMast</t>
        </is>
      </c>
      <c r="G457" s="211" t="inlineStr">
        <is>
          <t>If enum (status/state/etc.), pull from Dropdown_Lists.</t>
        </is>
      </c>
    </row>
    <row r="458">
      <c r="B458" s="209" t="inlineStr">
        <is>
          <t>WARN</t>
        </is>
      </c>
      <c r="C458" s="158" t="inlineStr">
        <is>
          <t>Pivot_Helpers</t>
        </is>
      </c>
      <c r="D458" s="210" t="inlineStr">
        <is>
          <t>I13</t>
        </is>
      </c>
      <c r="E458" s="211" t="inlineStr">
        <is>
          <t>String literal in formula</t>
        </is>
      </c>
      <c r="F458" s="211" t="inlineStr">
        <is>
          <t>String 'LTCG_K1_Passthrough'. Formula: =SUMIFS(tblMaster_Inputs[Baseline_Amount], tblMaster_Inputs[Year], 2023, tblMast</t>
        </is>
      </c>
      <c r="G458" s="211" t="inlineStr">
        <is>
          <t>If enum (status/state/etc.), pull from Dropdown_Lists.</t>
        </is>
      </c>
    </row>
    <row r="459">
      <c r="B459" s="209" t="inlineStr">
        <is>
          <t>WARN</t>
        </is>
      </c>
      <c r="C459" s="158" t="inlineStr">
        <is>
          <t>Pivot_Helpers</t>
        </is>
      </c>
      <c r="D459" s="210" t="inlineStr">
        <is>
          <t>I13</t>
        </is>
      </c>
      <c r="E459" s="211" t="inlineStr">
        <is>
          <t>String literal in formula</t>
        </is>
      </c>
      <c r="F459" s="211" t="inlineStr">
        <is>
          <t>String 'Sec1250_Recap'. Formula: =SUMIFS(tblMaster_Inputs[Baseline_Amount], tblMaster_Inputs[Year], 2023, tblMast</t>
        </is>
      </c>
      <c r="G459" s="211" t="inlineStr">
        <is>
          <t>If enum (status/state/etc.), pull from Dropdown_Lists.</t>
        </is>
      </c>
    </row>
    <row r="460">
      <c r="B460" s="209" t="inlineStr">
        <is>
          <t>WARN</t>
        </is>
      </c>
      <c r="C460" s="158" t="inlineStr">
        <is>
          <t>Pivot_Helpers</t>
        </is>
      </c>
      <c r="D460" s="210" t="inlineStr">
        <is>
          <t>I14</t>
        </is>
      </c>
      <c r="E460" s="211" t="inlineStr">
        <is>
          <t>String literal in formula</t>
        </is>
      </c>
      <c r="F460" s="211" t="inlineStr">
        <is>
          <t>String 'STCG_Stock'. Formula: =SUMIFS(tblMaster_Inputs[Baseline_Amount], tblMaster_Inputs[Year], 2023, tblMast</t>
        </is>
      </c>
      <c r="G460" s="211" t="inlineStr">
        <is>
          <t>If enum (status/state/etc.), pull from Dropdown_Lists.</t>
        </is>
      </c>
    </row>
    <row r="461">
      <c r="B461" s="209" t="inlineStr">
        <is>
          <t>WARN</t>
        </is>
      </c>
      <c r="C461" s="158" t="inlineStr">
        <is>
          <t>Pivot_Helpers</t>
        </is>
      </c>
      <c r="D461" s="210" t="inlineStr">
        <is>
          <t>I15</t>
        </is>
      </c>
      <c r="E461" s="211" t="inlineStr">
        <is>
          <t>String literal in formula</t>
        </is>
      </c>
      <c r="F461" s="211" t="inlineStr">
        <is>
          <t>String 'SEC1250'. Formula: =SUMIFS(tblMaster_Inputs[Helper_Amount], tblMaster_Inputs[Year], 2023, tblMaster</t>
        </is>
      </c>
      <c r="G461" s="211" t="inlineStr">
        <is>
          <t>If enum (status/state/etc.), pull from Dropdown_Lists.</t>
        </is>
      </c>
    </row>
    <row r="462">
      <c r="B462" s="209" t="inlineStr">
        <is>
          <t>WARN</t>
        </is>
      </c>
      <c r="C462" s="158" t="inlineStr">
        <is>
          <t>Pivot_Helpers</t>
        </is>
      </c>
      <c r="D462" s="210" t="inlineStr">
        <is>
          <t>I5</t>
        </is>
      </c>
      <c r="E462" s="211" t="inlineStr">
        <is>
          <t>String literal in formula</t>
        </is>
      </c>
      <c r="F462" s="211" t="inlineStr">
        <is>
          <t>String 'W2_SCorpOwner'. Formula: =SUMIFS(tblMaster_Inputs[Baseline_Amount], tblMaster_Inputs[Year], 2023, tblMast</t>
        </is>
      </c>
      <c r="G462" s="211" t="inlineStr">
        <is>
          <t>If enum (status/state/etc.), pull from Dropdown_Lists.</t>
        </is>
      </c>
    </row>
    <row r="463">
      <c r="B463" s="209" t="inlineStr">
        <is>
          <t>WARN</t>
        </is>
      </c>
      <c r="C463" s="158" t="inlineStr">
        <is>
          <t>Pivot_Helpers</t>
        </is>
      </c>
      <c r="D463" s="210" t="inlineStr">
        <is>
          <t>I6</t>
        </is>
      </c>
      <c r="E463" s="211" t="inlineStr">
        <is>
          <t>String literal in formula</t>
        </is>
      </c>
      <c r="F463" s="211" t="inlineStr">
        <is>
          <t>String 'W2_Employee'. Formula: =SUMIFS(tblMaster_Inputs[Baseline_Amount], tblMaster_Inputs[Year], 2023, tblMast</t>
        </is>
      </c>
      <c r="G463" s="211" t="inlineStr">
        <is>
          <t>If enum (status/state/etc.), pull from Dropdown_Lists.</t>
        </is>
      </c>
    </row>
    <row r="464">
      <c r="B464" s="209" t="inlineStr">
        <is>
          <t>WARN</t>
        </is>
      </c>
      <c r="C464" s="158" t="inlineStr">
        <is>
          <t>Pivot_Helpers</t>
        </is>
      </c>
      <c r="D464" s="210" t="inlineStr">
        <is>
          <t>I8</t>
        </is>
      </c>
      <c r="E464" s="211" t="inlineStr">
        <is>
          <t>String literal in formula</t>
        </is>
      </c>
      <c r="F464" s="211" t="inlineStr">
        <is>
          <t>String 'Business Income'. Formula: =SUMIFS(tblMaster_Inputs[Baseline_Amount], tblMaster_Inputs[Year], 2023, tblMast</t>
        </is>
      </c>
      <c r="G464" s="211" t="inlineStr">
        <is>
          <t>If enum (status/state/etc.), pull from Dropdown_Lists.</t>
        </is>
      </c>
    </row>
    <row r="465">
      <c r="B465" s="209" t="inlineStr">
        <is>
          <t>WARN</t>
        </is>
      </c>
      <c r="C465" s="158" t="inlineStr">
        <is>
          <t>Pivot_Helpers</t>
        </is>
      </c>
      <c r="D465" s="210" t="inlineStr">
        <is>
          <t>I9</t>
        </is>
      </c>
      <c r="E465" s="211" t="inlineStr">
        <is>
          <t>String literal in formula</t>
        </is>
      </c>
      <c r="F465" s="211" t="inlineStr">
        <is>
          <t>String 'Business Income'. Formula: =SUMIFS(tblMaster_Inputs[Baseline_Amount], tblMaster_Inputs[Year], 2023, tblMast</t>
        </is>
      </c>
      <c r="G465" s="211" t="inlineStr">
        <is>
          <t>If enum (status/state/etc.), pull from Dropdown_Lists.</t>
        </is>
      </c>
    </row>
    <row r="466">
      <c r="B466" s="209" t="inlineStr">
        <is>
          <t>WARN</t>
        </is>
      </c>
      <c r="C466" s="158" t="inlineStr">
        <is>
          <t>Pivot_Helpers</t>
        </is>
      </c>
      <c r="D466" s="210" t="inlineStr">
        <is>
          <t>J10</t>
        </is>
      </c>
      <c r="E466" s="211" t="inlineStr">
        <is>
          <t>String literal in formula</t>
        </is>
      </c>
      <c r="F466" s="211" t="inlineStr">
        <is>
          <t>String 'Business Income'. Formula: =SUMIFS(tblMaster_Inputs[Baseline_Amount], tblMaster_Inputs[Year], 2024, tblMast</t>
        </is>
      </c>
      <c r="G466" s="211" t="inlineStr">
        <is>
          <t>If enum (status/state/etc.), pull from Dropdown_Lists.</t>
        </is>
      </c>
    </row>
    <row r="467">
      <c r="B467" s="209" t="inlineStr">
        <is>
          <t>WARN</t>
        </is>
      </c>
      <c r="C467" s="158" t="inlineStr">
        <is>
          <t>Pivot_Helpers</t>
        </is>
      </c>
      <c r="D467" s="210" t="inlineStr">
        <is>
          <t>J11</t>
        </is>
      </c>
      <c r="E467" s="211" t="inlineStr">
        <is>
          <t>String literal in formula</t>
        </is>
      </c>
      <c r="F467" s="211" t="inlineStr">
        <is>
          <t>String 'TAX_EXEMPT'. Formula: =SUMIFS(tblMaster_Inputs[Helper_Amount], tblMaster_Inputs[Year], 2024, tblMaster</t>
        </is>
      </c>
      <c r="G467" s="211" t="inlineStr">
        <is>
          <t>If enum (status/state/etc.), pull from Dropdown_Lists.</t>
        </is>
      </c>
    </row>
    <row r="468">
      <c r="B468" s="209" t="inlineStr">
        <is>
          <t>WARN</t>
        </is>
      </c>
      <c r="C468" s="158" t="inlineStr">
        <is>
          <t>Pivot_Helpers</t>
        </is>
      </c>
      <c r="D468" s="210" t="inlineStr">
        <is>
          <t>J12</t>
        </is>
      </c>
      <c r="E468" s="211" t="inlineStr">
        <is>
          <t>String literal in formula</t>
        </is>
      </c>
      <c r="F468" s="211" t="inlineStr">
        <is>
          <t>String 'QUAL_DIV'. Formula: =SUMIFS(tblMaster_Inputs[Helper_Amount], tblMaster_Inputs[Year], 2024, tblMaster</t>
        </is>
      </c>
      <c r="G468" s="211" t="inlineStr">
        <is>
          <t>If enum (status/state/etc.), pull from Dropdown_Lists.</t>
        </is>
      </c>
    </row>
    <row r="469">
      <c r="B469" s="209" t="inlineStr">
        <is>
          <t>WARN</t>
        </is>
      </c>
      <c r="C469" s="158" t="inlineStr">
        <is>
          <t>Pivot_Helpers</t>
        </is>
      </c>
      <c r="D469" s="210" t="inlineStr">
        <is>
          <t>J13</t>
        </is>
      </c>
      <c r="E469" s="211" t="inlineStr">
        <is>
          <t>Hardcoded threshold</t>
        </is>
      </c>
      <c r="F469" s="211" t="inlineStr">
        <is>
          <t>Int 1250 embedded. Formula: =SUMIFS(tblMaster_Inputs[Baseline_Amount], tblMaster_Inputs[Year], 2024, tblMaster_Inputs[Treatment_</t>
        </is>
      </c>
      <c r="G469" s="211" t="inlineStr">
        <is>
          <t>Replace with named range or tblThresholds FILTER/XLOOKUP.</t>
        </is>
      </c>
    </row>
    <row r="470">
      <c r="B470" s="209" t="inlineStr">
        <is>
          <t>WARN</t>
        </is>
      </c>
      <c r="C470" s="158" t="inlineStr">
        <is>
          <t>Pivot_Helpers</t>
        </is>
      </c>
      <c r="D470" s="210" t="inlineStr">
        <is>
          <t>J13</t>
        </is>
      </c>
      <c r="E470" s="211" t="inlineStr">
        <is>
          <t>String literal in formula</t>
        </is>
      </c>
      <c r="F470" s="211" t="inlineStr">
        <is>
          <t>String 'LTCG_Stock'. Formula: =SUMIFS(tblMaster_Inputs[Baseline_Amount], tblMaster_Inputs[Year], 2024, tblMast</t>
        </is>
      </c>
      <c r="G470" s="211" t="inlineStr">
        <is>
          <t>If enum (status/state/etc.), pull from Dropdown_Lists.</t>
        </is>
      </c>
    </row>
    <row r="471">
      <c r="B471" s="209" t="inlineStr">
        <is>
          <t>WARN</t>
        </is>
      </c>
      <c r="C471" s="158" t="inlineStr">
        <is>
          <t>Pivot_Helpers</t>
        </is>
      </c>
      <c r="D471" s="210" t="inlineStr">
        <is>
          <t>J13</t>
        </is>
      </c>
      <c r="E471" s="211" t="inlineStr">
        <is>
          <t>String literal in formula</t>
        </is>
      </c>
      <c r="F471" s="211" t="inlineStr">
        <is>
          <t>String 'LTCG_RE'. Formula: =SUMIFS(tblMaster_Inputs[Baseline_Amount], tblMaster_Inputs[Year], 2024, tblMast</t>
        </is>
      </c>
      <c r="G471" s="211" t="inlineStr">
        <is>
          <t>If enum (status/state/etc.), pull from Dropdown_Lists.</t>
        </is>
      </c>
    </row>
    <row r="472">
      <c r="B472" s="209" t="inlineStr">
        <is>
          <t>WARN</t>
        </is>
      </c>
      <c r="C472" s="158" t="inlineStr">
        <is>
          <t>Pivot_Helpers</t>
        </is>
      </c>
      <c r="D472" s="210" t="inlineStr">
        <is>
          <t>J13</t>
        </is>
      </c>
      <c r="E472" s="211" t="inlineStr">
        <is>
          <t>String literal in formula</t>
        </is>
      </c>
      <c r="F472" s="211" t="inlineStr">
        <is>
          <t>String 'LTCG_K1_Passthrough'. Formula: =SUMIFS(tblMaster_Inputs[Baseline_Amount], tblMaster_Inputs[Year], 2024, tblMast</t>
        </is>
      </c>
      <c r="G472" s="211" t="inlineStr">
        <is>
          <t>If enum (status/state/etc.), pull from Dropdown_Lists.</t>
        </is>
      </c>
    </row>
    <row r="473">
      <c r="B473" s="209" t="inlineStr">
        <is>
          <t>WARN</t>
        </is>
      </c>
      <c r="C473" s="158" t="inlineStr">
        <is>
          <t>Pivot_Helpers</t>
        </is>
      </c>
      <c r="D473" s="210" t="inlineStr">
        <is>
          <t>J13</t>
        </is>
      </c>
      <c r="E473" s="211" t="inlineStr">
        <is>
          <t>String literal in formula</t>
        </is>
      </c>
      <c r="F473" s="211" t="inlineStr">
        <is>
          <t>String 'Sec1250_Recap'. Formula: =SUMIFS(tblMaster_Inputs[Baseline_Amount], tblMaster_Inputs[Year], 2024, tblMast</t>
        </is>
      </c>
      <c r="G473" s="211" t="inlineStr">
        <is>
          <t>If enum (status/state/etc.), pull from Dropdown_Lists.</t>
        </is>
      </c>
    </row>
    <row r="474">
      <c r="B474" s="209" t="inlineStr">
        <is>
          <t>WARN</t>
        </is>
      </c>
      <c r="C474" s="158" t="inlineStr">
        <is>
          <t>Pivot_Helpers</t>
        </is>
      </c>
      <c r="D474" s="210" t="inlineStr">
        <is>
          <t>J14</t>
        </is>
      </c>
      <c r="E474" s="211" t="inlineStr">
        <is>
          <t>String literal in formula</t>
        </is>
      </c>
      <c r="F474" s="211" t="inlineStr">
        <is>
          <t>String 'STCG_Stock'. Formula: =SUMIFS(tblMaster_Inputs[Baseline_Amount], tblMaster_Inputs[Year], 2024, tblMast</t>
        </is>
      </c>
      <c r="G474" s="211" t="inlineStr">
        <is>
          <t>If enum (status/state/etc.), pull from Dropdown_Lists.</t>
        </is>
      </c>
    </row>
    <row r="475">
      <c r="B475" s="209" t="inlineStr">
        <is>
          <t>WARN</t>
        </is>
      </c>
      <c r="C475" s="158" t="inlineStr">
        <is>
          <t>Pivot_Helpers</t>
        </is>
      </c>
      <c r="D475" s="210" t="inlineStr">
        <is>
          <t>J15</t>
        </is>
      </c>
      <c r="E475" s="211" t="inlineStr">
        <is>
          <t>String literal in formula</t>
        </is>
      </c>
      <c r="F475" s="211" t="inlineStr">
        <is>
          <t>String 'SEC1250'. Formula: =SUMIFS(tblMaster_Inputs[Helper_Amount], tblMaster_Inputs[Year], 2024, tblMaster</t>
        </is>
      </c>
      <c r="G475" s="211" t="inlineStr">
        <is>
          <t>If enum (status/state/etc.), pull from Dropdown_Lists.</t>
        </is>
      </c>
    </row>
    <row r="476">
      <c r="B476" s="209" t="inlineStr">
        <is>
          <t>WARN</t>
        </is>
      </c>
      <c r="C476" s="158" t="inlineStr">
        <is>
          <t>Pivot_Helpers</t>
        </is>
      </c>
      <c r="D476" s="210" t="inlineStr">
        <is>
          <t>J5</t>
        </is>
      </c>
      <c r="E476" s="211" t="inlineStr">
        <is>
          <t>String literal in formula</t>
        </is>
      </c>
      <c r="F476" s="211" t="inlineStr">
        <is>
          <t>String 'W2_SCorpOwner'. Formula: =SUMIFS(tblMaster_Inputs[Baseline_Amount], tblMaster_Inputs[Year], 2024, tblMast</t>
        </is>
      </c>
      <c r="G476" s="211" t="inlineStr">
        <is>
          <t>If enum (status/state/etc.), pull from Dropdown_Lists.</t>
        </is>
      </c>
    </row>
    <row r="477">
      <c r="B477" s="209" t="inlineStr">
        <is>
          <t>WARN</t>
        </is>
      </c>
      <c r="C477" s="158" t="inlineStr">
        <is>
          <t>Pivot_Helpers</t>
        </is>
      </c>
      <c r="D477" s="210" t="inlineStr">
        <is>
          <t>J6</t>
        </is>
      </c>
      <c r="E477" s="211" t="inlineStr">
        <is>
          <t>String literal in formula</t>
        </is>
      </c>
      <c r="F477" s="211" t="inlineStr">
        <is>
          <t>String 'W2_Employee'. Formula: =SUMIFS(tblMaster_Inputs[Baseline_Amount], tblMaster_Inputs[Year], 2024, tblMast</t>
        </is>
      </c>
      <c r="G477" s="211" t="inlineStr">
        <is>
          <t>If enum (status/state/etc.), pull from Dropdown_Lists.</t>
        </is>
      </c>
    </row>
    <row r="478">
      <c r="B478" s="209" t="inlineStr">
        <is>
          <t>WARN</t>
        </is>
      </c>
      <c r="C478" s="158" t="inlineStr">
        <is>
          <t>Pivot_Helpers</t>
        </is>
      </c>
      <c r="D478" s="210" t="inlineStr">
        <is>
          <t>J8</t>
        </is>
      </c>
      <c r="E478" s="211" t="inlineStr">
        <is>
          <t>String literal in formula</t>
        </is>
      </c>
      <c r="F478" s="211" t="inlineStr">
        <is>
          <t>String 'Business Income'. Formula: =SUMIFS(tblMaster_Inputs[Baseline_Amount], tblMaster_Inputs[Year], 2024, tblMast</t>
        </is>
      </c>
      <c r="G478" s="211" t="inlineStr">
        <is>
          <t>If enum (status/state/etc.), pull from Dropdown_Lists.</t>
        </is>
      </c>
    </row>
    <row r="479">
      <c r="B479" s="209" t="inlineStr">
        <is>
          <t>WARN</t>
        </is>
      </c>
      <c r="C479" s="158" t="inlineStr">
        <is>
          <t>Pivot_Helpers</t>
        </is>
      </c>
      <c r="D479" s="210" t="inlineStr">
        <is>
          <t>J9</t>
        </is>
      </c>
      <c r="E479" s="211" t="inlineStr">
        <is>
          <t>String literal in formula</t>
        </is>
      </c>
      <c r="F479" s="211" t="inlineStr">
        <is>
          <t>String 'Business Income'. Formula: =SUMIFS(tblMaster_Inputs[Baseline_Amount], tblMaster_Inputs[Year], 2024, tblMast</t>
        </is>
      </c>
      <c r="G479" s="211" t="inlineStr">
        <is>
          <t>If enum (status/state/etc.), pull from Dropdown_Lists.</t>
        </is>
      </c>
    </row>
    <row r="480">
      <c r="B480" s="209" t="inlineStr">
        <is>
          <t>WARN</t>
        </is>
      </c>
      <c r="C480" s="158" t="inlineStr">
        <is>
          <t>Pivot_Helpers</t>
        </is>
      </c>
      <c r="D480" s="210" t="inlineStr">
        <is>
          <t>K10</t>
        </is>
      </c>
      <c r="E480" s="211" t="inlineStr">
        <is>
          <t>String literal in formula</t>
        </is>
      </c>
      <c r="F480" s="211" t="inlineStr">
        <is>
          <t>String 'Business Income'. Formula: =SUMIFS(tblMaster_Inputs[Baseline_Amount], tblMaster_Inputs[Year], 2025, tblMast</t>
        </is>
      </c>
      <c r="G480" s="211" t="inlineStr">
        <is>
          <t>If enum (status/state/etc.), pull from Dropdown_Lists.</t>
        </is>
      </c>
    </row>
    <row r="481">
      <c r="B481" s="209" t="inlineStr">
        <is>
          <t>WARN</t>
        </is>
      </c>
      <c r="C481" s="158" t="inlineStr">
        <is>
          <t>Pivot_Helpers</t>
        </is>
      </c>
      <c r="D481" s="210" t="inlineStr">
        <is>
          <t>K11</t>
        </is>
      </c>
      <c r="E481" s="211" t="inlineStr">
        <is>
          <t>String literal in formula</t>
        </is>
      </c>
      <c r="F481" s="211" t="inlineStr">
        <is>
          <t>String 'TAX_EXEMPT'. Formula: =SUMIFS(tblMaster_Inputs[Helper_Amount], tblMaster_Inputs[Year], 2025, tblMaster</t>
        </is>
      </c>
      <c r="G481" s="211" t="inlineStr">
        <is>
          <t>If enum (status/state/etc.), pull from Dropdown_Lists.</t>
        </is>
      </c>
    </row>
    <row r="482">
      <c r="B482" s="209" t="inlineStr">
        <is>
          <t>WARN</t>
        </is>
      </c>
      <c r="C482" s="158" t="inlineStr">
        <is>
          <t>Pivot_Helpers</t>
        </is>
      </c>
      <c r="D482" s="210" t="inlineStr">
        <is>
          <t>K12</t>
        </is>
      </c>
      <c r="E482" s="211" t="inlineStr">
        <is>
          <t>String literal in formula</t>
        </is>
      </c>
      <c r="F482" s="211" t="inlineStr">
        <is>
          <t>String 'QUAL_DIV'. Formula: =SUMIFS(tblMaster_Inputs[Helper_Amount], tblMaster_Inputs[Year], 2025, tblMaster</t>
        </is>
      </c>
      <c r="G482" s="211" t="inlineStr">
        <is>
          <t>If enum (status/state/etc.), pull from Dropdown_Lists.</t>
        </is>
      </c>
    </row>
    <row r="483">
      <c r="B483" s="209" t="inlineStr">
        <is>
          <t>WARN</t>
        </is>
      </c>
      <c r="C483" s="158" t="inlineStr">
        <is>
          <t>Pivot_Helpers</t>
        </is>
      </c>
      <c r="D483" s="210" t="inlineStr">
        <is>
          <t>K13</t>
        </is>
      </c>
      <c r="E483" s="211" t="inlineStr">
        <is>
          <t>Hardcoded threshold</t>
        </is>
      </c>
      <c r="F483" s="211" t="inlineStr">
        <is>
          <t>Int 1250 embedded. Formula: =SUMIFS(tblMaster_Inputs[Baseline_Amount], tblMaster_Inputs[Year], 2025, tblMaster_Inputs[Treatment_</t>
        </is>
      </c>
      <c r="G483" s="211" t="inlineStr">
        <is>
          <t>Replace with named range or tblThresholds FILTER/XLOOKUP.</t>
        </is>
      </c>
    </row>
    <row r="484">
      <c r="B484" s="209" t="inlineStr">
        <is>
          <t>WARN</t>
        </is>
      </c>
      <c r="C484" s="158" t="inlineStr">
        <is>
          <t>Pivot_Helpers</t>
        </is>
      </c>
      <c r="D484" s="210" t="inlineStr">
        <is>
          <t>K13</t>
        </is>
      </c>
      <c r="E484" s="211" t="inlineStr">
        <is>
          <t>String literal in formula</t>
        </is>
      </c>
      <c r="F484" s="211" t="inlineStr">
        <is>
          <t>String 'LTCG_Stock'. Formula: =SUMIFS(tblMaster_Inputs[Baseline_Amount], tblMaster_Inputs[Year], 2025, tblMast</t>
        </is>
      </c>
      <c r="G484" s="211" t="inlineStr">
        <is>
          <t>If enum (status/state/etc.), pull from Dropdown_Lists.</t>
        </is>
      </c>
    </row>
    <row r="485">
      <c r="B485" s="209" t="inlineStr">
        <is>
          <t>WARN</t>
        </is>
      </c>
      <c r="C485" s="158" t="inlineStr">
        <is>
          <t>Pivot_Helpers</t>
        </is>
      </c>
      <c r="D485" s="210" t="inlineStr">
        <is>
          <t>K13</t>
        </is>
      </c>
      <c r="E485" s="211" t="inlineStr">
        <is>
          <t>String literal in formula</t>
        </is>
      </c>
      <c r="F485" s="211" t="inlineStr">
        <is>
          <t>String 'LTCG_RE'. Formula: =SUMIFS(tblMaster_Inputs[Baseline_Amount], tblMaster_Inputs[Year], 2025, tblMast</t>
        </is>
      </c>
      <c r="G485" s="211" t="inlineStr">
        <is>
          <t>If enum (status/state/etc.), pull from Dropdown_Lists.</t>
        </is>
      </c>
    </row>
    <row r="486">
      <c r="B486" s="209" t="inlineStr">
        <is>
          <t>WARN</t>
        </is>
      </c>
      <c r="C486" s="158" t="inlineStr">
        <is>
          <t>Pivot_Helpers</t>
        </is>
      </c>
      <c r="D486" s="210" t="inlineStr">
        <is>
          <t>K13</t>
        </is>
      </c>
      <c r="E486" s="211" t="inlineStr">
        <is>
          <t>String literal in formula</t>
        </is>
      </c>
      <c r="F486" s="211" t="inlineStr">
        <is>
          <t>String 'LTCG_K1_Passthrough'. Formula: =SUMIFS(tblMaster_Inputs[Baseline_Amount], tblMaster_Inputs[Year], 2025, tblMast</t>
        </is>
      </c>
      <c r="G486" s="211" t="inlineStr">
        <is>
          <t>If enum (status/state/etc.), pull from Dropdown_Lists.</t>
        </is>
      </c>
    </row>
    <row r="487">
      <c r="B487" s="209" t="inlineStr">
        <is>
          <t>WARN</t>
        </is>
      </c>
      <c r="C487" s="158" t="inlineStr">
        <is>
          <t>Pivot_Helpers</t>
        </is>
      </c>
      <c r="D487" s="210" t="inlineStr">
        <is>
          <t>K13</t>
        </is>
      </c>
      <c r="E487" s="211" t="inlineStr">
        <is>
          <t>String literal in formula</t>
        </is>
      </c>
      <c r="F487" s="211" t="inlineStr">
        <is>
          <t>String 'Sec1250_Recap'. Formula: =SUMIFS(tblMaster_Inputs[Baseline_Amount], tblMaster_Inputs[Year], 2025, tblMast</t>
        </is>
      </c>
      <c r="G487" s="211" t="inlineStr">
        <is>
          <t>If enum (status/state/etc.), pull from Dropdown_Lists.</t>
        </is>
      </c>
    </row>
    <row r="488">
      <c r="B488" s="209" t="inlineStr">
        <is>
          <t>WARN</t>
        </is>
      </c>
      <c r="C488" s="158" t="inlineStr">
        <is>
          <t>Pivot_Helpers</t>
        </is>
      </c>
      <c r="D488" s="210" t="inlineStr">
        <is>
          <t>K14</t>
        </is>
      </c>
      <c r="E488" s="211" t="inlineStr">
        <is>
          <t>String literal in formula</t>
        </is>
      </c>
      <c r="F488" s="211" t="inlineStr">
        <is>
          <t>String 'STCG_Stock'. Formula: =SUMIFS(tblMaster_Inputs[Baseline_Amount], tblMaster_Inputs[Year], 2025, tblMast</t>
        </is>
      </c>
      <c r="G488" s="211" t="inlineStr">
        <is>
          <t>If enum (status/state/etc.), pull from Dropdown_Lists.</t>
        </is>
      </c>
    </row>
    <row r="489">
      <c r="B489" s="209" t="inlineStr">
        <is>
          <t>WARN</t>
        </is>
      </c>
      <c r="C489" s="158" t="inlineStr">
        <is>
          <t>Pivot_Helpers</t>
        </is>
      </c>
      <c r="D489" s="210" t="inlineStr">
        <is>
          <t>K15</t>
        </is>
      </c>
      <c r="E489" s="211" t="inlineStr">
        <is>
          <t>String literal in formula</t>
        </is>
      </c>
      <c r="F489" s="211" t="inlineStr">
        <is>
          <t>String 'SEC1250'. Formula: =SUMIFS(tblMaster_Inputs[Helper_Amount], tblMaster_Inputs[Year], 2025, tblMaster</t>
        </is>
      </c>
      <c r="G489" s="211" t="inlineStr">
        <is>
          <t>If enum (status/state/etc.), pull from Dropdown_Lists.</t>
        </is>
      </c>
    </row>
    <row r="490">
      <c r="B490" s="209" t="inlineStr">
        <is>
          <t>WARN</t>
        </is>
      </c>
      <c r="C490" s="158" t="inlineStr">
        <is>
          <t>Pivot_Helpers</t>
        </is>
      </c>
      <c r="D490" s="210" t="inlineStr">
        <is>
          <t>K5</t>
        </is>
      </c>
      <c r="E490" s="211" t="inlineStr">
        <is>
          <t>String literal in formula</t>
        </is>
      </c>
      <c r="F490" s="211" t="inlineStr">
        <is>
          <t>String 'W2_SCorpOwner'. Formula: =SUMIFS(tblMaster_Inputs[Baseline_Amount], tblMaster_Inputs[Year], 2025, tblMast</t>
        </is>
      </c>
      <c r="G490" s="211" t="inlineStr">
        <is>
          <t>If enum (status/state/etc.), pull from Dropdown_Lists.</t>
        </is>
      </c>
    </row>
    <row r="491">
      <c r="B491" s="209" t="inlineStr">
        <is>
          <t>WARN</t>
        </is>
      </c>
      <c r="C491" s="158" t="inlineStr">
        <is>
          <t>Pivot_Helpers</t>
        </is>
      </c>
      <c r="D491" s="210" t="inlineStr">
        <is>
          <t>K6</t>
        </is>
      </c>
      <c r="E491" s="211" t="inlineStr">
        <is>
          <t>String literal in formula</t>
        </is>
      </c>
      <c r="F491" s="211" t="inlineStr">
        <is>
          <t>String 'W2_Employee'. Formula: =SUMIFS(tblMaster_Inputs[Baseline_Amount], tblMaster_Inputs[Year], 2025, tblMast</t>
        </is>
      </c>
      <c r="G491" s="211" t="inlineStr">
        <is>
          <t>If enum (status/state/etc.), pull from Dropdown_Lists.</t>
        </is>
      </c>
    </row>
    <row r="492">
      <c r="B492" s="209" t="inlineStr">
        <is>
          <t>WARN</t>
        </is>
      </c>
      <c r="C492" s="158" t="inlineStr">
        <is>
          <t>Pivot_Helpers</t>
        </is>
      </c>
      <c r="D492" s="210" t="inlineStr">
        <is>
          <t>K8</t>
        </is>
      </c>
      <c r="E492" s="211" t="inlineStr">
        <is>
          <t>String literal in formula</t>
        </is>
      </c>
      <c r="F492" s="211" t="inlineStr">
        <is>
          <t>String 'Business Income'. Formula: =SUMIFS(tblMaster_Inputs[Baseline_Amount], tblMaster_Inputs[Year], 2025, tblMast</t>
        </is>
      </c>
      <c r="G492" s="211" t="inlineStr">
        <is>
          <t>If enum (status/state/etc.), pull from Dropdown_Lists.</t>
        </is>
      </c>
    </row>
    <row r="493">
      <c r="B493" s="209" t="inlineStr">
        <is>
          <t>WARN</t>
        </is>
      </c>
      <c r="C493" s="158" t="inlineStr">
        <is>
          <t>Pivot_Helpers</t>
        </is>
      </c>
      <c r="D493" s="210" t="inlineStr">
        <is>
          <t>K9</t>
        </is>
      </c>
      <c r="E493" s="211" t="inlineStr">
        <is>
          <t>String literal in formula</t>
        </is>
      </c>
      <c r="F493" s="211" t="inlineStr">
        <is>
          <t>String 'Business Income'. Formula: =SUMIFS(tblMaster_Inputs[Baseline_Amount], tblMaster_Inputs[Year], 2025, tblMast</t>
        </is>
      </c>
      <c r="G493" s="211" t="inlineStr">
        <is>
          <t>If enum (status/state/etc.), pull from Dropdown_Lists.</t>
        </is>
      </c>
    </row>
    <row r="494">
      <c r="B494" s="209" t="inlineStr">
        <is>
          <t>WARN</t>
        </is>
      </c>
      <c r="C494" s="158" t="inlineStr">
        <is>
          <t>Pivot_Helpers</t>
        </is>
      </c>
      <c r="D494" s="210" t="inlineStr">
        <is>
          <t>L10</t>
        </is>
      </c>
      <c r="E494" s="211" t="inlineStr">
        <is>
          <t>String literal in formula</t>
        </is>
      </c>
      <c r="F494" s="211" t="inlineStr">
        <is>
          <t>String 'Business Income'. Formula: =SUMIFS(tblMaster_Inputs[Baseline_Amount], tblMaster_Inputs[Year], 2026, tblMast</t>
        </is>
      </c>
      <c r="G494" s="211" t="inlineStr">
        <is>
          <t>If enum (status/state/etc.), pull from Dropdown_Lists.</t>
        </is>
      </c>
    </row>
    <row r="495">
      <c r="B495" s="209" t="inlineStr">
        <is>
          <t>WARN</t>
        </is>
      </c>
      <c r="C495" s="158" t="inlineStr">
        <is>
          <t>Pivot_Helpers</t>
        </is>
      </c>
      <c r="D495" s="210" t="inlineStr">
        <is>
          <t>L11</t>
        </is>
      </c>
      <c r="E495" s="211" t="inlineStr">
        <is>
          <t>String literal in formula</t>
        </is>
      </c>
      <c r="F495" s="211" t="inlineStr">
        <is>
          <t>String 'TAX_EXEMPT'. Formula: =SUMIFS(tblMaster_Inputs[Helper_Amount], tblMaster_Inputs[Year], 2026, tblMaster</t>
        </is>
      </c>
      <c r="G495" s="211" t="inlineStr">
        <is>
          <t>If enum (status/state/etc.), pull from Dropdown_Lists.</t>
        </is>
      </c>
    </row>
    <row r="496">
      <c r="B496" s="209" t="inlineStr">
        <is>
          <t>WARN</t>
        </is>
      </c>
      <c r="C496" s="158" t="inlineStr">
        <is>
          <t>Pivot_Helpers</t>
        </is>
      </c>
      <c r="D496" s="210" t="inlineStr">
        <is>
          <t>L12</t>
        </is>
      </c>
      <c r="E496" s="211" t="inlineStr">
        <is>
          <t>String literal in formula</t>
        </is>
      </c>
      <c r="F496" s="211" t="inlineStr">
        <is>
          <t>String 'QUAL_DIV'. Formula: =SUMIFS(tblMaster_Inputs[Helper_Amount], tblMaster_Inputs[Year], 2026, tblMaster</t>
        </is>
      </c>
      <c r="G496" s="211" t="inlineStr">
        <is>
          <t>If enum (status/state/etc.), pull from Dropdown_Lists.</t>
        </is>
      </c>
    </row>
    <row r="497">
      <c r="B497" s="209" t="inlineStr">
        <is>
          <t>WARN</t>
        </is>
      </c>
      <c r="C497" s="158" t="inlineStr">
        <is>
          <t>Pivot_Helpers</t>
        </is>
      </c>
      <c r="D497" s="210" t="inlineStr">
        <is>
          <t>L13</t>
        </is>
      </c>
      <c r="E497" s="211" t="inlineStr">
        <is>
          <t>Hardcoded threshold</t>
        </is>
      </c>
      <c r="F497" s="211" t="inlineStr">
        <is>
          <t>Int 1250 embedded. Formula: =SUMIFS(tblMaster_Inputs[Baseline_Amount], tblMaster_Inputs[Year], 2026, tblMaster_Inputs[Treatment_</t>
        </is>
      </c>
      <c r="G497" s="211" t="inlineStr">
        <is>
          <t>Replace with named range or tblThresholds FILTER/XLOOKUP.</t>
        </is>
      </c>
    </row>
    <row r="498">
      <c r="B498" s="209" t="inlineStr">
        <is>
          <t>WARN</t>
        </is>
      </c>
      <c r="C498" s="158" t="inlineStr">
        <is>
          <t>Pivot_Helpers</t>
        </is>
      </c>
      <c r="D498" s="210" t="inlineStr">
        <is>
          <t>L13</t>
        </is>
      </c>
      <c r="E498" s="211" t="inlineStr">
        <is>
          <t>String literal in formula</t>
        </is>
      </c>
      <c r="F498" s="211" t="inlineStr">
        <is>
          <t>String 'LTCG_Stock'. Formula: =SUMIFS(tblMaster_Inputs[Baseline_Amount], tblMaster_Inputs[Year], 2026, tblMast</t>
        </is>
      </c>
      <c r="G498" s="211" t="inlineStr">
        <is>
          <t>If enum (status/state/etc.), pull from Dropdown_Lists.</t>
        </is>
      </c>
    </row>
    <row r="499">
      <c r="B499" s="209" t="inlineStr">
        <is>
          <t>WARN</t>
        </is>
      </c>
      <c r="C499" s="158" t="inlineStr">
        <is>
          <t>Pivot_Helpers</t>
        </is>
      </c>
      <c r="D499" s="210" t="inlineStr">
        <is>
          <t>L13</t>
        </is>
      </c>
      <c r="E499" s="211" t="inlineStr">
        <is>
          <t>String literal in formula</t>
        </is>
      </c>
      <c r="F499" s="211" t="inlineStr">
        <is>
          <t>String 'LTCG_RE'. Formula: =SUMIFS(tblMaster_Inputs[Baseline_Amount], tblMaster_Inputs[Year], 2026, tblMast</t>
        </is>
      </c>
      <c r="G499" s="211" t="inlineStr">
        <is>
          <t>If enum (status/state/etc.), pull from Dropdown_Lists.</t>
        </is>
      </c>
    </row>
    <row r="500">
      <c r="B500" s="209" t="inlineStr">
        <is>
          <t>WARN</t>
        </is>
      </c>
      <c r="C500" s="158" t="inlineStr">
        <is>
          <t>Pivot_Helpers</t>
        </is>
      </c>
      <c r="D500" s="210" t="inlineStr">
        <is>
          <t>L13</t>
        </is>
      </c>
      <c r="E500" s="211" t="inlineStr">
        <is>
          <t>String literal in formula</t>
        </is>
      </c>
      <c r="F500" s="211" t="inlineStr">
        <is>
          <t>String 'LTCG_K1_Passthrough'. Formula: =SUMIFS(tblMaster_Inputs[Baseline_Amount], tblMaster_Inputs[Year], 2026, tblMast</t>
        </is>
      </c>
      <c r="G500" s="211" t="inlineStr">
        <is>
          <t>If enum (status/state/etc.), pull from Dropdown_Lists.</t>
        </is>
      </c>
    </row>
    <row r="501">
      <c r="B501" s="209" t="inlineStr">
        <is>
          <t>WARN</t>
        </is>
      </c>
      <c r="C501" s="158" t="inlineStr">
        <is>
          <t>Pivot_Helpers</t>
        </is>
      </c>
      <c r="D501" s="210" t="inlineStr">
        <is>
          <t>L13</t>
        </is>
      </c>
      <c r="E501" s="211" t="inlineStr">
        <is>
          <t>String literal in formula</t>
        </is>
      </c>
      <c r="F501" s="211" t="inlineStr">
        <is>
          <t>String 'Sec1250_Recap'. Formula: =SUMIFS(tblMaster_Inputs[Baseline_Amount], tblMaster_Inputs[Year], 2026, tblMast</t>
        </is>
      </c>
      <c r="G501" s="211" t="inlineStr">
        <is>
          <t>If enum (status/state/etc.), pull from Dropdown_Lists.</t>
        </is>
      </c>
    </row>
    <row r="502">
      <c r="B502" s="209" t="inlineStr">
        <is>
          <t>WARN</t>
        </is>
      </c>
      <c r="C502" s="158" t="inlineStr">
        <is>
          <t>Pivot_Helpers</t>
        </is>
      </c>
      <c r="D502" s="210" t="inlineStr">
        <is>
          <t>L14</t>
        </is>
      </c>
      <c r="E502" s="211" t="inlineStr">
        <is>
          <t>String literal in formula</t>
        </is>
      </c>
      <c r="F502" s="211" t="inlineStr">
        <is>
          <t>String 'STCG_Stock'. Formula: =SUMIFS(tblMaster_Inputs[Baseline_Amount], tblMaster_Inputs[Year], 2026, tblMast</t>
        </is>
      </c>
      <c r="G502" s="211" t="inlineStr">
        <is>
          <t>If enum (status/state/etc.), pull from Dropdown_Lists.</t>
        </is>
      </c>
    </row>
    <row r="503">
      <c r="B503" s="209" t="inlineStr">
        <is>
          <t>WARN</t>
        </is>
      </c>
      <c r="C503" s="158" t="inlineStr">
        <is>
          <t>Pivot_Helpers</t>
        </is>
      </c>
      <c r="D503" s="210" t="inlineStr">
        <is>
          <t>L15</t>
        </is>
      </c>
      <c r="E503" s="211" t="inlineStr">
        <is>
          <t>String literal in formula</t>
        </is>
      </c>
      <c r="F503" s="211" t="inlineStr">
        <is>
          <t>String 'SEC1250'. Formula: =SUMIFS(tblMaster_Inputs[Helper_Amount], tblMaster_Inputs[Year], 2026, tblMaster</t>
        </is>
      </c>
      <c r="G503" s="211" t="inlineStr">
        <is>
          <t>If enum (status/state/etc.), pull from Dropdown_Lists.</t>
        </is>
      </c>
    </row>
    <row r="504">
      <c r="B504" s="209" t="inlineStr">
        <is>
          <t>WARN</t>
        </is>
      </c>
      <c r="C504" s="158" t="inlineStr">
        <is>
          <t>Pivot_Helpers</t>
        </is>
      </c>
      <c r="D504" s="210" t="inlineStr">
        <is>
          <t>L5</t>
        </is>
      </c>
      <c r="E504" s="211" t="inlineStr">
        <is>
          <t>String literal in formula</t>
        </is>
      </c>
      <c r="F504" s="211" t="inlineStr">
        <is>
          <t>String 'W2_SCorpOwner'. Formula: =SUMIFS(tblMaster_Inputs[Baseline_Amount], tblMaster_Inputs[Year], 2026, tblMast</t>
        </is>
      </c>
      <c r="G504" s="211" t="inlineStr">
        <is>
          <t>If enum (status/state/etc.), pull from Dropdown_Lists.</t>
        </is>
      </c>
    </row>
    <row r="505">
      <c r="B505" s="209" t="inlineStr">
        <is>
          <t>WARN</t>
        </is>
      </c>
      <c r="C505" s="158" t="inlineStr">
        <is>
          <t>Pivot_Helpers</t>
        </is>
      </c>
      <c r="D505" s="210" t="inlineStr">
        <is>
          <t>L6</t>
        </is>
      </c>
      <c r="E505" s="211" t="inlineStr">
        <is>
          <t>String literal in formula</t>
        </is>
      </c>
      <c r="F505" s="211" t="inlineStr">
        <is>
          <t>String 'W2_Employee'. Formula: =SUMIFS(tblMaster_Inputs[Baseline_Amount], tblMaster_Inputs[Year], 2026, tblMast</t>
        </is>
      </c>
      <c r="G505" s="211" t="inlineStr">
        <is>
          <t>If enum (status/state/etc.), pull from Dropdown_Lists.</t>
        </is>
      </c>
    </row>
    <row r="506">
      <c r="B506" s="209" t="inlineStr">
        <is>
          <t>WARN</t>
        </is>
      </c>
      <c r="C506" s="158" t="inlineStr">
        <is>
          <t>Pivot_Helpers</t>
        </is>
      </c>
      <c r="D506" s="210" t="inlineStr">
        <is>
          <t>L8</t>
        </is>
      </c>
      <c r="E506" s="211" t="inlineStr">
        <is>
          <t>String literal in formula</t>
        </is>
      </c>
      <c r="F506" s="211" t="inlineStr">
        <is>
          <t>String 'Business Income'. Formula: =SUMIFS(tblMaster_Inputs[Baseline_Amount], tblMaster_Inputs[Year], 2026, tblMast</t>
        </is>
      </c>
      <c r="G506" s="211" t="inlineStr">
        <is>
          <t>If enum (status/state/etc.), pull from Dropdown_Lists.</t>
        </is>
      </c>
    </row>
    <row r="507">
      <c r="B507" s="209" t="inlineStr">
        <is>
          <t>WARN</t>
        </is>
      </c>
      <c r="C507" s="158" t="inlineStr">
        <is>
          <t>Pivot_Helpers</t>
        </is>
      </c>
      <c r="D507" s="210" t="inlineStr">
        <is>
          <t>L9</t>
        </is>
      </c>
      <c r="E507" s="211" t="inlineStr">
        <is>
          <t>String literal in formula</t>
        </is>
      </c>
      <c r="F507" s="211" t="inlineStr">
        <is>
          <t>String 'Business Income'. Formula: =SUMIFS(tblMaster_Inputs[Baseline_Amount], tblMaster_Inputs[Year], 2026, tblMast</t>
        </is>
      </c>
      <c r="G507" s="211" t="inlineStr">
        <is>
          <t>If enum (status/state/etc.), pull from Dropdown_Lists.</t>
        </is>
      </c>
    </row>
    <row r="508">
      <c r="B508" s="209" t="inlineStr">
        <is>
          <t>WARN</t>
        </is>
      </c>
      <c r="C508" s="158" t="inlineStr">
        <is>
          <t>Pivot_Helpers</t>
        </is>
      </c>
      <c r="D508" s="210" t="inlineStr">
        <is>
          <t>M10</t>
        </is>
      </c>
      <c r="E508" s="211" t="inlineStr">
        <is>
          <t>String literal in formula</t>
        </is>
      </c>
      <c r="F508" s="211" t="inlineStr">
        <is>
          <t>String 'Business Income'. Formula: =SUMIFS(tblMaster_Inputs[Baseline_Amount], tblMaster_Inputs[Year], 2027, tblMast</t>
        </is>
      </c>
      <c r="G508" s="211" t="inlineStr">
        <is>
          <t>If enum (status/state/etc.), pull from Dropdown_Lists.</t>
        </is>
      </c>
    </row>
    <row r="509">
      <c r="B509" s="209" t="inlineStr">
        <is>
          <t>WARN</t>
        </is>
      </c>
      <c r="C509" s="158" t="inlineStr">
        <is>
          <t>Pivot_Helpers</t>
        </is>
      </c>
      <c r="D509" s="210" t="inlineStr">
        <is>
          <t>M11</t>
        </is>
      </c>
      <c r="E509" s="211" t="inlineStr">
        <is>
          <t>String literal in formula</t>
        </is>
      </c>
      <c r="F509" s="211" t="inlineStr">
        <is>
          <t>String 'TAX_EXEMPT'. Formula: =SUMIFS(tblMaster_Inputs[Helper_Amount], tblMaster_Inputs[Year], 2027, tblMaster</t>
        </is>
      </c>
      <c r="G509" s="211" t="inlineStr">
        <is>
          <t>If enum (status/state/etc.), pull from Dropdown_Lists.</t>
        </is>
      </c>
    </row>
    <row r="510">
      <c r="B510" s="209" t="inlineStr">
        <is>
          <t>WARN</t>
        </is>
      </c>
      <c r="C510" s="158" t="inlineStr">
        <is>
          <t>Pivot_Helpers</t>
        </is>
      </c>
      <c r="D510" s="210" t="inlineStr">
        <is>
          <t>M12</t>
        </is>
      </c>
      <c r="E510" s="211" t="inlineStr">
        <is>
          <t>String literal in formula</t>
        </is>
      </c>
      <c r="F510" s="211" t="inlineStr">
        <is>
          <t>String 'QUAL_DIV'. Formula: =SUMIFS(tblMaster_Inputs[Helper_Amount], tblMaster_Inputs[Year], 2027, tblMaster</t>
        </is>
      </c>
      <c r="G510" s="211" t="inlineStr">
        <is>
          <t>If enum (status/state/etc.), pull from Dropdown_Lists.</t>
        </is>
      </c>
    </row>
    <row r="511">
      <c r="B511" s="209" t="inlineStr">
        <is>
          <t>WARN</t>
        </is>
      </c>
      <c r="C511" s="158" t="inlineStr">
        <is>
          <t>Pivot_Helpers</t>
        </is>
      </c>
      <c r="D511" s="210" t="inlineStr">
        <is>
          <t>M13</t>
        </is>
      </c>
      <c r="E511" s="211" t="inlineStr">
        <is>
          <t>Hardcoded threshold</t>
        </is>
      </c>
      <c r="F511" s="211" t="inlineStr">
        <is>
          <t>Int 1250 embedded. Formula: =SUMIFS(tblMaster_Inputs[Baseline_Amount], tblMaster_Inputs[Year], 2027, tblMaster_Inputs[Treatment_</t>
        </is>
      </c>
      <c r="G511" s="211" t="inlineStr">
        <is>
          <t>Replace with named range or tblThresholds FILTER/XLOOKUP.</t>
        </is>
      </c>
    </row>
    <row r="512">
      <c r="B512" s="209" t="inlineStr">
        <is>
          <t>WARN</t>
        </is>
      </c>
      <c r="C512" s="158" t="inlineStr">
        <is>
          <t>Pivot_Helpers</t>
        </is>
      </c>
      <c r="D512" s="210" t="inlineStr">
        <is>
          <t>M13</t>
        </is>
      </c>
      <c r="E512" s="211" t="inlineStr">
        <is>
          <t>String literal in formula</t>
        </is>
      </c>
      <c r="F512" s="211" t="inlineStr">
        <is>
          <t>String 'LTCG_Stock'. Formula: =SUMIFS(tblMaster_Inputs[Baseline_Amount], tblMaster_Inputs[Year], 2027, tblMast</t>
        </is>
      </c>
      <c r="G512" s="211" t="inlineStr">
        <is>
          <t>If enum (status/state/etc.), pull from Dropdown_Lists.</t>
        </is>
      </c>
    </row>
    <row r="513">
      <c r="B513" s="209" t="inlineStr">
        <is>
          <t>WARN</t>
        </is>
      </c>
      <c r="C513" s="158" t="inlineStr">
        <is>
          <t>Pivot_Helpers</t>
        </is>
      </c>
      <c r="D513" s="210" t="inlineStr">
        <is>
          <t>M13</t>
        </is>
      </c>
      <c r="E513" s="211" t="inlineStr">
        <is>
          <t>String literal in formula</t>
        </is>
      </c>
      <c r="F513" s="211" t="inlineStr">
        <is>
          <t>String 'LTCG_RE'. Formula: =SUMIFS(tblMaster_Inputs[Baseline_Amount], tblMaster_Inputs[Year], 2027, tblMast</t>
        </is>
      </c>
      <c r="G513" s="211" t="inlineStr">
        <is>
          <t>If enum (status/state/etc.), pull from Dropdown_Lists.</t>
        </is>
      </c>
    </row>
    <row r="514">
      <c r="B514" s="209" t="inlineStr">
        <is>
          <t>WARN</t>
        </is>
      </c>
      <c r="C514" s="158" t="inlineStr">
        <is>
          <t>Pivot_Helpers</t>
        </is>
      </c>
      <c r="D514" s="210" t="inlineStr">
        <is>
          <t>M13</t>
        </is>
      </c>
      <c r="E514" s="211" t="inlineStr">
        <is>
          <t>String literal in formula</t>
        </is>
      </c>
      <c r="F514" s="211" t="inlineStr">
        <is>
          <t>String 'LTCG_K1_Passthrough'. Formula: =SUMIFS(tblMaster_Inputs[Baseline_Amount], tblMaster_Inputs[Year], 2027, tblMast</t>
        </is>
      </c>
      <c r="G514" s="211" t="inlineStr">
        <is>
          <t>If enum (status/state/etc.), pull from Dropdown_Lists.</t>
        </is>
      </c>
    </row>
    <row r="515">
      <c r="B515" s="209" t="inlineStr">
        <is>
          <t>WARN</t>
        </is>
      </c>
      <c r="C515" s="158" t="inlineStr">
        <is>
          <t>Pivot_Helpers</t>
        </is>
      </c>
      <c r="D515" s="210" t="inlineStr">
        <is>
          <t>M13</t>
        </is>
      </c>
      <c r="E515" s="211" t="inlineStr">
        <is>
          <t>String literal in formula</t>
        </is>
      </c>
      <c r="F515" s="211" t="inlineStr">
        <is>
          <t>String 'Sec1250_Recap'. Formula: =SUMIFS(tblMaster_Inputs[Baseline_Amount], tblMaster_Inputs[Year], 2027, tblMast</t>
        </is>
      </c>
      <c r="G515" s="211" t="inlineStr">
        <is>
          <t>If enum (status/state/etc.), pull from Dropdown_Lists.</t>
        </is>
      </c>
    </row>
    <row r="516">
      <c r="B516" s="209" t="inlineStr">
        <is>
          <t>WARN</t>
        </is>
      </c>
      <c r="C516" s="158" t="inlineStr">
        <is>
          <t>Pivot_Helpers</t>
        </is>
      </c>
      <c r="D516" s="210" t="inlineStr">
        <is>
          <t>M14</t>
        </is>
      </c>
      <c r="E516" s="211" t="inlineStr">
        <is>
          <t>String literal in formula</t>
        </is>
      </c>
      <c r="F516" s="211" t="inlineStr">
        <is>
          <t>String 'STCG_Stock'. Formula: =SUMIFS(tblMaster_Inputs[Baseline_Amount], tblMaster_Inputs[Year], 2027, tblMast</t>
        </is>
      </c>
      <c r="G516" s="211" t="inlineStr">
        <is>
          <t>If enum (status/state/etc.), pull from Dropdown_Lists.</t>
        </is>
      </c>
    </row>
    <row r="517">
      <c r="B517" s="209" t="inlineStr">
        <is>
          <t>WARN</t>
        </is>
      </c>
      <c r="C517" s="158" t="inlineStr">
        <is>
          <t>Pivot_Helpers</t>
        </is>
      </c>
      <c r="D517" s="210" t="inlineStr">
        <is>
          <t>M15</t>
        </is>
      </c>
      <c r="E517" s="211" t="inlineStr">
        <is>
          <t>String literal in formula</t>
        </is>
      </c>
      <c r="F517" s="211" t="inlineStr">
        <is>
          <t>String 'SEC1250'. Formula: =SUMIFS(tblMaster_Inputs[Helper_Amount], tblMaster_Inputs[Year], 2027, tblMaster</t>
        </is>
      </c>
      <c r="G517" s="211" t="inlineStr">
        <is>
          <t>If enum (status/state/etc.), pull from Dropdown_Lists.</t>
        </is>
      </c>
    </row>
    <row r="518">
      <c r="B518" s="209" t="inlineStr">
        <is>
          <t>WARN</t>
        </is>
      </c>
      <c r="C518" s="158" t="inlineStr">
        <is>
          <t>Pivot_Helpers</t>
        </is>
      </c>
      <c r="D518" s="210" t="inlineStr">
        <is>
          <t>M5</t>
        </is>
      </c>
      <c r="E518" s="211" t="inlineStr">
        <is>
          <t>String literal in formula</t>
        </is>
      </c>
      <c r="F518" s="211" t="inlineStr">
        <is>
          <t>String 'W2_SCorpOwner'. Formula: =SUMIFS(tblMaster_Inputs[Baseline_Amount], tblMaster_Inputs[Year], 2027, tblMast</t>
        </is>
      </c>
      <c r="G518" s="211" t="inlineStr">
        <is>
          <t>If enum (status/state/etc.), pull from Dropdown_Lists.</t>
        </is>
      </c>
    </row>
    <row r="519">
      <c r="B519" s="209" t="inlineStr">
        <is>
          <t>WARN</t>
        </is>
      </c>
      <c r="C519" s="158" t="inlineStr">
        <is>
          <t>Pivot_Helpers</t>
        </is>
      </c>
      <c r="D519" s="210" t="inlineStr">
        <is>
          <t>M6</t>
        </is>
      </c>
      <c r="E519" s="211" t="inlineStr">
        <is>
          <t>String literal in formula</t>
        </is>
      </c>
      <c r="F519" s="211" t="inlineStr">
        <is>
          <t>String 'W2_Employee'. Formula: =SUMIFS(tblMaster_Inputs[Baseline_Amount], tblMaster_Inputs[Year], 2027, tblMast</t>
        </is>
      </c>
      <c r="G519" s="211" t="inlineStr">
        <is>
          <t>If enum (status/state/etc.), pull from Dropdown_Lists.</t>
        </is>
      </c>
    </row>
    <row r="520">
      <c r="B520" s="209" t="inlineStr">
        <is>
          <t>WARN</t>
        </is>
      </c>
      <c r="C520" s="158" t="inlineStr">
        <is>
          <t>Pivot_Helpers</t>
        </is>
      </c>
      <c r="D520" s="210" t="inlineStr">
        <is>
          <t>M8</t>
        </is>
      </c>
      <c r="E520" s="211" t="inlineStr">
        <is>
          <t>String literal in formula</t>
        </is>
      </c>
      <c r="F520" s="211" t="inlineStr">
        <is>
          <t>String 'Business Income'. Formula: =SUMIFS(tblMaster_Inputs[Baseline_Amount], tblMaster_Inputs[Year], 2027, tblMast</t>
        </is>
      </c>
      <c r="G520" s="211" t="inlineStr">
        <is>
          <t>If enum (status/state/etc.), pull from Dropdown_Lists.</t>
        </is>
      </c>
    </row>
    <row r="521">
      <c r="B521" s="209" t="inlineStr">
        <is>
          <t>WARN</t>
        </is>
      </c>
      <c r="C521" s="158" t="inlineStr">
        <is>
          <t>Pivot_Helpers</t>
        </is>
      </c>
      <c r="D521" s="210" t="inlineStr">
        <is>
          <t>M9</t>
        </is>
      </c>
      <c r="E521" s="211" t="inlineStr">
        <is>
          <t>String literal in formula</t>
        </is>
      </c>
      <c r="F521" s="211" t="inlineStr">
        <is>
          <t>String 'Business Income'. Formula: =SUMIFS(tblMaster_Inputs[Baseline_Amount], tblMaster_Inputs[Year], 2027, tblMast</t>
        </is>
      </c>
      <c r="G521" s="211" t="inlineStr">
        <is>
          <t>If enum (status/state/etc.), pull from Dropdown_Lists.</t>
        </is>
      </c>
    </row>
    <row r="522">
      <c r="B522" s="209" t="inlineStr">
        <is>
          <t>WARN</t>
        </is>
      </c>
      <c r="C522" s="158" t="inlineStr">
        <is>
          <t>Pivot_Helpers</t>
        </is>
      </c>
      <c r="D522" s="210" t="inlineStr">
        <is>
          <t>N10</t>
        </is>
      </c>
      <c r="E522" s="211" t="inlineStr">
        <is>
          <t>String literal in formula</t>
        </is>
      </c>
      <c r="F522" s="211" t="inlineStr">
        <is>
          <t>String 'Business Income'. Formula: =SUMIFS(tblMaster_Inputs[Baseline_Amount], tblMaster_Inputs[Year], 2028, tblMast</t>
        </is>
      </c>
      <c r="G522" s="211" t="inlineStr">
        <is>
          <t>If enum (status/state/etc.), pull from Dropdown_Lists.</t>
        </is>
      </c>
    </row>
    <row r="523">
      <c r="B523" s="137" t="inlineStr">
        <is>
          <t>… 976 more findings truncated.</t>
        </is>
      </c>
    </row>
  </sheetData>
  <mergeCells count="4">
    <mergeCell ref="B523:G523"/>
    <mergeCell ref="B20:G20"/>
    <mergeCell ref="B13:F13"/>
    <mergeCell ref="B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28B22"/>
    <outlinePr summaryBelow="1" summaryRight="1"/>
    <pageSetUpPr/>
  </sheetPr>
  <dimension ref="A1:V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  <col width="14" customWidth="1" style="99" min="20" max="20"/>
    <col width="20" customWidth="1" style="99" min="21" max="21"/>
    <col width="12" customWidth="1" style="99" min="22" max="22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  <c r="T4" s="145" t="inlineStr">
        <is>
          <t>Primary_State</t>
        </is>
      </c>
      <c r="U4" s="145" t="inlineStr">
        <is>
          <t>State_Mix</t>
        </is>
      </c>
      <c r="V4" s="145" t="inlineStr">
        <is>
          <t>PTET_Routed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  <c r="T5" s="191">
        <f>Control_Panel!$C$16</f>
        <v/>
      </c>
      <c r="U5" s="191" t="n"/>
      <c r="V5" s="191" t="inlineStr">
        <is>
          <t>No</t>
        </is>
      </c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  <c r="T6" s="191">
        <f>Control_Panel!$C$16</f>
        <v/>
      </c>
      <c r="U6" s="191" t="n"/>
      <c r="V6" s="191" t="inlineStr">
        <is>
          <t>No</t>
        </is>
      </c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  <c r="T7" s="191">
        <f>Control_Panel!$C$16</f>
        <v/>
      </c>
      <c r="U7" s="191" t="n"/>
      <c r="V7" s="191" t="inlineStr">
        <is>
          <t>No</t>
        </is>
      </c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  <c r="T8" s="191">
        <f>Control_Panel!$C$16</f>
        <v/>
      </c>
      <c r="U8" s="191" t="n"/>
      <c r="V8" s="191" t="inlineStr">
        <is>
          <t>No</t>
        </is>
      </c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  <c r="T9" s="191">
        <f>Control_Panel!$C$16</f>
        <v/>
      </c>
      <c r="U9" s="191" t="n"/>
      <c r="V9" s="191" t="inlineStr">
        <is>
          <t>No</t>
        </is>
      </c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  <c r="T10" s="191">
        <f>Control_Panel!$C$16</f>
        <v/>
      </c>
      <c r="U10" s="191" t="n"/>
      <c r="V10" s="191" t="inlineStr">
        <is>
          <t>No</t>
        </is>
      </c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  <c r="T11" s="191">
        <f>Control_Panel!$C$16</f>
        <v/>
      </c>
      <c r="U11" s="191" t="n"/>
      <c r="V11" s="191" t="inlineStr">
        <is>
          <t>No</t>
        </is>
      </c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  <c r="T12" s="191">
        <f>Control_Panel!$C$16</f>
        <v/>
      </c>
      <c r="U12" s="191" t="n"/>
      <c r="V12" s="191" t="inlineStr">
        <is>
          <t>No</t>
        </is>
      </c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  <c r="T13" s="191">
        <f>Control_Panel!$C$16</f>
        <v/>
      </c>
      <c r="U13" s="191" t="n"/>
      <c r="V13" s="191" t="inlineStr">
        <is>
          <t>No</t>
        </is>
      </c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  <c r="T14" s="191">
        <f>Control_Panel!$C$16</f>
        <v/>
      </c>
      <c r="U14" s="191" t="n"/>
      <c r="V14" s="191" t="inlineStr">
        <is>
          <t>No</t>
        </is>
      </c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  <c r="T15" s="191">
        <f>Control_Panel!$C$16</f>
        <v/>
      </c>
      <c r="U15" s="191" t="n"/>
      <c r="V15" s="191" t="inlineStr">
        <is>
          <t>No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  <c r="T16" s="191">
        <f>Control_Panel!$C$16</f>
        <v/>
      </c>
      <c r="U16" s="191" t="n"/>
      <c r="V16" s="191" t="inlineStr">
        <is>
          <t>No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  <c r="T17" s="191">
        <f>Control_Panel!$C$16</f>
        <v/>
      </c>
      <c r="U17" s="191" t="n"/>
      <c r="V17" s="191" t="inlineStr">
        <is>
          <t>No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  <c r="T18" s="191">
        <f>Control_Panel!$C$16</f>
        <v/>
      </c>
      <c r="U18" s="191" t="n"/>
      <c r="V18" s="191" t="inlineStr">
        <is>
          <t>No</t>
        </is>
      </c>
    </row>
  </sheetData>
  <dataValidations count="12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  <dataValidation sqref="T5:T503" showDropDown="0" showInputMessage="0" showErrorMessage="0" allowBlank="1" type="list">
      <formula1>=States</formula1>
    </dataValidation>
    <dataValidation sqref="V5:V503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FFC000"/>
    <outlinePr summaryBelow="1" summaryRight="1"/>
    <pageSetUpPr/>
  </sheetPr>
  <dimension ref="A1:K53"/>
  <sheetViews>
    <sheetView showGridLines="0" workbookViewId="0">
      <selection activeCell="I17" sqref="I17"/>
    </sheetView>
  </sheetViews>
  <sheetFormatPr baseColWidth="8" defaultRowHeight="14.5"/>
  <cols>
    <col width="2" customWidth="1" style="99" min="1" max="1"/>
    <col width="30" customWidth="1" style="99" min="2" max="2"/>
    <col width="16" customWidth="1" style="99" min="3" max="3"/>
    <col width="16" customWidth="1" style="99" min="4" max="4"/>
    <col width="16" customWidth="1" style="99" min="5" max="5"/>
    <col width="3" customWidth="1" style="99" min="6" max="6"/>
    <col width="10" customWidth="1" style="99" min="7" max="7"/>
    <col width="26" customWidth="1" style="99" min="8" max="8"/>
    <col width="14" customWidth="1" style="99" min="9" max="9"/>
    <col width="14" customWidth="1" style="99" min="10" max="10"/>
    <col width="16" customWidth="1" style="99" min="11" max="11"/>
  </cols>
  <sheetData>
    <row r="1">
      <c r="A1" s="139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</row>
    <row r="2" ht="26" customHeight="1" s="99">
      <c r="A2" s="139" t="n"/>
      <c r="B2" s="140" t="inlineStr">
        <is>
          <t>TAX PLAN DASHBOARD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</row>
    <row r="3">
      <c r="A3" s="139" t="n"/>
      <c r="B3" s="141" t="inlineStr">
        <is>
          <t>Pick any year from the dropdown below — the entire dashboard updates. Type =Active_Year in C4 to sync with Control_Panel.</t>
        </is>
      </c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</row>
    <row r="4" ht="15.5" customHeight="1" s="99">
      <c r="A4" s="139" t="n"/>
      <c r="B4" s="142" t="inlineStr">
        <is>
          <t>Year:</t>
        </is>
      </c>
      <c r="C4" s="155" t="n">
        <v>2025</v>
      </c>
      <c r="D4" s="156" t="inlineStr">
        <is>
          <t>(Active_Year on Control_Panel:</t>
        </is>
      </c>
      <c r="E4" s="157">
        <f>Active_Year</f>
        <v/>
      </c>
      <c r="F4" s="139" t="n"/>
      <c r="G4" s="139" t="n"/>
      <c r="H4" s="139" t="n"/>
      <c r="I4" s="139" t="n"/>
      <c r="J4" s="139" t="n"/>
      <c r="K4" s="139" t="n"/>
    </row>
    <row r="5" ht="15" customHeight="1" s="99" thickBo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</row>
    <row r="6" ht="22" customHeight="1" s="99">
      <c r="A6" s="139" t="n"/>
      <c r="B6" s="144" t="inlineStr">
        <is>
          <t>▸ BOX 1 — THE HEADLINE</t>
        </is>
      </c>
      <c r="F6" s="139" t="n"/>
      <c r="G6" s="144" t="inlineStr">
        <is>
          <t>▸ BOX 2 — STRATEGY-BY-STRATEGY MARGINAL SAVINGS</t>
        </is>
      </c>
    </row>
    <row r="7" ht="15.5" customHeight="1" s="99">
      <c r="A7" s="139" t="n"/>
      <c r="B7" s="145" t="inlineStr">
        <is>
          <t>Metric</t>
        </is>
      </c>
      <c r="C7" s="145" t="inlineStr">
        <is>
          <t>Without Planning</t>
        </is>
      </c>
      <c r="D7" s="145" t="inlineStr">
        <is>
          <t>With Planning</t>
        </is>
      </c>
      <c r="E7" s="145" t="inlineStr">
        <is>
          <t>Δ Savings</t>
        </is>
      </c>
      <c r="F7" s="139" t="n"/>
      <c r="G7" s="145" t="inlineStr">
        <is>
          <t>#</t>
        </is>
      </c>
      <c r="H7" s="145" t="inlineStr">
        <is>
          <t>Strategy</t>
        </is>
      </c>
      <c r="I7" s="145" t="inlineStr">
        <is>
          <t>Status</t>
        </is>
      </c>
      <c r="J7" s="145" t="inlineStr">
        <is>
          <t>Amount</t>
        </is>
      </c>
      <c r="K7" s="145" t="inlineStr">
        <is>
          <t>Marginal Δ</t>
        </is>
      </c>
    </row>
    <row r="8" ht="15.5" customHeight="1" s="99">
      <c r="A8" s="139" t="n"/>
      <c r="B8" s="146" t="inlineStr">
        <is>
          <t>Total Income</t>
        </is>
      </c>
      <c r="C8" s="147">
        <f>INDIRECT("Y"&amp;$C$4&amp;"!J125")</f>
        <v/>
      </c>
      <c r="D8" s="147">
        <f>INDIRECT("Y"&amp;$C$4&amp;"!K125")</f>
        <v/>
      </c>
      <c r="E8" s="147">
        <f>C8-D8</f>
        <v/>
      </c>
      <c r="F8" s="139" t="n"/>
      <c r="G8" s="146" t="inlineStr">
        <is>
          <t>#1</t>
        </is>
      </c>
      <c r="H8" s="146">
        <f>INDIRECT("Y"&amp;$C$4&amp;"!B6")</f>
        <v/>
      </c>
      <c r="I8" s="146">
        <f>INDIRECT("Y"&amp;$C$4&amp;"!E6")</f>
        <v/>
      </c>
      <c r="J8" s="147">
        <f>IFERROR(INDIRECT("Y"&amp;$C$4&amp;"!D6"),0)</f>
        <v/>
      </c>
      <c r="K8" s="147">
        <f>IF(OR(I8="Committed",I8="Implemented"),fn_StrategyMarginal(INDIRECT("Y"&amp;$C$4&amp;"!C6"),J8,INDIRECT("Y"&amp;$C$4&amp;"!G6"),$C$4,Filing_Status,INDIRECT("Y"&amp;$C$4&amp;"!$K$94")),0)</f>
        <v/>
      </c>
    </row>
    <row r="9" ht="15.5" customHeight="1" s="99">
      <c r="A9" s="139" t="n"/>
      <c r="B9" s="146" t="inlineStr">
        <is>
          <t>Taxable Income</t>
        </is>
      </c>
      <c r="C9" s="147">
        <f>INDIRECT("Y"&amp;$C$4&amp;"!J94")</f>
        <v/>
      </c>
      <c r="D9" s="147">
        <f>INDIRECT("Y"&amp;$C$4&amp;"!K94")</f>
        <v/>
      </c>
      <c r="E9" s="147">
        <f>C9-D9</f>
        <v/>
      </c>
      <c r="F9" s="139" t="n"/>
      <c r="G9" s="146" t="inlineStr">
        <is>
          <t>#2</t>
        </is>
      </c>
      <c r="H9" s="146">
        <f>INDIRECT("Y"&amp;$C$4&amp;"!B7")</f>
        <v/>
      </c>
      <c r="I9" s="146">
        <f>INDIRECT("Y"&amp;$C$4&amp;"!E7")</f>
        <v/>
      </c>
      <c r="J9" s="147">
        <f>IFERROR(INDIRECT("Y"&amp;$C$4&amp;"!D7"),0)</f>
        <v/>
      </c>
      <c r="K9" s="147">
        <f>IF(OR(I9="Committed",I9="Implemented"),fn_StrategyMarginal(INDIRECT("Y"&amp;$C$4&amp;"!C7"),J9,INDIRECT("Y"&amp;$C$4&amp;"!G7"),$C$4,Filing_Status,INDIRECT("Y"&amp;$C$4&amp;"!$K$94")),0)</f>
        <v/>
      </c>
    </row>
    <row r="10" ht="15.5" customHeight="1" s="99">
      <c r="A10" s="139" t="n"/>
      <c r="B10" s="146" t="inlineStr">
        <is>
          <t>Federal Income Tax</t>
        </is>
      </c>
      <c r="C10" s="147">
        <f>INDIRECT("Y"&amp;$C$4&amp;"!J97")+INDIRECT("Y"&amp;$C$4&amp;"!J107")</f>
        <v/>
      </c>
      <c r="D10" s="147">
        <f>INDIRECT("Y"&amp;$C$4&amp;"!K97")+INDIRECT("Y"&amp;$C$4&amp;"!K107")</f>
        <v/>
      </c>
      <c r="E10" s="147">
        <f>C10-D10</f>
        <v/>
      </c>
      <c r="F10" s="139" t="n"/>
      <c r="G10" s="146" t="inlineStr">
        <is>
          <t>#3</t>
        </is>
      </c>
      <c r="H10" s="146">
        <f>INDIRECT("Y"&amp;$C$4&amp;"!B8")</f>
        <v/>
      </c>
      <c r="I10" s="146">
        <f>INDIRECT("Y"&amp;$C$4&amp;"!E8")</f>
        <v/>
      </c>
      <c r="J10" s="147">
        <f>IFERROR(INDIRECT("Y"&amp;$C$4&amp;"!D8"),0)</f>
        <v/>
      </c>
      <c r="K10" s="147">
        <f>IF(OR(I10="Committed",I10="Implemented"),fn_StrategyMarginal(INDIRECT("Y"&amp;$C$4&amp;"!C8"),J10,INDIRECT("Y"&amp;$C$4&amp;"!G8"),$C$4,Filing_Status,INDIRECT("Y"&amp;$C$4&amp;"!$K$94")),0)</f>
        <v/>
      </c>
    </row>
    <row r="11" ht="15.5" customHeight="1" s="99">
      <c r="A11" s="139" t="n"/>
      <c r="B11" s="146" t="inlineStr">
        <is>
          <t>Payroll &amp; SE Taxes</t>
        </is>
      </c>
      <c r="C11" s="147">
        <f>INDIRECT("Y"&amp;$C$4&amp;"!J80")+INDIRECT("Y"&amp;$C$4&amp;"!J91")</f>
        <v/>
      </c>
      <c r="D11" s="147">
        <f>INDIRECT("Y"&amp;$C$4&amp;"!K80")+INDIRECT("Y"&amp;$C$4&amp;"!K91")</f>
        <v/>
      </c>
      <c r="E11" s="147">
        <f>C11-D11</f>
        <v/>
      </c>
      <c r="F11" s="139" t="n"/>
      <c r="G11" s="146" t="inlineStr">
        <is>
          <t>#4</t>
        </is>
      </c>
      <c r="H11" s="146">
        <f>INDIRECT("Y"&amp;$C$4&amp;"!B9")</f>
        <v/>
      </c>
      <c r="I11" s="146">
        <f>INDIRECT("Y"&amp;$C$4&amp;"!E9")</f>
        <v/>
      </c>
      <c r="J11" s="147">
        <f>IFERROR(INDIRECT("Y"&amp;$C$4&amp;"!D9"),0)</f>
        <v/>
      </c>
      <c r="K11" s="147">
        <f>IF(OR(I11="Committed",I11="Implemented"),fn_StrategyMarginal(INDIRECT("Y"&amp;$C$4&amp;"!C9"),J11,INDIRECT("Y"&amp;$C$4&amp;"!G9"),$C$4,Filing_Status,INDIRECT("Y"&amp;$C$4&amp;"!$K$94")),0)</f>
        <v/>
      </c>
    </row>
    <row r="12" ht="15.5" customHeight="1" s="99">
      <c r="A12" s="139" t="n"/>
      <c r="B12" s="146" t="inlineStr">
        <is>
          <t>NIIT</t>
        </is>
      </c>
      <c r="C12" s="147">
        <f>INDIRECT("Y"&amp;$C$4&amp;"!J114")</f>
        <v/>
      </c>
      <c r="D12" s="147">
        <f>INDIRECT("Y"&amp;$C$4&amp;"!K114")</f>
        <v/>
      </c>
      <c r="E12" s="147">
        <f>C12-D12</f>
        <v/>
      </c>
      <c r="F12" s="139" t="n"/>
      <c r="G12" s="146" t="inlineStr">
        <is>
          <t>#5</t>
        </is>
      </c>
      <c r="H12" s="146">
        <f>INDIRECT("Y"&amp;$C$4&amp;"!B10")</f>
        <v/>
      </c>
      <c r="I12" s="146">
        <f>INDIRECT("Y"&amp;$C$4&amp;"!E10")</f>
        <v/>
      </c>
      <c r="J12" s="147">
        <f>IFERROR(INDIRECT("Y"&amp;$C$4&amp;"!D10"),0)</f>
        <v/>
      </c>
      <c r="K12" s="147">
        <f>IF(OR(I12="Committed",I12="Implemented"),fn_StrategyMarginal(INDIRECT("Y"&amp;$C$4&amp;"!C10"),J12,INDIRECT("Y"&amp;$C$4&amp;"!G10"),$C$4,Filing_Status,INDIRECT("Y"&amp;$C$4&amp;"!$K$94")),0)</f>
        <v/>
      </c>
    </row>
    <row r="13" ht="15.5" customHeight="1" s="99">
      <c r="A13" s="139" t="n"/>
      <c r="B13" s="146" t="inlineStr">
        <is>
          <t>Total Tax</t>
        </is>
      </c>
      <c r="C13" s="147">
        <f>INDIRECT("Y"&amp;$C$4&amp;"!J133")</f>
        <v/>
      </c>
      <c r="D13" s="147">
        <f>INDIRECT("Y"&amp;$C$4&amp;"!K133")</f>
        <v/>
      </c>
      <c r="E13" s="147">
        <f>C13-D13</f>
        <v/>
      </c>
      <c r="F13" s="139" t="n"/>
      <c r="G13" s="146" t="inlineStr">
        <is>
          <t>#6</t>
        </is>
      </c>
      <c r="H13" s="146">
        <f>INDIRECT("Y"&amp;$C$4&amp;"!B11")</f>
        <v/>
      </c>
      <c r="I13" s="146">
        <f>INDIRECT("Y"&amp;$C$4&amp;"!E11")</f>
        <v/>
      </c>
      <c r="J13" s="147">
        <f>IFERROR(INDIRECT("Y"&amp;$C$4&amp;"!D11"),0)</f>
        <v/>
      </c>
      <c r="K13" s="147">
        <f>IF(OR(I13="Committed",I13="Implemented"),fn_StrategyMarginal(INDIRECT("Y"&amp;$C$4&amp;"!C11"),J13,INDIRECT("Y"&amp;$C$4&amp;"!G11"),$C$4,Filing_Status,INDIRECT("Y"&amp;$C$4&amp;"!$K$94")),0)</f>
        <v/>
      </c>
    </row>
    <row r="14">
      <c r="A14" s="139" t="n"/>
      <c r="B14" s="146" t="inlineStr">
        <is>
          <t>Effective Rate</t>
        </is>
      </c>
      <c r="C14" s="148">
        <f>INDIRECT("Y"&amp;$C$4&amp;"!J134")</f>
        <v/>
      </c>
      <c r="D14" s="148">
        <f>INDIRECT("Y"&amp;$C$4&amp;"!K134")</f>
        <v/>
      </c>
      <c r="E14" s="148">
        <f>C14-D14</f>
        <v/>
      </c>
      <c r="F14" s="139" t="n"/>
      <c r="G14" s="146" t="inlineStr">
        <is>
          <t>#7</t>
        </is>
      </c>
      <c r="H14" s="146">
        <f>INDIRECT("Y"&amp;$C$4&amp;"!B12")</f>
        <v/>
      </c>
      <c r="I14" s="146">
        <f>INDIRECT("Y"&amp;$C$4&amp;"!E12")</f>
        <v/>
      </c>
      <c r="J14" s="147">
        <f>IFERROR(INDIRECT("Y"&amp;$C$4&amp;"!D12"),0)</f>
        <v/>
      </c>
      <c r="K14" s="147">
        <f>IF(OR(I14="Committed",I14="Implemented"),fn_StrategyMarginal(INDIRECT("Y"&amp;$C$4&amp;"!C12"),J14,INDIRECT("Y"&amp;$C$4&amp;"!G12"),$C$4,Filing_Status,INDIRECT("Y"&amp;$C$4&amp;"!$K$94")),0)</f>
        <v/>
      </c>
    </row>
    <row r="15" ht="15" customHeight="1" s="99" thickBot="1">
      <c r="A15" s="139" t="n"/>
      <c r="B15" s="146" t="inlineStr">
        <is>
          <t>After-Tax Cash</t>
        </is>
      </c>
      <c r="C15" s="147">
        <f>C8-C13</f>
        <v/>
      </c>
      <c r="D15" s="147">
        <f>D8-D13</f>
        <v/>
      </c>
      <c r="E15" s="147">
        <f>D15-C15</f>
        <v/>
      </c>
      <c r="F15" s="139" t="n"/>
      <c r="G15" s="146" t="inlineStr">
        <is>
          <t>#8</t>
        </is>
      </c>
      <c r="H15" s="146">
        <f>INDIRECT("Y"&amp;$C$4&amp;"!B13")</f>
        <v/>
      </c>
      <c r="I15" s="146">
        <f>INDIRECT("Y"&amp;$C$4&amp;"!E13")</f>
        <v/>
      </c>
      <c r="J15" s="147">
        <f>IFERROR(INDIRECT("Y"&amp;$C$4&amp;"!D13"),0)</f>
        <v/>
      </c>
      <c r="K15" s="147">
        <f>IF(OR(I15="Committed",I15="Implemented"),fn_StrategyMarginal(INDIRECT("Y"&amp;$C$4&amp;"!C13"),J15,INDIRECT("Y"&amp;$C$4&amp;"!G13"),$C$4,Filing_Status,INDIRECT("Y"&amp;$C$4&amp;"!$K$94")),0)</f>
        <v/>
      </c>
    </row>
    <row r="16" ht="15.5" customHeight="1" s="99">
      <c r="A16" s="139" t="n"/>
      <c r="B16" s="139" t="n"/>
      <c r="C16" s="139" t="n"/>
      <c r="D16" s="139" t="n"/>
      <c r="E16" s="139" t="n"/>
      <c r="F16" s="139" t="n"/>
      <c r="G16" s="146" t="inlineStr">
        <is>
          <t>#9</t>
        </is>
      </c>
      <c r="H16" s="146">
        <f>INDIRECT("Y"&amp;$C$4&amp;"!B14")</f>
        <v/>
      </c>
      <c r="I16" s="146">
        <f>INDIRECT("Y"&amp;$C$4&amp;"!E14")</f>
        <v/>
      </c>
      <c r="J16" s="147">
        <f>IFERROR(INDIRECT("Y"&amp;$C$4&amp;"!D14"),0)</f>
        <v/>
      </c>
      <c r="K16" s="147">
        <f>IF(OR(I16="Committed",I16="Implemented"),fn_StrategyMarginal(INDIRECT("Y"&amp;$C$4&amp;"!C14"),J16,INDIRECT("Y"&amp;$C$4&amp;"!G14"),$C$4,Filing_Status,INDIRECT("Y"&amp;$C$4&amp;"!$K$94")),0)</f>
        <v/>
      </c>
    </row>
    <row r="17" ht="22" customHeight="1" s="99">
      <c r="A17" s="139" t="n"/>
      <c r="B17" s="144" t="inlineStr">
        <is>
          <t>▸ BOX 3 — TAX PLAN EXECUTION</t>
        </is>
      </c>
      <c r="F17" s="139" t="n"/>
      <c r="G17" s="146" t="inlineStr">
        <is>
          <t>#10</t>
        </is>
      </c>
      <c r="H17" s="146">
        <f>INDIRECT("Y"&amp;$C$4&amp;"!B15")</f>
        <v/>
      </c>
      <c r="I17" s="146">
        <f>INDIRECT("Y"&amp;$C$4&amp;"!E15")</f>
        <v/>
      </c>
      <c r="J17" s="147">
        <f>IFERROR(INDIRECT("Y"&amp;$C$4&amp;"!D15"),0)</f>
        <v/>
      </c>
      <c r="K17" s="147">
        <f>IF(OR(I17="Committed",I17="Implemented"),fn_StrategyMarginal(INDIRECT("Y"&amp;$C$4&amp;"!C15"),J17,INDIRECT("Y"&amp;$C$4&amp;"!G15"),$C$4,Filing_Status,INDIRECT("Y"&amp;$C$4&amp;"!$K$94")),0)</f>
        <v/>
      </c>
    </row>
    <row r="18" ht="15.5" customHeight="1" s="99">
      <c r="A18" s="139" t="n"/>
      <c r="B18" s="145" t="inlineStr">
        <is>
          <t>Metric</t>
        </is>
      </c>
      <c r="C18" s="145" t="inlineStr">
        <is>
          <t>Without</t>
        </is>
      </c>
      <c r="D18" s="145" t="inlineStr">
        <is>
          <t>With</t>
        </is>
      </c>
      <c r="E18" s="145" t="inlineStr">
        <is>
          <t>Δ</t>
        </is>
      </c>
      <c r="F18" s="139" t="n"/>
      <c r="G18" s="146" t="inlineStr">
        <is>
          <t>#11</t>
        </is>
      </c>
      <c r="H18" s="146">
        <f>INDIRECT("Y"&amp;$C$4&amp;"!B16")</f>
        <v/>
      </c>
      <c r="I18" s="146">
        <f>INDIRECT("Y"&amp;$C$4&amp;"!E16")</f>
        <v/>
      </c>
      <c r="J18" s="147">
        <f>IFERROR(INDIRECT("Y"&amp;$C$4&amp;"!D16"),0)</f>
        <v/>
      </c>
      <c r="K18" s="147">
        <f>IF(OR(I18="Committed",I18="Implemented"),fn_StrategyMarginal(INDIRECT("Y"&amp;$C$4&amp;"!C16"),J18,INDIRECT("Y"&amp;$C$4&amp;"!G16"),$C$4,Filing_Status,INDIRECT("Y"&amp;$C$4&amp;"!$K$94")),0)</f>
        <v/>
      </c>
    </row>
    <row r="19" ht="15.5" customHeight="1" s="99">
      <c r="A19" s="139" t="n"/>
      <c r="B19" s="146" t="inlineStr">
        <is>
          <t>Federal Income Tax</t>
        </is>
      </c>
      <c r="C19" s="147">
        <f>C10</f>
        <v/>
      </c>
      <c r="D19" s="147">
        <f>D10</f>
        <v/>
      </c>
      <c r="E19" s="147">
        <f>C19-D19</f>
        <v/>
      </c>
      <c r="F19" s="139" t="n"/>
      <c r="G19" s="146" t="inlineStr">
        <is>
          <t>#12</t>
        </is>
      </c>
      <c r="H19" s="146">
        <f>INDIRECT("Y"&amp;$C$4&amp;"!B17")</f>
        <v/>
      </c>
      <c r="I19" s="146">
        <f>INDIRECT("Y"&amp;$C$4&amp;"!E17")</f>
        <v/>
      </c>
      <c r="J19" s="147">
        <f>IFERROR(INDIRECT("Y"&amp;$C$4&amp;"!D17"),0)</f>
        <v/>
      </c>
      <c r="K19" s="147">
        <f>IF(OR(I19="Committed",I19="Implemented"),fn_StrategyMarginal(INDIRECT("Y"&amp;$C$4&amp;"!C17"),J19,INDIRECT("Y"&amp;$C$4&amp;"!G17"),$C$4,Filing_Status,INDIRECT("Y"&amp;$C$4&amp;"!$K$94")),0)</f>
        <v/>
      </c>
    </row>
    <row r="20">
      <c r="A20" s="139" t="n"/>
      <c r="B20" s="146" t="inlineStr">
        <is>
          <t>Total Tax (all components)</t>
        </is>
      </c>
      <c r="C20" s="147">
        <f>C13</f>
        <v/>
      </c>
      <c r="D20" s="147">
        <f>D13</f>
        <v/>
      </c>
      <c r="E20" s="147">
        <f>C20-D20</f>
        <v/>
      </c>
      <c r="F20" s="139" t="n"/>
      <c r="G20" s="146" t="inlineStr">
        <is>
          <t>#13</t>
        </is>
      </c>
      <c r="H20" s="146">
        <f>INDIRECT("Y"&amp;$C$4&amp;"!B18")</f>
        <v/>
      </c>
      <c r="I20" s="146">
        <f>INDIRECT("Y"&amp;$C$4&amp;"!E18")</f>
        <v/>
      </c>
      <c r="J20" s="147">
        <f>IFERROR(INDIRECT("Y"&amp;$C$4&amp;"!D18"),0)</f>
        <v/>
      </c>
      <c r="K20" s="147">
        <f>IF(OR(I20="Committed",I20="Implemented"),fn_StrategyMarginal(INDIRECT("Y"&amp;$C$4&amp;"!C18"),J20,INDIRECT("Y"&amp;$C$4&amp;"!G18"),$C$4,Filing_Status,INDIRECT("Y"&amp;$C$4&amp;"!$K$94")),0)</f>
        <v/>
      </c>
    </row>
    <row r="21">
      <c r="A21" s="139" t="n"/>
      <c r="B21" s="146" t="inlineStr">
        <is>
          <t>Effective Rate</t>
        </is>
      </c>
      <c r="C21" s="148">
        <f>C14</f>
        <v/>
      </c>
      <c r="D21" s="148">
        <f>D14</f>
        <v/>
      </c>
      <c r="E21" s="148">
        <f>C21-D21</f>
        <v/>
      </c>
      <c r="F21" s="139" t="n"/>
      <c r="G21" s="146" t="inlineStr">
        <is>
          <t>#14</t>
        </is>
      </c>
      <c r="H21" s="146">
        <f>INDIRECT("Y"&amp;$C$4&amp;"!B19")</f>
        <v/>
      </c>
      <c r="I21" s="146">
        <f>INDIRECT("Y"&amp;$C$4&amp;"!E19")</f>
        <v/>
      </c>
      <c r="J21" s="147">
        <f>IFERROR(INDIRECT("Y"&amp;$C$4&amp;"!D19"),0)</f>
        <v/>
      </c>
      <c r="K21" s="147">
        <f>IF(OR(I21="Committed",I21="Implemented"),fn_StrategyMarginal(INDIRECT("Y"&amp;$C$4&amp;"!C19"),J21,INDIRECT("Y"&amp;$C$4&amp;"!G19"),$C$4,Filing_Status,INDIRECT("Y"&amp;$C$4&amp;"!$K$94")),0)</f>
        <v/>
      </c>
    </row>
    <row r="22">
      <c r="A22" s="139" t="n"/>
      <c r="B22" s="149" t="inlineStr">
        <is>
          <t>TOTAL TAX SAVED</t>
        </is>
      </c>
      <c r="C22" s="139" t="n"/>
      <c r="D22" s="139" t="n"/>
      <c r="E22" s="150">
        <f>E20</f>
        <v/>
      </c>
      <c r="F22" s="139" t="n"/>
      <c r="G22" s="146" t="inlineStr">
        <is>
          <t>#15</t>
        </is>
      </c>
      <c r="H22" s="146">
        <f>INDIRECT("Y"&amp;$C$4&amp;"!B20")</f>
        <v/>
      </c>
      <c r="I22" s="146">
        <f>INDIRECT("Y"&amp;$C$4&amp;"!E20")</f>
        <v/>
      </c>
      <c r="J22" s="147">
        <f>IFERROR(INDIRECT("Y"&amp;$C$4&amp;"!D20"),0)</f>
        <v/>
      </c>
      <c r="K22" s="147">
        <f>IF(OR(I22="Committed",I22="Implemented"),fn_StrategyMarginal(INDIRECT("Y"&amp;$C$4&amp;"!C20"),J22,INDIRECT("Y"&amp;$C$4&amp;"!G20"),$C$4,Filing_Status,INDIRECT("Y"&amp;$C$4&amp;"!$K$94")),0)</f>
        <v/>
      </c>
    </row>
    <row r="23">
      <c r="A23" s="139" t="n"/>
      <c r="B23" s="139" t="n"/>
      <c r="C23" s="139" t="n"/>
      <c r="D23" s="139" t="n"/>
      <c r="E23" s="139" t="n"/>
      <c r="F23" s="139" t="n"/>
      <c r="G23" s="146" t="inlineStr"/>
      <c r="H23" s="149" t="inlineStr">
        <is>
          <t>Subtotal — Direct Strategy Savings</t>
        </is>
      </c>
      <c r="I23" s="139" t="n"/>
      <c r="J23" s="139" t="n"/>
      <c r="K23" s="150">
        <f>SUM(K8:K22)</f>
        <v/>
      </c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46" t="inlineStr">
        <is>
          <t>Plan Synergy Adjustment (Canon v1.4 est.)</t>
        </is>
      </c>
      <c r="I24" s="139" t="n"/>
      <c r="J24" s="139" t="n"/>
      <c r="K24" s="151" t="n">
        <v>0</v>
      </c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49" t="inlineStr">
        <is>
          <t>PLAN TOTAL</t>
        </is>
      </c>
      <c r="I25" s="139" t="n"/>
      <c r="J25" s="139" t="n"/>
      <c r="K25" s="150">
        <f>K23+K24</f>
        <v/>
      </c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>
      <c r="A27" s="139" t="n"/>
      <c r="B27" s="139" t="n"/>
      <c r="C27" s="139" t="n"/>
      <c r="D27" s="139" t="n"/>
      <c r="E27" s="139" t="n"/>
      <c r="F27" s="139" t="n"/>
      <c r="G27" s="152" t="inlineStr">
        <is>
          <t>Marginal Δ = fn_StrategyMarginal v2: federal ordinary + CG + credits + FICA on wage lines + CounterLine. Hire-Children child-wage offset is parent-rate (understates STR-009).</t>
        </is>
      </c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22" customHeight="1" s="99">
      <c r="A30" s="139" t="n"/>
      <c r="B30" s="139" t="n"/>
      <c r="C30" s="139" t="n"/>
      <c r="D30" s="139" t="n"/>
      <c r="E30" s="139" t="n"/>
      <c r="F30" s="139" t="n"/>
      <c r="G30" s="144" t="inlineStr">
        <is>
          <t>▸ BOX 4 — STRATEGY CHECKLIST + TAKE-HOME CASH</t>
        </is>
      </c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46" t="inlineStr">
        <is>
          <t>Take-Home Cash (Without)</t>
        </is>
      </c>
      <c r="I31" s="139" t="n"/>
      <c r="J31" s="139" t="n"/>
      <c r="K31" s="147">
        <f>C15</f>
        <v/>
      </c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46" t="inlineStr">
        <is>
          <t>Take-Home Cash (With)</t>
        </is>
      </c>
      <c r="I32" s="139" t="n"/>
      <c r="J32" s="139" t="n"/>
      <c r="K32" s="147">
        <f>D15</f>
        <v/>
      </c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49" t="inlineStr">
        <is>
          <t>Δ Take-Home (annual)</t>
        </is>
      </c>
      <c r="I33" s="139" t="n"/>
      <c r="J33" s="139" t="n"/>
      <c r="K33" s="150">
        <f>E15</f>
        <v/>
      </c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46" t="inlineStr">
        <is>
          <t>Effective Tax %</t>
        </is>
      </c>
      <c r="I34" s="139" t="n"/>
      <c r="J34" s="139" t="n"/>
      <c r="K34" s="148">
        <f>D14</f>
        <v/>
      </c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>
      <c r="A36" s="139" t="n"/>
      <c r="B36" s="139" t="n"/>
      <c r="C36" s="139" t="n"/>
      <c r="D36" s="139" t="n"/>
      <c r="E36" s="139" t="n"/>
      <c r="F36" s="139" t="n"/>
      <c r="G36" s="145" t="inlineStr">
        <is>
          <t>Status</t>
        </is>
      </c>
      <c r="H36" s="145" t="inlineStr">
        <is>
          <t>#</t>
        </is>
      </c>
      <c r="I36" s="145" t="inlineStr">
        <is>
          <t>Strategy</t>
        </is>
      </c>
      <c r="J36" s="145" t="inlineStr"/>
      <c r="K36" s="145" t="inlineStr">
        <is>
          <t>Status Text</t>
        </is>
      </c>
    </row>
    <row r="37" ht="18.5" customHeight="1" s="99">
      <c r="A37" s="139" t="n"/>
      <c r="B37" s="139" t="n"/>
      <c r="C37" s="139" t="n"/>
      <c r="D37" s="139" t="n"/>
      <c r="E37" s="139" t="n"/>
      <c r="F37" s="139" t="n"/>
      <c r="G37" s="153">
        <f>IF(INDIRECT("Y"&amp;$C$4&amp;"!E6")="Implemented","☑",IF(INDIRECT("Y"&amp;$C$4&amp;"!E6")="Committed","☑",IF(INDIRECT("Y"&amp;$C$4&amp;"!E6")="Approved","▣",IF(INDIRECT("Y"&amp;$C$4&amp;"!E6")="Proposed","☐","─"))))</f>
        <v/>
      </c>
      <c r="H37" s="146" t="inlineStr">
        <is>
          <t>#1</t>
        </is>
      </c>
      <c r="I37" s="146">
        <f>INDIRECT("Y"&amp;$C$4&amp;"!B6")</f>
        <v/>
      </c>
      <c r="J37" s="146" t="inlineStr"/>
      <c r="K37" s="146">
        <f>INDIRECT("Y"&amp;$C$4&amp;"!E6")</f>
        <v/>
      </c>
    </row>
    <row r="38">
      <c r="A38" s="139" t="n"/>
      <c r="B38" s="139" t="n"/>
      <c r="C38" s="139" t="n"/>
      <c r="D38" s="139" t="n"/>
      <c r="E38" s="139" t="n"/>
      <c r="F38" s="139" t="n"/>
      <c r="G38" s="153">
        <f>IF(INDIRECT("Y"&amp;$C$4&amp;"!E7")="Implemented","☑",IF(INDIRECT("Y"&amp;$C$4&amp;"!E7")="Committed","☑",IF(INDIRECT("Y"&amp;$C$4&amp;"!E7")="Approved","▣",IF(INDIRECT("Y"&amp;$C$4&amp;"!E7")="Proposed","☐","─"))))</f>
        <v/>
      </c>
      <c r="H38" s="146" t="inlineStr">
        <is>
          <t>#2</t>
        </is>
      </c>
      <c r="I38" s="146">
        <f>INDIRECT("Y"&amp;$C$4&amp;"!B7")</f>
        <v/>
      </c>
      <c r="J38" s="146" t="inlineStr"/>
      <c r="K38" s="146">
        <f>INDIRECT("Y"&amp;$C$4&amp;"!E7")</f>
        <v/>
      </c>
    </row>
    <row r="39">
      <c r="A39" s="139" t="n"/>
      <c r="B39" s="139" t="n"/>
      <c r="C39" s="139" t="n"/>
      <c r="D39" s="139" t="n"/>
      <c r="E39" s="139" t="n"/>
      <c r="F39" s="139" t="n"/>
      <c r="G39" s="153">
        <f>IF(INDIRECT("Y"&amp;$C$4&amp;"!E8")="Implemented","☑",IF(INDIRECT("Y"&amp;$C$4&amp;"!E8")="Committed","☑",IF(INDIRECT("Y"&amp;$C$4&amp;"!E8")="Approved","▣",IF(INDIRECT("Y"&amp;$C$4&amp;"!E8")="Proposed","☐","─"))))</f>
        <v/>
      </c>
      <c r="H39" s="146" t="inlineStr">
        <is>
          <t>#3</t>
        </is>
      </c>
      <c r="I39" s="146">
        <f>INDIRECT("Y"&amp;$C$4&amp;"!B8")</f>
        <v/>
      </c>
      <c r="J39" s="146" t="inlineStr"/>
      <c r="K39" s="146">
        <f>INDIRECT("Y"&amp;$C$4&amp;"!E8")</f>
        <v/>
      </c>
    </row>
    <row r="40">
      <c r="A40" s="139" t="n"/>
      <c r="B40" s="139" t="n"/>
      <c r="C40" s="139" t="n"/>
      <c r="D40" s="139" t="n"/>
      <c r="E40" s="139" t="n"/>
      <c r="F40" s="139" t="n"/>
      <c r="G40" s="153">
        <f>IF(INDIRECT("Y"&amp;$C$4&amp;"!E9")="Implemented","☑",IF(INDIRECT("Y"&amp;$C$4&amp;"!E9")="Committed","☑",IF(INDIRECT("Y"&amp;$C$4&amp;"!E9")="Approved","▣",IF(INDIRECT("Y"&amp;$C$4&amp;"!E9")="Proposed","☐","─"))))</f>
        <v/>
      </c>
      <c r="H40" s="146" t="inlineStr">
        <is>
          <t>#4</t>
        </is>
      </c>
      <c r="I40" s="146">
        <f>INDIRECT("Y"&amp;$C$4&amp;"!B9")</f>
        <v/>
      </c>
      <c r="J40" s="146" t="inlineStr"/>
      <c r="K40" s="146">
        <f>INDIRECT("Y"&amp;$C$4&amp;"!E9")</f>
        <v/>
      </c>
    </row>
    <row r="41">
      <c r="A41" s="139" t="n"/>
      <c r="B41" s="139" t="n"/>
      <c r="C41" s="139" t="n"/>
      <c r="D41" s="139" t="n"/>
      <c r="E41" s="139" t="n"/>
      <c r="F41" s="139" t="n"/>
      <c r="G41" s="153">
        <f>IF(INDIRECT("Y"&amp;$C$4&amp;"!E10")="Implemented","☑",IF(INDIRECT("Y"&amp;$C$4&amp;"!E10")="Committed","☑",IF(INDIRECT("Y"&amp;$C$4&amp;"!E10")="Approved","▣",IF(INDIRECT("Y"&amp;$C$4&amp;"!E10")="Proposed","☐","─"))))</f>
        <v/>
      </c>
      <c r="H41" s="146" t="inlineStr">
        <is>
          <t>#5</t>
        </is>
      </c>
      <c r="I41" s="146">
        <f>INDIRECT("Y"&amp;$C$4&amp;"!B10")</f>
        <v/>
      </c>
      <c r="J41" s="146" t="inlineStr"/>
      <c r="K41" s="146">
        <f>INDIRECT("Y"&amp;$C$4&amp;"!E10")</f>
        <v/>
      </c>
    </row>
    <row r="42">
      <c r="A42" s="139" t="n"/>
      <c r="B42" s="139" t="n"/>
      <c r="C42" s="139" t="n"/>
      <c r="D42" s="139" t="n"/>
      <c r="E42" s="139" t="n"/>
      <c r="F42" s="139" t="n"/>
      <c r="G42" s="153">
        <f>IF(INDIRECT("Y"&amp;$C$4&amp;"!E11")="Implemented","☑",IF(INDIRECT("Y"&amp;$C$4&amp;"!E11")="Committed","☑",IF(INDIRECT("Y"&amp;$C$4&amp;"!E11")="Approved","▣",IF(INDIRECT("Y"&amp;$C$4&amp;"!E11")="Proposed","☐","─"))))</f>
        <v/>
      </c>
      <c r="H42" s="146" t="inlineStr">
        <is>
          <t>#6</t>
        </is>
      </c>
      <c r="I42" s="146">
        <f>INDIRECT("Y"&amp;$C$4&amp;"!B11")</f>
        <v/>
      </c>
      <c r="J42" s="146" t="inlineStr"/>
      <c r="K42" s="146">
        <f>INDIRECT("Y"&amp;$C$4&amp;"!E11")</f>
        <v/>
      </c>
    </row>
    <row r="43">
      <c r="A43" s="139" t="n"/>
      <c r="B43" s="139" t="n"/>
      <c r="C43" s="139" t="n"/>
      <c r="D43" s="139" t="n"/>
      <c r="E43" s="139" t="n"/>
      <c r="F43" s="139" t="n"/>
      <c r="G43" s="153">
        <f>IF(INDIRECT("Y"&amp;$C$4&amp;"!E12")="Implemented","☑",IF(INDIRECT("Y"&amp;$C$4&amp;"!E12")="Committed","☑",IF(INDIRECT("Y"&amp;$C$4&amp;"!E12")="Approved","▣",IF(INDIRECT("Y"&amp;$C$4&amp;"!E12")="Proposed","☐","─"))))</f>
        <v/>
      </c>
      <c r="H43" s="146" t="inlineStr">
        <is>
          <t>#7</t>
        </is>
      </c>
      <c r="I43" s="146">
        <f>INDIRECT("Y"&amp;$C$4&amp;"!B12")</f>
        <v/>
      </c>
      <c r="J43" s="146" t="inlineStr"/>
      <c r="K43" s="146">
        <f>INDIRECT("Y"&amp;$C$4&amp;"!E12")</f>
        <v/>
      </c>
    </row>
    <row r="44">
      <c r="A44" s="139" t="n"/>
      <c r="B44" s="139" t="n"/>
      <c r="C44" s="139" t="n"/>
      <c r="D44" s="139" t="n"/>
      <c r="E44" s="139" t="n"/>
      <c r="F44" s="139" t="n"/>
      <c r="G44" s="153">
        <f>IF(INDIRECT("Y"&amp;$C$4&amp;"!E13")="Implemented","☑",IF(INDIRECT("Y"&amp;$C$4&amp;"!E13")="Committed","☑",IF(INDIRECT("Y"&amp;$C$4&amp;"!E13")="Approved","▣",IF(INDIRECT("Y"&amp;$C$4&amp;"!E13")="Proposed","☐","─"))))</f>
        <v/>
      </c>
      <c r="H44" s="146" t="inlineStr">
        <is>
          <t>#8</t>
        </is>
      </c>
      <c r="I44" s="146">
        <f>INDIRECT("Y"&amp;$C$4&amp;"!B13")</f>
        <v/>
      </c>
      <c r="J44" s="146" t="inlineStr"/>
      <c r="K44" s="146">
        <f>INDIRECT("Y"&amp;$C$4&amp;"!E13")</f>
        <v/>
      </c>
    </row>
    <row r="45" ht="15.5" customHeight="1" s="99">
      <c r="A45" s="139" t="n"/>
      <c r="B45" s="139" t="n"/>
      <c r="C45" s="139" t="n"/>
      <c r="D45" s="139" t="n"/>
      <c r="E45" s="139" t="n"/>
      <c r="F45" s="139" t="n"/>
      <c r="G45" s="153">
        <f>IF(INDIRECT("Y"&amp;$C$4&amp;"!E14")="Implemented","☑",IF(INDIRECT("Y"&amp;$C$4&amp;"!E14")="Committed","☑",IF(INDIRECT("Y"&amp;$C$4&amp;"!E14")="Approved","▣",IF(INDIRECT("Y"&amp;$C$4&amp;"!E14")="Proposed","☐","─"))))</f>
        <v/>
      </c>
      <c r="H45" s="146" t="inlineStr">
        <is>
          <t>#9</t>
        </is>
      </c>
      <c r="I45" s="146">
        <f>INDIRECT("Y"&amp;$C$4&amp;"!B14")</f>
        <v/>
      </c>
      <c r="J45" s="146" t="inlineStr"/>
      <c r="K45" s="146">
        <f>INDIRECT("Y"&amp;$C$4&amp;"!E14")</f>
        <v/>
      </c>
    </row>
    <row r="46" ht="18.5" customHeight="1" s="99">
      <c r="A46" s="139" t="n"/>
      <c r="B46" s="139" t="n"/>
      <c r="C46" s="139" t="n"/>
      <c r="D46" s="139" t="n"/>
      <c r="E46" s="139" t="n"/>
      <c r="F46" s="139" t="n"/>
      <c r="G46" s="153">
        <f>IF(INDIRECT("Y"&amp;$C$4&amp;"!E15")="Implemented","☑",IF(INDIRECT("Y"&amp;$C$4&amp;"!E15")="Committed","☑",IF(INDIRECT("Y"&amp;$C$4&amp;"!E15")="Approved","▣",IF(INDIRECT("Y"&amp;$C$4&amp;"!E15")="Proposed","☐","─"))))</f>
        <v/>
      </c>
      <c r="H46" s="146" t="inlineStr">
        <is>
          <t>#10</t>
        </is>
      </c>
      <c r="I46" s="146">
        <f>INDIRECT("Y"&amp;$C$4&amp;"!B15")</f>
        <v/>
      </c>
      <c r="J46" s="146" t="inlineStr"/>
      <c r="K46" s="146">
        <f>INDIRECT("Y"&amp;$C$4&amp;"!E15")</f>
        <v/>
      </c>
    </row>
    <row r="47">
      <c r="A47" s="139" t="n"/>
      <c r="B47" s="139" t="n"/>
      <c r="C47" s="139" t="n"/>
      <c r="D47" s="139" t="n"/>
      <c r="E47" s="139" t="n"/>
      <c r="F47" s="139" t="n"/>
      <c r="G47" s="153">
        <f>IF(INDIRECT("Y"&amp;$C$4&amp;"!E16")="Implemented","☑",IF(INDIRECT("Y"&amp;$C$4&amp;"!E16")="Committed","☑",IF(INDIRECT("Y"&amp;$C$4&amp;"!E16")="Approved","▣",IF(INDIRECT("Y"&amp;$C$4&amp;"!E16")="Proposed","☐","─"))))</f>
        <v/>
      </c>
      <c r="H47" s="146" t="inlineStr">
        <is>
          <t>#11</t>
        </is>
      </c>
      <c r="I47" s="146">
        <f>INDIRECT("Y"&amp;$C$4&amp;"!B16")</f>
        <v/>
      </c>
      <c r="J47" s="146" t="inlineStr"/>
      <c r="K47" s="146">
        <f>INDIRECT("Y"&amp;$C$4&amp;"!E16")</f>
        <v/>
      </c>
    </row>
    <row r="48" ht="18.5" customHeight="1" s="99">
      <c r="A48" s="139" t="n"/>
      <c r="B48" s="139" t="n"/>
      <c r="C48" s="139" t="n"/>
      <c r="D48" s="139" t="n"/>
      <c r="E48" s="139" t="n"/>
      <c r="F48" s="139" t="n"/>
      <c r="G48" s="153">
        <f>IF(INDIRECT("Y"&amp;$C$4&amp;"!E17")="Implemented","☑",IF(INDIRECT("Y"&amp;$C$4&amp;"!E17")="Committed","☑",IF(INDIRECT("Y"&amp;$C$4&amp;"!E17")="Approved","▣",IF(INDIRECT("Y"&amp;$C$4&amp;"!E17")="Proposed","☐","─"))))</f>
        <v/>
      </c>
      <c r="H48" s="146" t="inlineStr">
        <is>
          <t>#12</t>
        </is>
      </c>
      <c r="I48" s="146">
        <f>INDIRECT("Y"&amp;$C$4&amp;"!B17")</f>
        <v/>
      </c>
      <c r="J48" s="146" t="inlineStr"/>
      <c r="K48" s="146">
        <f>INDIRECT("Y"&amp;$C$4&amp;"!E17")</f>
        <v/>
      </c>
    </row>
    <row r="49">
      <c r="A49" s="139" t="n"/>
      <c r="B49" s="139" t="n"/>
      <c r="C49" s="139" t="n"/>
      <c r="D49" s="139" t="n"/>
      <c r="E49" s="139" t="n"/>
      <c r="F49" s="139" t="n"/>
      <c r="G49" s="153">
        <f>IF(INDIRECT("Y"&amp;$C$4&amp;"!E18")="Implemented","☑",IF(INDIRECT("Y"&amp;$C$4&amp;"!E18")="Committed","☑",IF(INDIRECT("Y"&amp;$C$4&amp;"!E18")="Approved","▣",IF(INDIRECT("Y"&amp;$C$4&amp;"!E18")="Proposed","☐","─"))))</f>
        <v/>
      </c>
      <c r="H49" s="146" t="inlineStr">
        <is>
          <t>#13</t>
        </is>
      </c>
      <c r="I49" s="146">
        <f>INDIRECT("Y"&amp;$C$4&amp;"!B18")</f>
        <v/>
      </c>
      <c r="J49" s="146" t="inlineStr"/>
      <c r="K49" s="146">
        <f>INDIRECT("Y"&amp;$C$4&amp;"!E18")</f>
        <v/>
      </c>
    </row>
    <row r="50">
      <c r="G50" s="153">
        <f>IF(INDIRECT("Y"&amp;$C$4&amp;"!E19")="Implemented","☑",IF(INDIRECT("Y"&amp;$C$4&amp;"!E19")="Committed","☑",IF(INDIRECT("Y"&amp;$C$4&amp;"!E19")="Approved","▣",IF(INDIRECT("Y"&amp;$C$4&amp;"!E19")="Proposed","☐","─"))))</f>
        <v/>
      </c>
      <c r="H50" s="146" t="inlineStr">
        <is>
          <t>#14</t>
        </is>
      </c>
      <c r="I50" s="146">
        <f>INDIRECT("Y"&amp;$C$4&amp;"!B19")</f>
        <v/>
      </c>
      <c r="J50" s="146" t="inlineStr"/>
      <c r="K50" s="146">
        <f>INDIRECT("Y"&amp;$C$4&amp;"!E19")</f>
        <v/>
      </c>
    </row>
    <row r="51">
      <c r="G51" s="153">
        <f>IF(INDIRECT("Y"&amp;$C$4&amp;"!E20")="Implemented","☑",IF(INDIRECT("Y"&amp;$C$4&amp;"!E20")="Committed","☑",IF(INDIRECT("Y"&amp;$C$4&amp;"!E20")="Approved","▣",IF(INDIRECT("Y"&amp;$C$4&amp;"!E20")="Proposed","☐","─"))))</f>
        <v/>
      </c>
      <c r="H51" s="146" t="inlineStr">
        <is>
          <t>#15</t>
        </is>
      </c>
      <c r="I51" s="146">
        <f>INDIRECT("Y"&amp;$C$4&amp;"!B20")</f>
        <v/>
      </c>
      <c r="J51" s="146" t="inlineStr"/>
      <c r="K51" s="146">
        <f>INDIRECT("Y"&amp;$C$4&amp;"!E20")</f>
        <v/>
      </c>
    </row>
    <row r="52"/>
    <row r="53">
      <c r="G53" s="154" t="inlineStr">
        <is>
          <t>Legend:  ☑ Implemented/Committed   ▣ Approved   ☐ Proposed   ─ Not selected</t>
        </is>
      </c>
    </row>
  </sheetData>
  <mergeCells count="6">
    <mergeCell ref="B17:E17"/>
    <mergeCell ref="G30:K30"/>
    <mergeCell ref="B6:E6"/>
    <mergeCell ref="G27:K27"/>
    <mergeCell ref="G53:K53"/>
    <mergeCell ref="G6:K6"/>
  </mergeCells>
  <dataValidations count="1">
    <dataValidation sqref="C4" showDropDown="0" showInputMessage="0" showErrorMessage="0" allowBlank="0" type="list">
      <formula1>"2023,2024,2025,2026,2027,2028"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cols>
    <col width="2" customWidth="1" style="99" min="1" max="1"/>
    <col width="36" customWidth="1" style="99" min="2" max="2"/>
    <col width="18" customWidth="1" style="99" min="3" max="3"/>
    <col width="18" customWidth="1" style="99" min="4" max="4"/>
    <col width="18" customWidth="1" style="99" min="5" max="5"/>
    <col width="38" customWidth="1" style="99" min="6" max="6"/>
    <col width="2" customWidth="1" style="99" min="7" max="7"/>
  </cols>
  <sheetData>
    <row r="1">
      <c r="B1" s="120" t="inlineStr">
        <is>
          <t>ACCRUITY</t>
        </is>
      </c>
    </row>
    <row r="2">
      <c r="B2" s="121" t="inlineStr">
        <is>
          <t>TAX PLAN — CLIENT DELIVERABLE</t>
        </is>
      </c>
    </row>
    <row r="3">
      <c r="B3" s="122">
        <f>Active_Client&amp;" — Plan Year "&amp;Active_Year</f>
        <v/>
      </c>
    </row>
    <row r="4">
      <c r="B4" s="123">
        <f>Filing_Status&amp;" · Last Refresh: "&amp;TEXT(NOW(),"yyyy-mm-dd")</f>
        <v/>
      </c>
    </row>
    <row r="5"/>
    <row r="6"/>
    <row r="7">
      <c r="B7" s="124" t="inlineStr">
        <is>
          <t>SECTION 1 — HEADLINE SUMMARY</t>
        </is>
      </c>
    </row>
    <row r="8"/>
    <row r="9">
      <c r="B9" s="113" t="inlineStr">
        <is>
          <t>Your tax bill WITHOUT Accruity planning</t>
        </is>
      </c>
      <c r="E9" s="125">
        <f>INDIRECT("Y"&amp;Active_Year&amp;"!J133")</f>
        <v/>
      </c>
    </row>
    <row r="10">
      <c r="B10" s="113" t="inlineStr">
        <is>
          <t>Your tax bill WITH Accruity planning</t>
        </is>
      </c>
      <c r="E10" s="125">
        <f>INDIRECT("Y"&amp;Active_Year&amp;"!K133")</f>
        <v/>
      </c>
    </row>
    <row r="11"/>
    <row r="12">
      <c r="B12" s="126" t="inlineStr">
        <is>
          <t>ANNUAL TAX SAVINGS</t>
        </is>
      </c>
      <c r="E12" s="127">
        <f>E9-E10</f>
        <v/>
      </c>
    </row>
    <row r="13"/>
    <row r="14">
      <c r="B14" s="113" t="inlineStr">
        <is>
          <t>Effective tax rate</t>
        </is>
      </c>
      <c r="E14" s="128">
        <f>TEXT(INDIRECT("Y"&amp;Active_Year&amp;"!J134"),"0.00%")&amp;" → "&amp;TEXT(INDIRECT("Y"&amp;Active_Year&amp;"!K134"),"0.00%")</f>
        <v/>
      </c>
    </row>
    <row r="15"/>
    <row r="16"/>
    <row r="17">
      <c r="B17" s="124" t="inlineStr">
        <is>
          <t>SECTION 2 — INCOME WATERFALL</t>
        </is>
      </c>
    </row>
    <row r="18"/>
    <row r="19">
      <c r="B19" s="108" t="inlineStr">
        <is>
          <t>Description</t>
        </is>
      </c>
      <c r="C19" s="108" t="inlineStr">
        <is>
          <t>Without Planning</t>
        </is>
      </c>
      <c r="D19" s="108" t="inlineStr">
        <is>
          <t>With Planning</t>
        </is>
      </c>
      <c r="E19" s="108" t="inlineStr">
        <is>
          <t>Variance</t>
        </is>
      </c>
      <c r="F19" s="108" t="inlineStr">
        <is>
          <t>Notes</t>
        </is>
      </c>
    </row>
    <row r="20">
      <c r="B20" s="129" t="inlineStr">
        <is>
          <t>Wages (Line 1z)</t>
        </is>
      </c>
      <c r="C20" s="110">
        <f>INDIRECT("Y"&amp;Active_Year&amp;"!J6")</f>
        <v/>
      </c>
      <c r="D20" s="110">
        <f>INDIRECT("Y"&amp;Active_Year&amp;"!O6")</f>
        <v/>
      </c>
      <c r="E20" s="110">
        <f>D20-C20</f>
        <v/>
      </c>
      <c r="F20" s="130" t="inlineStr">
        <is>
          <t>Owner W-2 + 3rd-party</t>
        </is>
      </c>
    </row>
    <row r="21">
      <c r="B21" s="129" t="inlineStr">
        <is>
          <t>Tax-exempt interest (info, 2a)</t>
        </is>
      </c>
      <c r="C21" s="110">
        <f>INDIRECT("Y"&amp;Active_Year&amp;"!J7")</f>
        <v/>
      </c>
      <c r="D21" s="110">
        <f>INDIRECT("Y"&amp;Active_Year&amp;"!O7")</f>
        <v/>
      </c>
      <c r="E21" s="110">
        <f>D21-C21</f>
        <v/>
      </c>
      <c r="F21" s="130" t="inlineStr">
        <is>
          <t>Informational only</t>
        </is>
      </c>
    </row>
    <row r="22">
      <c r="B22" s="129" t="inlineStr">
        <is>
          <t>Taxable interest (2b)</t>
        </is>
      </c>
      <c r="C22" s="110">
        <f>INDIRECT("Y"&amp;Active_Year&amp;"!J8")</f>
        <v/>
      </c>
      <c r="D22" s="110">
        <f>INDIRECT("Y"&amp;Active_Year&amp;"!O8")</f>
        <v/>
      </c>
      <c r="E22" s="110">
        <f>D22-C22</f>
        <v/>
      </c>
      <c r="F22" s="130" t="inlineStr"/>
    </row>
    <row r="23">
      <c r="B23" s="129" t="inlineStr">
        <is>
          <t>Qualified dividends (info, 3a)</t>
        </is>
      </c>
      <c r="C23" s="110">
        <f>INDIRECT("Y"&amp;Active_Year&amp;"!J9")</f>
        <v/>
      </c>
      <c r="D23" s="110">
        <f>INDIRECT("Y"&amp;Active_Year&amp;"!O9")</f>
        <v/>
      </c>
      <c r="E23" s="110">
        <f>D23-C23</f>
        <v/>
      </c>
      <c r="F23" s="130" t="inlineStr">
        <is>
          <t>Stacks with LTCG</t>
        </is>
      </c>
    </row>
    <row r="24">
      <c r="B24" s="129" t="inlineStr">
        <is>
          <t>Ordinary dividends (3b)</t>
        </is>
      </c>
      <c r="C24" s="110">
        <f>INDIRECT("Y"&amp;Active_Year&amp;"!J10")</f>
        <v/>
      </c>
      <c r="D24" s="110">
        <f>INDIRECT("Y"&amp;Active_Year&amp;"!O10")</f>
        <v/>
      </c>
      <c r="E24" s="110">
        <f>D24-C24</f>
        <v/>
      </c>
      <c r="F24" s="130" t="inlineStr"/>
    </row>
    <row r="25">
      <c r="B25" s="129" t="inlineStr">
        <is>
          <t>Capital gain or (loss) (7)</t>
        </is>
      </c>
      <c r="C25" s="110">
        <f>INDIRECT("Y"&amp;Active_Year&amp;"!J11")</f>
        <v/>
      </c>
      <c r="D25" s="110">
        <f>INDIRECT("Y"&amp;Active_Year&amp;"!O11")</f>
        <v/>
      </c>
      <c r="E25" s="110">
        <f>D25-C25</f>
        <v/>
      </c>
      <c r="F25" s="130" t="inlineStr"/>
    </row>
    <row r="26">
      <c r="B26" s="129" t="inlineStr">
        <is>
          <t>Other income / Sch 1 biz (8)</t>
        </is>
      </c>
      <c r="C26" s="110">
        <f>INDIRECT("Y"&amp;Active_Year&amp;"!J12")</f>
        <v/>
      </c>
      <c r="D26" s="110">
        <f>INDIRECT("Y"&amp;Active_Year&amp;"!O12")</f>
        <v/>
      </c>
      <c r="E26" s="110">
        <f>D26-C26</f>
        <v/>
      </c>
      <c r="F26" s="130" t="inlineStr">
        <is>
          <t>Business income via K-1, Sch C/E/F</t>
        </is>
      </c>
    </row>
    <row r="27">
      <c r="B27" s="109" t="inlineStr">
        <is>
          <t>TOTAL INCOME (9)</t>
        </is>
      </c>
      <c r="C27" s="110">
        <f>INDIRECT("Y"&amp;Active_Year&amp;"!J13")</f>
        <v/>
      </c>
      <c r="D27" s="110">
        <f>INDIRECT("Y"&amp;Active_Year&amp;"!O13")</f>
        <v/>
      </c>
      <c r="E27" s="110">
        <f>D27-C27</f>
        <v/>
      </c>
      <c r="F27" s="130" t="inlineStr">
        <is>
          <t>Aggregator</t>
        </is>
      </c>
    </row>
    <row r="28">
      <c r="B28" s="129" t="inlineStr">
        <is>
          <t>Adjustments to income (10)</t>
        </is>
      </c>
      <c r="C28" s="110">
        <f>INDIRECT("Y"&amp;Active_Year&amp;"!J14")</f>
        <v/>
      </c>
      <c r="D28" s="110">
        <f>INDIRECT("Y"&amp;Active_Year&amp;"!O14")</f>
        <v/>
      </c>
      <c r="E28" s="110">
        <f>D28-C28</f>
        <v/>
      </c>
      <c r="F28" s="130" t="inlineStr">
        <is>
          <t>Above-line deductions</t>
        </is>
      </c>
    </row>
    <row r="29">
      <c r="B29" s="109" t="inlineStr">
        <is>
          <t>AGI (11)</t>
        </is>
      </c>
      <c r="C29" s="110">
        <f>INDIRECT("Y"&amp;Active_Year&amp;"!J15")</f>
        <v/>
      </c>
      <c r="D29" s="110">
        <f>INDIRECT("Y"&amp;Active_Year&amp;"!O15")</f>
        <v/>
      </c>
      <c r="E29" s="110">
        <f>D29-C29</f>
        <v/>
      </c>
      <c r="F29" s="130" t="inlineStr">
        <is>
          <t>Aggregator</t>
        </is>
      </c>
    </row>
    <row r="30">
      <c r="B30" s="129" t="inlineStr">
        <is>
          <t>Std/Itemized deduction (12)</t>
        </is>
      </c>
      <c r="C30" s="110">
        <f>INDIRECT("Y"&amp;Active_Year&amp;"!J16")</f>
        <v/>
      </c>
      <c r="D30" s="110">
        <f>INDIRECT("Y"&amp;Active_Year&amp;"!O16")</f>
        <v/>
      </c>
      <c r="E30" s="110">
        <f>D30-C30</f>
        <v/>
      </c>
      <c r="F30" s="130" t="inlineStr"/>
    </row>
    <row r="31">
      <c r="B31" s="129" t="inlineStr">
        <is>
          <t>QBI deduction (13)</t>
        </is>
      </c>
      <c r="C31" s="110">
        <f>INDIRECT("Y"&amp;Active_Year&amp;"!J17")</f>
        <v/>
      </c>
      <c r="D31" s="110">
        <f>INDIRECT("Y"&amp;Active_Year&amp;"!O17")</f>
        <v/>
      </c>
      <c r="E31" s="110">
        <f>D31-C31</f>
        <v/>
      </c>
      <c r="F31" s="130" t="inlineStr">
        <is>
          <t>§199A 20%</t>
        </is>
      </c>
    </row>
    <row r="32">
      <c r="B32" s="109" t="inlineStr">
        <is>
          <t>TAXABLE INCOME (15)</t>
        </is>
      </c>
      <c r="C32" s="110">
        <f>INDIRECT("Y"&amp;Active_Year&amp;"!J18")</f>
        <v/>
      </c>
      <c r="D32" s="110">
        <f>INDIRECT("Y"&amp;Active_Year&amp;"!O18")</f>
        <v/>
      </c>
      <c r="E32" s="110">
        <f>D32-C32</f>
        <v/>
      </c>
      <c r="F32" s="130" t="inlineStr">
        <is>
          <t>Aggregator</t>
        </is>
      </c>
    </row>
    <row r="33"/>
    <row r="34"/>
    <row r="35">
      <c r="B35" s="124" t="inlineStr">
        <is>
          <t>SECTION 3 — TAX COMPONENT SAVINGS</t>
        </is>
      </c>
    </row>
    <row r="36"/>
    <row r="37">
      <c r="B37" s="108" t="inlineStr">
        <is>
          <t>Tax Component</t>
        </is>
      </c>
      <c r="C37" s="108" t="inlineStr">
        <is>
          <t>Without Planning</t>
        </is>
      </c>
      <c r="D37" s="108" t="inlineStr">
        <is>
          <t>With Planning</t>
        </is>
      </c>
      <c r="E37" s="108" t="inlineStr">
        <is>
          <t>Δ Savings</t>
        </is>
      </c>
      <c r="F37" s="108" t="inlineStr">
        <is>
          <t>Notes</t>
        </is>
      </c>
    </row>
    <row r="38">
      <c r="B38" s="129" t="inlineStr">
        <is>
          <t>Ordinary Income Tax</t>
        </is>
      </c>
      <c r="C38" s="110">
        <f>INDIRECT("Y"&amp;Active_Year&amp;"!J97")</f>
        <v/>
      </c>
      <c r="D38" s="110">
        <f>INDIRECT("Y"&amp;Active_Year&amp;"!K97")</f>
        <v/>
      </c>
      <c r="E38" s="110">
        <f>C38-D38</f>
        <v/>
      </c>
      <c r="F38" s="130" t="inlineStr">
        <is>
          <t>Brackets x taxable income</t>
        </is>
      </c>
    </row>
    <row r="39">
      <c r="B39" s="129" t="inlineStr">
        <is>
          <t>Capital Gains Tax</t>
        </is>
      </c>
      <c r="C39" s="110">
        <f>INDIRECT("Y"&amp;Active_Year&amp;"!J107")</f>
        <v/>
      </c>
      <c r="D39" s="110">
        <f>INDIRECT("Y"&amp;Active_Year&amp;"!K107")</f>
        <v/>
      </c>
      <c r="E39" s="110">
        <f>C39-D39</f>
        <v/>
      </c>
      <c r="F39" s="130" t="inlineStr">
        <is>
          <t>Preferential rate on LTCG/Qual Div</t>
        </is>
      </c>
    </row>
    <row r="40">
      <c r="B40" s="129" t="inlineStr">
        <is>
          <t>Self-Employment Tax</t>
        </is>
      </c>
      <c r="C40" s="110">
        <f>INDIRECT("Y"&amp;Active_Year&amp;"!J80")</f>
        <v/>
      </c>
      <c r="D40" s="110">
        <f>INDIRECT("Y"&amp;Active_Year&amp;"!K80")</f>
        <v/>
      </c>
      <c r="E40" s="110">
        <f>C40-D40</f>
        <v/>
      </c>
      <c r="F40" s="130" t="inlineStr">
        <is>
          <t>15.3% on SE earnings × 0.9235</t>
        </is>
      </c>
    </row>
    <row r="41">
      <c r="B41" s="129" t="inlineStr">
        <is>
          <t>Payroll Tax (Employee + Employer)</t>
        </is>
      </c>
      <c r="C41" s="110">
        <f>INDIRECT("Y"&amp;Active_Year&amp;"!J91")</f>
        <v/>
      </c>
      <c r="D41" s="110">
        <f>INDIRECT("Y"&amp;Active_Year&amp;"!K91")</f>
        <v/>
      </c>
      <c r="E41" s="110">
        <f>C41-D41</f>
        <v/>
      </c>
      <c r="F41" s="130" t="inlineStr">
        <is>
          <t>FICA double-burden on owner W-2</t>
        </is>
      </c>
    </row>
    <row r="42">
      <c r="B42" s="129" t="inlineStr">
        <is>
          <t>NIIT (3.8%)</t>
        </is>
      </c>
      <c r="C42" s="110">
        <f>INDIRECT("Y"&amp;Active_Year&amp;"!J114")</f>
        <v/>
      </c>
      <c r="D42" s="110">
        <f>INDIRECT("Y"&amp;Active_Year&amp;"!K114")</f>
        <v/>
      </c>
      <c r="E42" s="110">
        <f>C42-D42</f>
        <v/>
      </c>
      <c r="F42" s="130" t="inlineStr">
        <is>
          <t>On investment income above thresh</t>
        </is>
      </c>
    </row>
    <row r="43">
      <c r="B43" s="129" t="inlineStr">
        <is>
          <t>Less: QBI Tax Benefit</t>
        </is>
      </c>
      <c r="C43" s="110">
        <f>INDIRECT("Y"&amp;Active_Year&amp;"!J131")</f>
        <v/>
      </c>
      <c r="D43" s="110">
        <f>INDIRECT("Y"&amp;Active_Year&amp;"!K131")</f>
        <v/>
      </c>
      <c r="E43" s="110">
        <f>C43-D43</f>
        <v/>
      </c>
      <c r="F43" s="130" t="inlineStr">
        <is>
          <t>§199A 20% deduction tax savings</t>
        </is>
      </c>
    </row>
    <row r="44">
      <c r="B44" s="109" t="inlineStr">
        <is>
          <t>TOTAL FEDERAL TAX</t>
        </is>
      </c>
      <c r="C44" s="110">
        <f>INDIRECT("Y"&amp;Active_Year&amp;"!J133")</f>
        <v/>
      </c>
      <c r="D44" s="110">
        <f>INDIRECT("Y"&amp;Active_Year&amp;"!K133")</f>
        <v/>
      </c>
      <c r="E44" s="110">
        <f>C44-D44</f>
        <v/>
      </c>
      <c r="F44" s="130" t="inlineStr"/>
    </row>
    <row r="45"/>
    <row r="46"/>
    <row r="47">
      <c r="B47" s="124" t="inlineStr">
        <is>
          <t>SECTION 4 — STRATEGY-BY-STRATEGY SAVINGS</t>
        </is>
      </c>
    </row>
    <row r="48"/>
    <row r="49">
      <c r="B49" s="108" t="inlineStr">
        <is>
          <t>#</t>
        </is>
      </c>
      <c r="C49" s="108" t="inlineStr">
        <is>
          <t>Strategy</t>
        </is>
      </c>
      <c r="D49" s="108" t="inlineStr">
        <is>
          <t>Status</t>
        </is>
      </c>
      <c r="E49" s="108" t="inlineStr">
        <is>
          <t>Amount</t>
        </is>
      </c>
      <c r="F49" s="108" t="inlineStr">
        <is>
          <t>Marginal Savings</t>
        </is>
      </c>
    </row>
    <row r="50">
      <c r="B50" s="109" t="inlineStr">
        <is>
          <t>#1</t>
        </is>
      </c>
      <c r="C50" s="111">
        <f>INDIRECT("Y"&amp;Active_Year&amp;"!B6")</f>
        <v/>
      </c>
      <c r="D50" s="111">
        <f>INDIRECT("Y"&amp;Active_Year&amp;"!E6")</f>
        <v/>
      </c>
      <c r="E50" s="110">
        <f>IFERROR(INDIRECT("Y"&amp;Active_Year&amp;"!D6"),0)</f>
        <v/>
      </c>
      <c r="F50" s="110">
        <f>IF(OR(INDIRECT("Y"&amp;Active_Year&amp;"!E6")="Committed",INDIRECT("Y"&amp;Active_Year&amp;"!E6")="Implemented"),fn_StrategyMarginal(INDIRECT("Y"&amp;Active_Year&amp;"!C6"),INDIRECT("Y"&amp;Active_Year&amp;"!D6"),INDIRECT("Y"&amp;Active_Year&amp;"!G6"),Active_Year,Filing_Status,INDIRECT("Y"&amp;Active_Year&amp;"!$K$94")),0)</f>
        <v/>
      </c>
    </row>
    <row r="51">
      <c r="B51" s="109" t="inlineStr">
        <is>
          <t>#2</t>
        </is>
      </c>
      <c r="C51" s="111">
        <f>INDIRECT("Y"&amp;Active_Year&amp;"!B7")</f>
        <v/>
      </c>
      <c r="D51" s="111">
        <f>INDIRECT("Y"&amp;Active_Year&amp;"!E7")</f>
        <v/>
      </c>
      <c r="E51" s="110">
        <f>IFERROR(INDIRECT("Y"&amp;Active_Year&amp;"!D7"),0)</f>
        <v/>
      </c>
      <c r="F51" s="110">
        <f>IF(OR(INDIRECT("Y"&amp;Active_Year&amp;"!E7")="Committed",INDIRECT("Y"&amp;Active_Year&amp;"!E7")="Implemented"),fn_StrategyMarginal(INDIRECT("Y"&amp;Active_Year&amp;"!C7"),INDIRECT("Y"&amp;Active_Year&amp;"!D7"),INDIRECT("Y"&amp;Active_Year&amp;"!G7"),Active_Year,Filing_Status,INDIRECT("Y"&amp;Active_Year&amp;"!$K$94")),0)</f>
        <v/>
      </c>
    </row>
    <row r="52">
      <c r="B52" s="109" t="inlineStr">
        <is>
          <t>#3</t>
        </is>
      </c>
      <c r="C52" s="111">
        <f>INDIRECT("Y"&amp;Active_Year&amp;"!B8")</f>
        <v/>
      </c>
      <c r="D52" s="111">
        <f>INDIRECT("Y"&amp;Active_Year&amp;"!E8")</f>
        <v/>
      </c>
      <c r="E52" s="110">
        <f>IFERROR(INDIRECT("Y"&amp;Active_Year&amp;"!D8"),0)</f>
        <v/>
      </c>
      <c r="F52" s="110">
        <f>IF(OR(INDIRECT("Y"&amp;Active_Year&amp;"!E8")="Committed",INDIRECT("Y"&amp;Active_Year&amp;"!E8")="Implemented"),fn_StrategyMarginal(INDIRECT("Y"&amp;Active_Year&amp;"!C8"),INDIRECT("Y"&amp;Active_Year&amp;"!D8"),INDIRECT("Y"&amp;Active_Year&amp;"!G8"),Active_Year,Filing_Status,INDIRECT("Y"&amp;Active_Year&amp;"!$K$94")),0)</f>
        <v/>
      </c>
    </row>
    <row r="53">
      <c r="B53" s="109" t="inlineStr">
        <is>
          <t>#4</t>
        </is>
      </c>
      <c r="C53" s="111">
        <f>INDIRECT("Y"&amp;Active_Year&amp;"!B9")</f>
        <v/>
      </c>
      <c r="D53" s="111">
        <f>INDIRECT("Y"&amp;Active_Year&amp;"!E9")</f>
        <v/>
      </c>
      <c r="E53" s="110">
        <f>IFERROR(INDIRECT("Y"&amp;Active_Year&amp;"!D9"),0)</f>
        <v/>
      </c>
      <c r="F53" s="110">
        <f>IF(OR(INDIRECT("Y"&amp;Active_Year&amp;"!E9")="Committed",INDIRECT("Y"&amp;Active_Year&amp;"!E9")="Implemented"),fn_StrategyMarginal(INDIRECT("Y"&amp;Active_Year&amp;"!C9"),INDIRECT("Y"&amp;Active_Year&amp;"!D9"),INDIRECT("Y"&amp;Active_Year&amp;"!G9"),Active_Year,Filing_Status,INDIRECT("Y"&amp;Active_Year&amp;"!$K$94")),0)</f>
        <v/>
      </c>
    </row>
    <row r="54">
      <c r="B54" s="109" t="inlineStr">
        <is>
          <t>#5</t>
        </is>
      </c>
      <c r="C54" s="111">
        <f>INDIRECT("Y"&amp;Active_Year&amp;"!B10")</f>
        <v/>
      </c>
      <c r="D54" s="111">
        <f>INDIRECT("Y"&amp;Active_Year&amp;"!E10")</f>
        <v/>
      </c>
      <c r="E54" s="110">
        <f>IFERROR(INDIRECT("Y"&amp;Active_Year&amp;"!D10"),0)</f>
        <v/>
      </c>
      <c r="F54" s="110">
        <f>IF(OR(INDIRECT("Y"&amp;Active_Year&amp;"!E10")="Committed",INDIRECT("Y"&amp;Active_Year&amp;"!E10")="Implemented"),fn_StrategyMarginal(INDIRECT("Y"&amp;Active_Year&amp;"!C10"),INDIRECT("Y"&amp;Active_Year&amp;"!D10"),INDIRECT("Y"&amp;Active_Year&amp;"!G10"),Active_Year,Filing_Status,INDIRECT("Y"&amp;Active_Year&amp;"!$K$94")),0)</f>
        <v/>
      </c>
    </row>
    <row r="55">
      <c r="B55" s="109" t="inlineStr">
        <is>
          <t>#6</t>
        </is>
      </c>
      <c r="C55" s="111">
        <f>INDIRECT("Y"&amp;Active_Year&amp;"!B11")</f>
        <v/>
      </c>
      <c r="D55" s="111">
        <f>INDIRECT("Y"&amp;Active_Year&amp;"!E11")</f>
        <v/>
      </c>
      <c r="E55" s="110">
        <f>IFERROR(INDIRECT("Y"&amp;Active_Year&amp;"!D11"),0)</f>
        <v/>
      </c>
      <c r="F55" s="110">
        <f>IF(OR(INDIRECT("Y"&amp;Active_Year&amp;"!E11")="Committed",INDIRECT("Y"&amp;Active_Year&amp;"!E11")="Implemented"),fn_StrategyMarginal(INDIRECT("Y"&amp;Active_Year&amp;"!C11"),INDIRECT("Y"&amp;Active_Year&amp;"!D11"),INDIRECT("Y"&amp;Active_Year&amp;"!G11"),Active_Year,Filing_Status,INDIRECT("Y"&amp;Active_Year&amp;"!$K$94")),0)</f>
        <v/>
      </c>
    </row>
    <row r="56">
      <c r="B56" s="109" t="inlineStr">
        <is>
          <t>#7</t>
        </is>
      </c>
      <c r="C56" s="111">
        <f>INDIRECT("Y"&amp;Active_Year&amp;"!B12")</f>
        <v/>
      </c>
      <c r="D56" s="111">
        <f>INDIRECT("Y"&amp;Active_Year&amp;"!E12")</f>
        <v/>
      </c>
      <c r="E56" s="110">
        <f>IFERROR(INDIRECT("Y"&amp;Active_Year&amp;"!D12"),0)</f>
        <v/>
      </c>
      <c r="F56" s="110">
        <f>IF(OR(INDIRECT("Y"&amp;Active_Year&amp;"!E12")="Committed",INDIRECT("Y"&amp;Active_Year&amp;"!E12")="Implemented"),fn_StrategyMarginal(INDIRECT("Y"&amp;Active_Year&amp;"!C12"),INDIRECT("Y"&amp;Active_Year&amp;"!D12"),INDIRECT("Y"&amp;Active_Year&amp;"!G12"),Active_Year,Filing_Status,INDIRECT("Y"&amp;Active_Year&amp;"!$K$94")),0)</f>
        <v/>
      </c>
    </row>
    <row r="57">
      <c r="B57" s="109" t="inlineStr">
        <is>
          <t>#8</t>
        </is>
      </c>
      <c r="C57" s="111">
        <f>INDIRECT("Y"&amp;Active_Year&amp;"!B13")</f>
        <v/>
      </c>
      <c r="D57" s="111">
        <f>INDIRECT("Y"&amp;Active_Year&amp;"!E13")</f>
        <v/>
      </c>
      <c r="E57" s="110">
        <f>IFERROR(INDIRECT("Y"&amp;Active_Year&amp;"!D13"),0)</f>
        <v/>
      </c>
      <c r="F57" s="110">
        <f>IF(OR(INDIRECT("Y"&amp;Active_Year&amp;"!E13")="Committed",INDIRECT("Y"&amp;Active_Year&amp;"!E13")="Implemented"),fn_StrategyMarginal(INDIRECT("Y"&amp;Active_Year&amp;"!C13"),INDIRECT("Y"&amp;Active_Year&amp;"!D13"),INDIRECT("Y"&amp;Active_Year&amp;"!G13"),Active_Year,Filing_Status,INDIRECT("Y"&amp;Active_Year&amp;"!$K$94")),0)</f>
        <v/>
      </c>
    </row>
    <row r="58">
      <c r="B58" s="109" t="inlineStr">
        <is>
          <t>#9</t>
        </is>
      </c>
      <c r="C58" s="111">
        <f>INDIRECT("Y"&amp;Active_Year&amp;"!B14")</f>
        <v/>
      </c>
      <c r="D58" s="111">
        <f>INDIRECT("Y"&amp;Active_Year&amp;"!E14")</f>
        <v/>
      </c>
      <c r="E58" s="110">
        <f>IFERROR(INDIRECT("Y"&amp;Active_Year&amp;"!D14"),0)</f>
        <v/>
      </c>
      <c r="F58" s="110">
        <f>IF(OR(INDIRECT("Y"&amp;Active_Year&amp;"!E14")="Committed",INDIRECT("Y"&amp;Active_Year&amp;"!E14")="Implemented"),fn_StrategyMarginal(INDIRECT("Y"&amp;Active_Year&amp;"!C14"),INDIRECT("Y"&amp;Active_Year&amp;"!D14"),INDIRECT("Y"&amp;Active_Year&amp;"!G14"),Active_Year,Filing_Status,INDIRECT("Y"&amp;Active_Year&amp;"!$K$94")),0)</f>
        <v/>
      </c>
    </row>
    <row r="59">
      <c r="B59" s="109" t="inlineStr">
        <is>
          <t>#10</t>
        </is>
      </c>
      <c r="C59" s="111">
        <f>INDIRECT("Y"&amp;Active_Year&amp;"!B15")</f>
        <v/>
      </c>
      <c r="D59" s="111">
        <f>INDIRECT("Y"&amp;Active_Year&amp;"!E15")</f>
        <v/>
      </c>
      <c r="E59" s="110">
        <f>IFERROR(INDIRECT("Y"&amp;Active_Year&amp;"!D15"),0)</f>
        <v/>
      </c>
      <c r="F59" s="110">
        <f>IF(OR(INDIRECT("Y"&amp;Active_Year&amp;"!E15")="Committed",INDIRECT("Y"&amp;Active_Year&amp;"!E15")="Implemented"),fn_StrategyMarginal(INDIRECT("Y"&amp;Active_Year&amp;"!C15"),INDIRECT("Y"&amp;Active_Year&amp;"!D15"),INDIRECT("Y"&amp;Active_Year&amp;"!G15"),Active_Year,Filing_Status,INDIRECT("Y"&amp;Active_Year&amp;"!$K$94")),0)</f>
        <v/>
      </c>
    </row>
    <row r="60">
      <c r="B60" s="109" t="inlineStr">
        <is>
          <t>#11</t>
        </is>
      </c>
      <c r="C60" s="111">
        <f>INDIRECT("Y"&amp;Active_Year&amp;"!B16")</f>
        <v/>
      </c>
      <c r="D60" s="111">
        <f>INDIRECT("Y"&amp;Active_Year&amp;"!E16")</f>
        <v/>
      </c>
      <c r="E60" s="110">
        <f>IFERROR(INDIRECT("Y"&amp;Active_Year&amp;"!D16"),0)</f>
        <v/>
      </c>
      <c r="F60" s="110">
        <f>IF(OR(INDIRECT("Y"&amp;Active_Year&amp;"!E16")="Committed",INDIRECT("Y"&amp;Active_Year&amp;"!E16")="Implemented"),fn_StrategyMarginal(INDIRECT("Y"&amp;Active_Year&amp;"!C16"),INDIRECT("Y"&amp;Active_Year&amp;"!D16"),INDIRECT("Y"&amp;Active_Year&amp;"!G16"),Active_Year,Filing_Status,INDIRECT("Y"&amp;Active_Year&amp;"!$K$94")),0)</f>
        <v/>
      </c>
    </row>
    <row r="61">
      <c r="B61" s="109" t="inlineStr">
        <is>
          <t>#12</t>
        </is>
      </c>
      <c r="C61" s="111">
        <f>INDIRECT("Y"&amp;Active_Year&amp;"!B17")</f>
        <v/>
      </c>
      <c r="D61" s="111">
        <f>INDIRECT("Y"&amp;Active_Year&amp;"!E17")</f>
        <v/>
      </c>
      <c r="E61" s="110">
        <f>IFERROR(INDIRECT("Y"&amp;Active_Year&amp;"!D17"),0)</f>
        <v/>
      </c>
      <c r="F61" s="110">
        <f>IF(OR(INDIRECT("Y"&amp;Active_Year&amp;"!E17")="Committed",INDIRECT("Y"&amp;Active_Year&amp;"!E17")="Implemented"),fn_StrategyMarginal(INDIRECT("Y"&amp;Active_Year&amp;"!C17"),INDIRECT("Y"&amp;Active_Year&amp;"!D17"),INDIRECT("Y"&amp;Active_Year&amp;"!G17"),Active_Year,Filing_Status,INDIRECT("Y"&amp;Active_Year&amp;"!$K$94")),0)</f>
        <v/>
      </c>
    </row>
    <row r="62">
      <c r="B62" s="109" t="inlineStr">
        <is>
          <t>#13</t>
        </is>
      </c>
      <c r="C62" s="111">
        <f>INDIRECT("Y"&amp;Active_Year&amp;"!B18")</f>
        <v/>
      </c>
      <c r="D62" s="111">
        <f>INDIRECT("Y"&amp;Active_Year&amp;"!E18")</f>
        <v/>
      </c>
      <c r="E62" s="110">
        <f>IFERROR(INDIRECT("Y"&amp;Active_Year&amp;"!D18"),0)</f>
        <v/>
      </c>
      <c r="F62" s="110">
        <f>IF(OR(INDIRECT("Y"&amp;Active_Year&amp;"!E18")="Committed",INDIRECT("Y"&amp;Active_Year&amp;"!E18")="Implemented"),fn_StrategyMarginal(INDIRECT("Y"&amp;Active_Year&amp;"!C18"),INDIRECT("Y"&amp;Active_Year&amp;"!D18"),INDIRECT("Y"&amp;Active_Year&amp;"!G18"),Active_Year,Filing_Status,INDIRECT("Y"&amp;Active_Year&amp;"!$K$94")),0)</f>
        <v/>
      </c>
    </row>
    <row r="63">
      <c r="B63" s="109" t="inlineStr">
        <is>
          <t>#14</t>
        </is>
      </c>
      <c r="C63" s="111">
        <f>INDIRECT("Y"&amp;Active_Year&amp;"!B19")</f>
        <v/>
      </c>
      <c r="D63" s="111">
        <f>INDIRECT("Y"&amp;Active_Year&amp;"!E19")</f>
        <v/>
      </c>
      <c r="E63" s="110">
        <f>IFERROR(INDIRECT("Y"&amp;Active_Year&amp;"!D19"),0)</f>
        <v/>
      </c>
      <c r="F63" s="110">
        <f>IF(OR(INDIRECT("Y"&amp;Active_Year&amp;"!E19")="Committed",INDIRECT("Y"&amp;Active_Year&amp;"!E19")="Implemented"),fn_StrategyMarginal(INDIRECT("Y"&amp;Active_Year&amp;"!C19"),INDIRECT("Y"&amp;Active_Year&amp;"!D19"),INDIRECT("Y"&amp;Active_Year&amp;"!G19"),Active_Year,Filing_Status,INDIRECT("Y"&amp;Active_Year&amp;"!$K$94")),0)</f>
        <v/>
      </c>
    </row>
    <row r="64">
      <c r="B64" s="109" t="inlineStr">
        <is>
          <t>#15</t>
        </is>
      </c>
      <c r="C64" s="111">
        <f>INDIRECT("Y"&amp;Active_Year&amp;"!B20")</f>
        <v/>
      </c>
      <c r="D64" s="111">
        <f>INDIRECT("Y"&amp;Active_Year&amp;"!E20")</f>
        <v/>
      </c>
      <c r="E64" s="110">
        <f>IFERROR(INDIRECT("Y"&amp;Active_Year&amp;"!D20"),0)</f>
        <v/>
      </c>
      <c r="F64" s="110">
        <f>IF(OR(INDIRECT("Y"&amp;Active_Year&amp;"!E20")="Committed",INDIRECT("Y"&amp;Active_Year&amp;"!E20")="Implemented"),fn_StrategyMarginal(INDIRECT("Y"&amp;Active_Year&amp;"!C20"),INDIRECT("Y"&amp;Active_Year&amp;"!D20"),INDIRECT("Y"&amp;Active_Year&amp;"!G20"),Active_Year,Filing_Status,INDIRECT("Y"&amp;Active_Year&amp;"!$K$94")),0)</f>
        <v/>
      </c>
    </row>
    <row r="65"/>
    <row r="66">
      <c r="C66" s="113" t="inlineStr">
        <is>
          <t>Subtotal — Direct Strategy Savings</t>
        </is>
      </c>
      <c r="F66" s="114">
        <f>SUM(F50:F64)</f>
        <v/>
      </c>
    </row>
    <row r="67">
      <c r="C67" s="115" t="inlineStr">
        <is>
          <t>Plan Synergy (Canon v1.4 est.)</t>
        </is>
      </c>
      <c r="F67" s="116" t="n">
        <v>0</v>
      </c>
    </row>
    <row r="68">
      <c r="C68" s="126" t="inlineStr">
        <is>
          <t>PLAN TOTAL</t>
        </is>
      </c>
      <c r="F68" s="131">
        <f>F66+F67</f>
        <v/>
      </c>
    </row>
    <row r="69">
      <c r="B69" s="115" t="inlineStr">
        <is>
          <t>Marginal Savings = -Amount × estimated 32% marginal rate (approximate; replace with LAMBDA recalc for precision)</t>
        </is>
      </c>
    </row>
    <row r="70"/>
    <row r="71"/>
    <row r="72">
      <c r="B72" s="124" t="inlineStr">
        <is>
          <t>SECTION 5 — TAKE-HOME CASH + WEALTH POSITION</t>
        </is>
      </c>
    </row>
    <row r="73"/>
    <row r="74">
      <c r="B74" s="113" t="inlineStr">
        <is>
          <t>Take-Home Cash (after total federal tax)</t>
        </is>
      </c>
      <c r="E74" s="125">
        <f>INDIRECT("Y"&amp;Active_Year&amp;"!K125")-INDIRECT("Y"&amp;Active_Year&amp;"!K133")</f>
        <v/>
      </c>
    </row>
    <row r="75">
      <c r="B75" s="115" t="inlineStr">
        <is>
          <t>Without planning (for comparison)</t>
        </is>
      </c>
      <c r="E75" s="116">
        <f>INDIRECT("Y"&amp;Active_Year&amp;"!J125")-INDIRECT("Y"&amp;Active_Year&amp;"!J133")</f>
        <v/>
      </c>
    </row>
    <row r="76">
      <c r="B76" s="113" t="inlineStr">
        <is>
          <t>Take-Home Cash IMPROVEMENT</t>
        </is>
      </c>
      <c r="E76" s="132">
        <f>E74-E75</f>
        <v/>
      </c>
    </row>
    <row r="77"/>
    <row r="78">
      <c r="B78" s="113" t="inlineStr">
        <is>
          <t>Take-Home Cash as % of Total Income</t>
        </is>
      </c>
      <c r="E78" s="133">
        <f>IFERROR(E74/INDIRECT("Y"&amp;Active_Year&amp;"!K125"),0)</f>
        <v/>
      </c>
    </row>
    <row r="79"/>
    <row r="80">
      <c r="B80" s="115" t="inlineStr">
        <is>
          <t>Note: Wealth-position framing (long-term capital accumulation, RE equity build, etc.) is not modeled here — requires separate cash-flow projection.</t>
        </is>
      </c>
    </row>
    <row r="81"/>
    <row r="82"/>
    <row r="83">
      <c r="B83" s="124" t="inlineStr">
        <is>
          <t>SECTION 6 — IMPLEMENTATION GUIDE</t>
        </is>
      </c>
    </row>
    <row r="84"/>
    <row r="85">
      <c r="B85" s="108" t="inlineStr">
        <is>
          <t>#</t>
        </is>
      </c>
      <c r="C85" s="108" t="inlineStr">
        <is>
          <t>Strategy</t>
        </is>
      </c>
      <c r="D85" s="108" t="inlineStr">
        <is>
          <t>Jeff Ref</t>
        </is>
      </c>
      <c r="E85" s="108" t="inlineStr">
        <is>
          <t>Action Required</t>
        </is>
      </c>
      <c r="F85" s="108" t="inlineStr">
        <is>
          <t>Status</t>
        </is>
      </c>
    </row>
    <row r="86">
      <c r="B86" s="109" t="inlineStr">
        <is>
          <t>#1</t>
        </is>
      </c>
      <c r="C86" s="111">
        <f>INDIRECT("Y"&amp;Active_Year&amp;"!B6")</f>
        <v/>
      </c>
      <c r="D86" s="111">
        <f>INDIRECT("Y"&amp;Active_Year&amp;"!H6")</f>
        <v/>
      </c>
      <c r="E86" s="111">
        <f>IF(INDIRECT("Y"&amp;Active_Year&amp;"!E6")="Committed","File required forms; coordinate with admin",IF(INDIRECT("Y"&amp;Active_Year&amp;"!E6")="Approved","Awaiting client approval to commit",IF(INDIRECT("Y"&amp;Active_Year&amp;"!E6")="Implemented","Already in place; review annually","Discuss with client; pending decision")))</f>
        <v/>
      </c>
      <c r="F86" s="111">
        <f>INDIRECT("Y"&amp;Active_Year&amp;"!E6")</f>
        <v/>
      </c>
    </row>
    <row r="87">
      <c r="B87" s="109" t="inlineStr">
        <is>
          <t>#2</t>
        </is>
      </c>
      <c r="C87" s="111">
        <f>INDIRECT("Y"&amp;Active_Year&amp;"!B7")</f>
        <v/>
      </c>
      <c r="D87" s="111">
        <f>INDIRECT("Y"&amp;Active_Year&amp;"!H7")</f>
        <v/>
      </c>
      <c r="E87" s="111">
        <f>IF(INDIRECT("Y"&amp;Active_Year&amp;"!E7")="Committed","File required forms; coordinate with admin",IF(INDIRECT("Y"&amp;Active_Year&amp;"!E7")="Approved","Awaiting client approval to commit",IF(INDIRECT("Y"&amp;Active_Year&amp;"!E7")="Implemented","Already in place; review annually","Discuss with client; pending decision")))</f>
        <v/>
      </c>
      <c r="F87" s="111">
        <f>INDIRECT("Y"&amp;Active_Year&amp;"!E7")</f>
        <v/>
      </c>
    </row>
    <row r="88">
      <c r="B88" s="109" t="inlineStr">
        <is>
          <t>#3</t>
        </is>
      </c>
      <c r="C88" s="111">
        <f>INDIRECT("Y"&amp;Active_Year&amp;"!B8")</f>
        <v/>
      </c>
      <c r="D88" s="111">
        <f>INDIRECT("Y"&amp;Active_Year&amp;"!H8")</f>
        <v/>
      </c>
      <c r="E88" s="111">
        <f>IF(INDIRECT("Y"&amp;Active_Year&amp;"!E8")="Committed","File required forms; coordinate with admin",IF(INDIRECT("Y"&amp;Active_Year&amp;"!E8")="Approved","Awaiting client approval to commit",IF(INDIRECT("Y"&amp;Active_Year&amp;"!E8")="Implemented","Already in place; review annually","Discuss with client; pending decision")))</f>
        <v/>
      </c>
      <c r="F88" s="111">
        <f>INDIRECT("Y"&amp;Active_Year&amp;"!E8")</f>
        <v/>
      </c>
    </row>
    <row r="89">
      <c r="B89" s="109" t="inlineStr">
        <is>
          <t>#4</t>
        </is>
      </c>
      <c r="C89" s="111">
        <f>INDIRECT("Y"&amp;Active_Year&amp;"!B9")</f>
        <v/>
      </c>
      <c r="D89" s="111">
        <f>INDIRECT("Y"&amp;Active_Year&amp;"!H9")</f>
        <v/>
      </c>
      <c r="E89" s="111">
        <f>IF(INDIRECT("Y"&amp;Active_Year&amp;"!E9")="Committed","File required forms; coordinate with admin",IF(INDIRECT("Y"&amp;Active_Year&amp;"!E9")="Approved","Awaiting client approval to commit",IF(INDIRECT("Y"&amp;Active_Year&amp;"!E9")="Implemented","Already in place; review annually","Discuss with client; pending decision")))</f>
        <v/>
      </c>
      <c r="F89" s="111">
        <f>INDIRECT("Y"&amp;Active_Year&amp;"!E9")</f>
        <v/>
      </c>
    </row>
    <row r="90">
      <c r="B90" s="109" t="inlineStr">
        <is>
          <t>#5</t>
        </is>
      </c>
      <c r="C90" s="111">
        <f>INDIRECT("Y"&amp;Active_Year&amp;"!B10")</f>
        <v/>
      </c>
      <c r="D90" s="111">
        <f>INDIRECT("Y"&amp;Active_Year&amp;"!H10")</f>
        <v/>
      </c>
      <c r="E90" s="111">
        <f>IF(INDIRECT("Y"&amp;Active_Year&amp;"!E10")="Committed","File required forms; coordinate with admin",IF(INDIRECT("Y"&amp;Active_Year&amp;"!E10")="Approved","Awaiting client approval to commit",IF(INDIRECT("Y"&amp;Active_Year&amp;"!E10")="Implemented","Already in place; review annually","Discuss with client; pending decision")))</f>
        <v/>
      </c>
      <c r="F90" s="111">
        <f>INDIRECT("Y"&amp;Active_Year&amp;"!E10")</f>
        <v/>
      </c>
    </row>
    <row r="91">
      <c r="B91" s="109" t="inlineStr">
        <is>
          <t>#6</t>
        </is>
      </c>
      <c r="C91" s="111">
        <f>INDIRECT("Y"&amp;Active_Year&amp;"!B11")</f>
        <v/>
      </c>
      <c r="D91" s="111">
        <f>INDIRECT("Y"&amp;Active_Year&amp;"!H11")</f>
        <v/>
      </c>
      <c r="E91" s="111">
        <f>IF(INDIRECT("Y"&amp;Active_Year&amp;"!E11")="Committed","File required forms; coordinate with admin",IF(INDIRECT("Y"&amp;Active_Year&amp;"!E11")="Approved","Awaiting client approval to commit",IF(INDIRECT("Y"&amp;Active_Year&amp;"!E11")="Implemented","Already in place; review annually","Discuss with client; pending decision")))</f>
        <v/>
      </c>
      <c r="F91" s="111">
        <f>INDIRECT("Y"&amp;Active_Year&amp;"!E11")</f>
        <v/>
      </c>
    </row>
    <row r="92">
      <c r="B92" s="109" t="inlineStr">
        <is>
          <t>#7</t>
        </is>
      </c>
      <c r="C92" s="111">
        <f>INDIRECT("Y"&amp;Active_Year&amp;"!B12")</f>
        <v/>
      </c>
      <c r="D92" s="111">
        <f>INDIRECT("Y"&amp;Active_Year&amp;"!H12")</f>
        <v/>
      </c>
      <c r="E92" s="111">
        <f>IF(INDIRECT("Y"&amp;Active_Year&amp;"!E12")="Committed","File required forms; coordinate with admin",IF(INDIRECT("Y"&amp;Active_Year&amp;"!E12")="Approved","Awaiting client approval to commit",IF(INDIRECT("Y"&amp;Active_Year&amp;"!E12")="Implemented","Already in place; review annually","Discuss with client; pending decision")))</f>
        <v/>
      </c>
      <c r="F92" s="111">
        <f>INDIRECT("Y"&amp;Active_Year&amp;"!E12")</f>
        <v/>
      </c>
    </row>
    <row r="93">
      <c r="B93" s="109" t="inlineStr">
        <is>
          <t>#8</t>
        </is>
      </c>
      <c r="C93" s="111">
        <f>INDIRECT("Y"&amp;Active_Year&amp;"!B13")</f>
        <v/>
      </c>
      <c r="D93" s="111">
        <f>INDIRECT("Y"&amp;Active_Year&amp;"!H13")</f>
        <v/>
      </c>
      <c r="E93" s="111">
        <f>IF(INDIRECT("Y"&amp;Active_Year&amp;"!E13")="Committed","File required forms; coordinate with admin",IF(INDIRECT("Y"&amp;Active_Year&amp;"!E13")="Approved","Awaiting client approval to commit",IF(INDIRECT("Y"&amp;Active_Year&amp;"!E13")="Implemented","Already in place; review annually","Discuss with client; pending decision")))</f>
        <v/>
      </c>
      <c r="F93" s="111">
        <f>INDIRECT("Y"&amp;Active_Year&amp;"!E13")</f>
        <v/>
      </c>
    </row>
    <row r="94">
      <c r="B94" s="109" t="inlineStr">
        <is>
          <t>#9</t>
        </is>
      </c>
      <c r="C94" s="111">
        <f>INDIRECT("Y"&amp;Active_Year&amp;"!B14")</f>
        <v/>
      </c>
      <c r="D94" s="111">
        <f>INDIRECT("Y"&amp;Active_Year&amp;"!H14")</f>
        <v/>
      </c>
      <c r="E94" s="111">
        <f>IF(INDIRECT("Y"&amp;Active_Year&amp;"!E14")="Committed","File required forms; coordinate with admin",IF(INDIRECT("Y"&amp;Active_Year&amp;"!E14")="Approved","Awaiting client approval to commit",IF(INDIRECT("Y"&amp;Active_Year&amp;"!E14")="Implemented","Already in place; review annually","Discuss with client; pending decision")))</f>
        <v/>
      </c>
      <c r="F94" s="111">
        <f>INDIRECT("Y"&amp;Active_Year&amp;"!E14")</f>
        <v/>
      </c>
    </row>
    <row r="95">
      <c r="B95" s="109" t="inlineStr">
        <is>
          <t>#10</t>
        </is>
      </c>
      <c r="C95" s="111">
        <f>INDIRECT("Y"&amp;Active_Year&amp;"!B15")</f>
        <v/>
      </c>
      <c r="D95" s="111">
        <f>INDIRECT("Y"&amp;Active_Year&amp;"!H15")</f>
        <v/>
      </c>
      <c r="E95" s="111">
        <f>IF(INDIRECT("Y"&amp;Active_Year&amp;"!E15")="Committed","File required forms; coordinate with admin",IF(INDIRECT("Y"&amp;Active_Year&amp;"!E15")="Approved","Awaiting client approval to commit",IF(INDIRECT("Y"&amp;Active_Year&amp;"!E15")="Implemented","Already in place; review annually","Discuss with client; pending decision")))</f>
        <v/>
      </c>
      <c r="F95" s="111">
        <f>INDIRECT("Y"&amp;Active_Year&amp;"!E15")</f>
        <v/>
      </c>
    </row>
    <row r="96">
      <c r="B96" s="109" t="inlineStr">
        <is>
          <t>#11</t>
        </is>
      </c>
      <c r="C96" s="111">
        <f>INDIRECT("Y"&amp;Active_Year&amp;"!B16")</f>
        <v/>
      </c>
      <c r="D96" s="111">
        <f>INDIRECT("Y"&amp;Active_Year&amp;"!H16")</f>
        <v/>
      </c>
      <c r="E96" s="111">
        <f>IF(INDIRECT("Y"&amp;Active_Year&amp;"!E16")="Committed","File required forms; coordinate with admin",IF(INDIRECT("Y"&amp;Active_Year&amp;"!E16")="Approved","Awaiting client approval to commit",IF(INDIRECT("Y"&amp;Active_Year&amp;"!E16")="Implemented","Already in place; review annually","Discuss with client; pending decision")))</f>
        <v/>
      </c>
      <c r="F96" s="111">
        <f>INDIRECT("Y"&amp;Active_Year&amp;"!E16")</f>
        <v/>
      </c>
    </row>
    <row r="97">
      <c r="B97" s="109" t="inlineStr">
        <is>
          <t>#12</t>
        </is>
      </c>
      <c r="C97" s="111">
        <f>INDIRECT("Y"&amp;Active_Year&amp;"!B17")</f>
        <v/>
      </c>
      <c r="D97" s="111">
        <f>INDIRECT("Y"&amp;Active_Year&amp;"!H17")</f>
        <v/>
      </c>
      <c r="E97" s="111">
        <f>IF(INDIRECT("Y"&amp;Active_Year&amp;"!E17")="Committed","File required forms; coordinate with admin",IF(INDIRECT("Y"&amp;Active_Year&amp;"!E17")="Approved","Awaiting client approval to commit",IF(INDIRECT("Y"&amp;Active_Year&amp;"!E17")="Implemented","Already in place; review annually","Discuss with client; pending decision")))</f>
        <v/>
      </c>
      <c r="F97" s="111">
        <f>INDIRECT("Y"&amp;Active_Year&amp;"!E17")</f>
        <v/>
      </c>
    </row>
    <row r="98">
      <c r="B98" s="109" t="inlineStr">
        <is>
          <t>#13</t>
        </is>
      </c>
      <c r="C98" s="111">
        <f>INDIRECT("Y"&amp;Active_Year&amp;"!B18")</f>
        <v/>
      </c>
      <c r="D98" s="111">
        <f>INDIRECT("Y"&amp;Active_Year&amp;"!H18")</f>
        <v/>
      </c>
      <c r="E98" s="111">
        <f>IF(INDIRECT("Y"&amp;Active_Year&amp;"!E18")="Committed","File required forms; coordinate with admin",IF(INDIRECT("Y"&amp;Active_Year&amp;"!E18")="Approved","Awaiting client approval to commit",IF(INDIRECT("Y"&amp;Active_Year&amp;"!E18")="Implemented","Already in place; review annually","Discuss with client; pending decision")))</f>
        <v/>
      </c>
      <c r="F98" s="111">
        <f>INDIRECT("Y"&amp;Active_Year&amp;"!E18")</f>
        <v/>
      </c>
    </row>
    <row r="99">
      <c r="B99" s="109" t="inlineStr">
        <is>
          <t>#14</t>
        </is>
      </c>
      <c r="C99" s="111">
        <f>INDIRECT("Y"&amp;Active_Year&amp;"!B19")</f>
        <v/>
      </c>
      <c r="D99" s="111">
        <f>INDIRECT("Y"&amp;Active_Year&amp;"!H19")</f>
        <v/>
      </c>
      <c r="E99" s="111">
        <f>IF(INDIRECT("Y"&amp;Active_Year&amp;"!E19")="Committed","File required forms; coordinate with admin",IF(INDIRECT("Y"&amp;Active_Year&amp;"!E19")="Approved","Awaiting client approval to commit",IF(INDIRECT("Y"&amp;Active_Year&amp;"!E19")="Implemented","Already in place; review annually","Discuss with client; pending decision")))</f>
        <v/>
      </c>
      <c r="F99" s="111">
        <f>INDIRECT("Y"&amp;Active_Year&amp;"!E19")</f>
        <v/>
      </c>
    </row>
    <row r="100">
      <c r="B100" s="109" t="inlineStr">
        <is>
          <t>#15</t>
        </is>
      </c>
      <c r="C100" s="111">
        <f>INDIRECT("Y"&amp;Active_Year&amp;"!B20")</f>
        <v/>
      </c>
      <c r="D100" s="111">
        <f>INDIRECT("Y"&amp;Active_Year&amp;"!H20")</f>
        <v/>
      </c>
      <c r="E100" s="111">
        <f>IF(INDIRECT("Y"&amp;Active_Year&amp;"!E20")="Committed","File required forms; coordinate with admin",IF(INDIRECT("Y"&amp;Active_Year&amp;"!E20")="Approved","Awaiting client approval to commit",IF(INDIRECT("Y"&amp;Active_Year&amp;"!E20")="Implemented","Already in place; review annually","Discuss with client; pending decision")))</f>
        <v/>
      </c>
      <c r="F100" s="111">
        <f>INDIRECT("Y"&amp;Active_Year&amp;"!E20")</f>
        <v/>
      </c>
    </row>
    <row r="101"/>
    <row r="102">
      <c r="B102" s="115" t="inlineStr">
        <is>
          <t>Implementation guidance is auto-generated from strategy status. Refine per-strategy in real engagements.</t>
        </is>
      </c>
    </row>
    <row r="103"/>
    <row r="104"/>
    <row r="105">
      <c r="B105" s="124" t="inlineStr">
        <is>
          <t>SECTION 7 — OPEN ITEMS &amp; ASSUMPTIONS</t>
        </is>
      </c>
    </row>
    <row r="106"/>
    <row r="107">
      <c r="B107" s="113" t="inlineStr">
        <is>
          <t>Open items flagged from the Tax Strategy Questionnaire (when populated):</t>
        </is>
      </c>
    </row>
    <row r="108"/>
    <row r="109">
      <c r="B109" s="108" t="inlineStr">
        <is>
          <t>#</t>
        </is>
      </c>
      <c r="C109" s="108" t="inlineStr">
        <is>
          <t>Category</t>
        </is>
      </c>
      <c r="D109" s="108" t="inlineStr">
        <is>
          <t>Question</t>
        </is>
      </c>
      <c r="E109" s="108" t="inlineStr">
        <is>
          <t>Flag</t>
        </is>
      </c>
      <c r="F109" s="108" t="inlineStr">
        <is>
          <t>Notes</t>
        </is>
      </c>
    </row>
    <row r="110">
      <c r="B110" s="111">
        <f>Questionnaire!B5</f>
        <v/>
      </c>
      <c r="C110" s="111">
        <f>Questionnaire!C5</f>
        <v/>
      </c>
      <c r="D110" s="111">
        <f>IFERROR(LEFT(Questionnaire!D5,80),"")</f>
        <v/>
      </c>
      <c r="E110" s="111">
        <f>IFERROR(Questionnaire!F5,"")</f>
        <v/>
      </c>
      <c r="F110" s="111" t="inlineStr"/>
    </row>
    <row r="111">
      <c r="B111" s="111">
        <f>Questionnaire!B6</f>
        <v/>
      </c>
      <c r="C111" s="111">
        <f>Questionnaire!C6</f>
        <v/>
      </c>
      <c r="D111" s="111">
        <f>IFERROR(LEFT(Questionnaire!D6,80),"")</f>
        <v/>
      </c>
      <c r="E111" s="111">
        <f>IFERROR(Questionnaire!F6,"")</f>
        <v/>
      </c>
      <c r="F111" s="111" t="inlineStr"/>
    </row>
    <row r="112">
      <c r="B112" s="111">
        <f>Questionnaire!B7</f>
        <v/>
      </c>
      <c r="C112" s="111">
        <f>Questionnaire!C7</f>
        <v/>
      </c>
      <c r="D112" s="111">
        <f>IFERROR(LEFT(Questionnaire!D7,80),"")</f>
        <v/>
      </c>
      <c r="E112" s="111">
        <f>IFERROR(Questionnaire!F7,"")</f>
        <v/>
      </c>
      <c r="F112" s="111" t="inlineStr"/>
    </row>
    <row r="113">
      <c r="B113" s="111">
        <f>Questionnaire!B8</f>
        <v/>
      </c>
      <c r="C113" s="111">
        <f>Questionnaire!C8</f>
        <v/>
      </c>
      <c r="D113" s="111">
        <f>IFERROR(LEFT(Questionnaire!D8,80),"")</f>
        <v/>
      </c>
      <c r="E113" s="111">
        <f>IFERROR(Questionnaire!F8,"")</f>
        <v/>
      </c>
      <c r="F113" s="111" t="inlineStr"/>
    </row>
    <row r="114">
      <c r="B114" s="111">
        <f>Questionnaire!B9</f>
        <v/>
      </c>
      <c r="C114" s="111">
        <f>Questionnaire!C9</f>
        <v/>
      </c>
      <c r="D114" s="111">
        <f>IFERROR(LEFT(Questionnaire!D9,80),"")</f>
        <v/>
      </c>
      <c r="E114" s="111">
        <f>IFERROR(Questionnaire!F9,"")</f>
        <v/>
      </c>
      <c r="F114" s="111" t="inlineStr"/>
    </row>
    <row r="115">
      <c r="B115" s="111">
        <f>Questionnaire!B10</f>
        <v/>
      </c>
      <c r="C115" s="111">
        <f>Questionnaire!C10</f>
        <v/>
      </c>
      <c r="D115" s="111">
        <f>IFERROR(LEFT(Questionnaire!D10,80),"")</f>
        <v/>
      </c>
      <c r="E115" s="111">
        <f>IFERROR(Questionnaire!F10,"")</f>
        <v/>
      </c>
      <c r="F115" s="111" t="inlineStr"/>
    </row>
    <row r="116">
      <c r="B116" s="111">
        <f>Questionnaire!B11</f>
        <v/>
      </c>
      <c r="C116" s="111">
        <f>Questionnaire!C11</f>
        <v/>
      </c>
      <c r="D116" s="111">
        <f>IFERROR(LEFT(Questionnaire!D11,80),"")</f>
        <v/>
      </c>
      <c r="E116" s="111">
        <f>IFERROR(Questionnaire!F11,"")</f>
        <v/>
      </c>
      <c r="F116" s="111" t="inlineStr"/>
    </row>
    <row r="117">
      <c r="B117" s="111">
        <f>Questionnaire!B12</f>
        <v/>
      </c>
      <c r="C117" s="111">
        <f>Questionnaire!C12</f>
        <v/>
      </c>
      <c r="D117" s="111">
        <f>IFERROR(LEFT(Questionnaire!D12,80),"")</f>
        <v/>
      </c>
      <c r="E117" s="111">
        <f>IFERROR(Questionnaire!F12,"")</f>
        <v/>
      </c>
      <c r="F117" s="111" t="inlineStr"/>
    </row>
    <row r="118">
      <c r="B118" s="111">
        <f>Questionnaire!B13</f>
        <v/>
      </c>
      <c r="C118" s="111">
        <f>Questionnaire!C13</f>
        <v/>
      </c>
      <c r="D118" s="111">
        <f>IFERROR(LEFT(Questionnaire!D13,80),"")</f>
        <v/>
      </c>
      <c r="E118" s="111">
        <f>IFERROR(Questionnaire!F13,"")</f>
        <v/>
      </c>
      <c r="F118" s="111" t="inlineStr"/>
    </row>
    <row r="119">
      <c r="B119" s="111">
        <f>Questionnaire!B14</f>
        <v/>
      </c>
      <c r="C119" s="111">
        <f>Questionnaire!C14</f>
        <v/>
      </c>
      <c r="D119" s="111">
        <f>IFERROR(LEFT(Questionnaire!D14,80),"")</f>
        <v/>
      </c>
      <c r="E119" s="111">
        <f>IFERROR(Questionnaire!F14,"")</f>
        <v/>
      </c>
      <c r="F119" s="111" t="inlineStr"/>
    </row>
    <row r="120">
      <c r="B120" s="111">
        <f>Questionnaire!B15</f>
        <v/>
      </c>
      <c r="C120" s="111">
        <f>Questionnaire!C15</f>
        <v/>
      </c>
      <c r="D120" s="111">
        <f>IFERROR(LEFT(Questionnaire!D15,80),"")</f>
        <v/>
      </c>
      <c r="E120" s="111">
        <f>IFERROR(Questionnaire!F15,"")</f>
        <v/>
      </c>
      <c r="F120" s="111" t="inlineStr"/>
    </row>
    <row r="121">
      <c r="B121" s="111">
        <f>Questionnaire!B16</f>
        <v/>
      </c>
      <c r="C121" s="111">
        <f>Questionnaire!C16</f>
        <v/>
      </c>
      <c r="D121" s="111">
        <f>IFERROR(LEFT(Questionnaire!D16,80),"")</f>
        <v/>
      </c>
      <c r="E121" s="111">
        <f>IFERROR(Questionnaire!F16,"")</f>
        <v/>
      </c>
      <c r="F121" s="111" t="inlineStr"/>
    </row>
    <row r="122">
      <c r="B122" s="111">
        <f>Questionnaire!B17</f>
        <v/>
      </c>
      <c r="C122" s="111">
        <f>Questionnaire!C17</f>
        <v/>
      </c>
      <c r="D122" s="111">
        <f>IFERROR(LEFT(Questionnaire!D17,80),"")</f>
        <v/>
      </c>
      <c r="E122" s="111">
        <f>IFERROR(Questionnaire!F17,"")</f>
        <v/>
      </c>
      <c r="F122" s="111" t="inlineStr"/>
    </row>
    <row r="123">
      <c r="B123" s="111">
        <f>Questionnaire!B18</f>
        <v/>
      </c>
      <c r="C123" s="111">
        <f>Questionnaire!C18</f>
        <v/>
      </c>
      <c r="D123" s="111">
        <f>IFERROR(LEFT(Questionnaire!D18,80),"")</f>
        <v/>
      </c>
      <c r="E123" s="111">
        <f>IFERROR(Questionnaire!F18,"")</f>
        <v/>
      </c>
      <c r="F123" s="111" t="inlineStr"/>
    </row>
    <row r="124">
      <c r="B124" s="111">
        <f>Questionnaire!B19</f>
        <v/>
      </c>
      <c r="C124" s="111">
        <f>Questionnaire!C19</f>
        <v/>
      </c>
      <c r="D124" s="111">
        <f>IFERROR(LEFT(Questionnaire!D19,80),"")</f>
        <v/>
      </c>
      <c r="E124" s="111">
        <f>IFERROR(Questionnaire!F19,"")</f>
        <v/>
      </c>
      <c r="F124" s="111" t="inlineStr"/>
    </row>
    <row r="125"/>
    <row r="126">
      <c r="B126" s="115" t="inlineStr">
        <is>
          <t>Items flagged "NO" or "#VALUE!" need preparer review before plan can be finalized.</t>
        </is>
      </c>
    </row>
    <row r="127"/>
    <row r="128"/>
    <row r="129">
      <c r="B129" s="113" t="inlineStr">
        <is>
          <t>Assumptions applied to this plan:</t>
        </is>
      </c>
    </row>
    <row r="130"/>
    <row r="131">
      <c r="B131" s="115" t="inlineStr">
        <is>
          <t>• Federal brackets per IRS published values (Tax_Ref sheet)</t>
        </is>
      </c>
    </row>
    <row r="132">
      <c r="B132" s="115" t="inlineStr">
        <is>
          <t>• Filing status pulled from Control_Panel</t>
        </is>
      </c>
    </row>
    <row r="133">
      <c r="B133" s="115" t="inlineStr">
        <is>
          <t>• Strategies in "Committed" or "Implemented" status flow into the calc; "Proposed" / "Approved" excluded</t>
        </is>
      </c>
    </row>
    <row r="134">
      <c r="B134" s="115" t="inlineStr">
        <is>
          <t>• Marginal savings shown at 32% rate proxy — replace with LAMBDA-based per-strategy recalc for precision</t>
        </is>
      </c>
    </row>
    <row r="135">
      <c r="B135" s="115" t="inlineStr">
        <is>
          <t>• State income tax NOT modeled in current version (Phase 5 deliverable)</t>
        </is>
      </c>
    </row>
    <row r="136">
      <c r="B136" s="115" t="inlineStr">
        <is>
          <t>• Plan Synergy line is currently $0 (placeholder); Canon v1.4 synergy modeling TBD</t>
        </is>
      </c>
    </row>
  </sheetData>
  <mergeCells count="18">
    <mergeCell ref="B105:F105"/>
    <mergeCell ref="B83:F83"/>
    <mergeCell ref="B126:F126"/>
    <mergeCell ref="B7:F7"/>
    <mergeCell ref="B129:F129"/>
    <mergeCell ref="B47:F47"/>
    <mergeCell ref="B133:F133"/>
    <mergeCell ref="B72:F72"/>
    <mergeCell ref="B134:F134"/>
    <mergeCell ref="B80:F80"/>
    <mergeCell ref="B136:F136"/>
    <mergeCell ref="B107:F107"/>
    <mergeCell ref="B132:F132"/>
    <mergeCell ref="B131:F131"/>
    <mergeCell ref="B17:F17"/>
    <mergeCell ref="B102:F102"/>
    <mergeCell ref="B135:F13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A1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1"/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4"/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6"/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19"/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1"/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4"/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"SS_Wage_Base"))*0.062</f>
        <v/>
      </c>
      <c r="K84" s="100">
        <f>MIN(K83,SUMIFS(tblThresholds[Value], tblThresholds[Year], 2023,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37"/>
    <row r="138"/>
    <row r="139"/>
    <row r="140" ht="22" customHeight="1" s="99">
      <c r="A140" s="106" t="inlineStr">
        <is>
          <t>▸ DASHBOARD AT-A-GLANCE — Y2023</t>
        </is>
      </c>
    </row>
    <row r="141"/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IF(OR(E6="Committed",E6="Implemented"),fn_StrategyMarginal(C6,D6,G6,2023,Filing_Status,$K$94),0)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IF(OR(E7="Committed",E7="Implemented"),fn_StrategyMarginal(C7,D7,G7,2023,Filing_Status,$K$94),0)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IF(OR(E8="Committed",E8="Implemented"),fn_StrategyMarginal(C8,D8,G8,2023,Filing_Status,$K$94),0)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IF(OR(E9="Committed",E9="Implemented"),fn_StrategyMarginal(C9,D9,G9,2023,Filing_Status,$K$94),0)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IF(OR(E10="Committed",E10="Implemented"),fn_StrategyMarginal(C10,D10,G10,2023,Filing_Status,$K$94),0)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IF(OR(E11="Committed",E11="Implemented"),fn_StrategyMarginal(C11,D11,G11,2023,Filing_Status,$K$94),0)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IF(OR(E12="Committed",E12="Implemented"),fn_StrategyMarginal(C12,D12,G12,2023,Filing_Status,$K$94),0)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IF(OR(E13="Committed",E13="Implemented"),fn_StrategyMarginal(C13,D13,G13,2023,Filing_Status,$K$94),0)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IF(OR(E14="Committed",E14="Implemented"),fn_StrategyMarginal(C14,D14,G14,2023,Filing_Status,$K$94),0)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IF(OR(E15="Committed",E15="Implemented"),fn_StrategyMarginal(C15,D15,G15,2023,Filing_Status,$K$94),0)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IF(OR(E16="Committed",E16="Implemented"),fn_StrategyMarginal(C16,D16,G16,2023,Filing_Status,$K$94),0)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IF(OR(E17="Committed",E17="Implemented"),fn_StrategyMarginal(C17,D17,G17,2023,Filing_Status,$K$94),0)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IF(OR(E18="Committed",E18="Implemented"),fn_StrategyMarginal(C18,D18,G18,2023,Filing_Status,$K$94),0)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IF(OR(E19="Committed",E19="Implemented"),fn_StrategyMarginal(C19,D19,G19,2023,Filing_Status,$K$94),0)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IF(OR(E20="Committed",E20="Implemented"),fn_StrategyMarginal(C20,D20,G20,2023,Filing_Status,$K$94),0)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3"/>
    <row r="164"/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"SS_Wage_Base"))*0.062</f>
        <v/>
      </c>
      <c r="K84" s="100">
        <f>MIN(K83,SUMIFS(tblThresholds[Value], tblThresholds[Year], 2024,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37"/>
    <row r="138"/>
    <row r="139"/>
    <row r="140" ht="22" customHeight="1" s="99">
      <c r="A140" s="106" t="inlineStr">
        <is>
          <t>▸ DASHBOARD AT-A-GLANCE — Y2024</t>
        </is>
      </c>
    </row>
    <row r="141"/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IF(OR(E6="Committed",E6="Implemented"),fn_StrategyMarginal(C6,D6,G6,2024,Filing_Status,$K$94),0)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IF(OR(E7="Committed",E7="Implemented"),fn_StrategyMarginal(C7,D7,G7,2024,Filing_Status,$K$94),0)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IF(OR(E8="Committed",E8="Implemented"),fn_StrategyMarginal(C8,D8,G8,2024,Filing_Status,$K$94),0)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IF(OR(E9="Committed",E9="Implemented"),fn_StrategyMarginal(C9,D9,G9,2024,Filing_Status,$K$94),0)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IF(OR(E10="Committed",E10="Implemented"),fn_StrategyMarginal(C10,D10,G10,2024,Filing_Status,$K$94),0)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IF(OR(E11="Committed",E11="Implemented"),fn_StrategyMarginal(C11,D11,G11,2024,Filing_Status,$K$94),0)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IF(OR(E12="Committed",E12="Implemented"),fn_StrategyMarginal(C12,D12,G12,2024,Filing_Status,$K$94),0)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IF(OR(E13="Committed",E13="Implemented"),fn_StrategyMarginal(C13,D13,G13,2024,Filing_Status,$K$94),0)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IF(OR(E14="Committed",E14="Implemented"),fn_StrategyMarginal(C14,D14,G14,2024,Filing_Status,$K$94),0)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IF(OR(E15="Committed",E15="Implemented"),fn_StrategyMarginal(C15,D15,G15,2024,Filing_Status,$K$94),0)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IF(OR(E16="Committed",E16="Implemented"),fn_StrategyMarginal(C16,D16,G16,2024,Filing_Status,$K$94),0)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IF(OR(E17="Committed",E17="Implemented"),fn_StrategyMarginal(C17,D17,G17,2024,Filing_Status,$K$94),0)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IF(OR(E18="Committed",E18="Implemented"),fn_StrategyMarginal(C18,D18,G18,2024,Filing_Status,$K$94),0)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IF(OR(E19="Committed",E19="Implemented"),fn_StrategyMarginal(C19,D19,G19,2024,Filing_Status,$K$94),0)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IF(OR(E20="Committed",E20="Implemented"),fn_StrategyMarginal(C20,D20,G20,2024,Filing_Status,$K$94),0)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3"/>
    <row r="164"/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3"/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inlineStr">
        <is>
          <t>State pass-through entity tax</t>
        </is>
      </c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4"/>
    <row r="35"/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7"/>
    <row r="48"/>
    <row r="49">
      <c r="I49" s="9" t="inlineStr">
        <is>
          <t>1z</t>
        </is>
      </c>
      <c r="L49" s="8">
        <f>HYPERLINK("#Master_Inputs!A1", "✏ open Master_Inputs to edit")</f>
        <v/>
      </c>
    </row>
    <row r="50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/>
    <row r="53"/>
    <row r="54"/>
    <row r="55"/>
    <row r="56"/>
    <row r="57"/>
    <row r="58"/>
    <row r="59"/>
    <row r="60"/>
    <row r="61"/>
    <row r="62"/>
    <row r="63"/>
    <row r="64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7"/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"SS_Wage_Base"))*0.062</f>
        <v/>
      </c>
      <c r="K84" s="100">
        <f>MIN(K83,SUMIFS(tblThresholds[Value], tblThresholds[Year], 2025, tblThresholds[FilingStatus], Filing_Status, tblThresholds[Item], "SS_Wage_Base"))*0.062</f>
        <v/>
      </c>
      <c r="L84" s="100" t="n"/>
    </row>
    <row r="85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J33*0.25</f>
        <v/>
      </c>
      <c r="K106" s="100">
        <f>K33*0.25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37"/>
    <row r="138"/>
    <row r="139"/>
    <row r="140" ht="22" customHeight="1" s="99">
      <c r="A140" s="106" t="inlineStr">
        <is>
          <t>▸ DASHBOARD AT-A-GLANCE — Y2025</t>
        </is>
      </c>
    </row>
    <row r="141"/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IF(OR(E6="Committed",E6="Implemented"),fn_StrategyMarginal(C6,D6,G6,2025,Filing_Status,$K$94),0)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IF(OR(E7="Committed",E7="Implemented"),fn_StrategyMarginal(C7,D7,G7,2025,Filing_Status,$K$94),0)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IF(OR(E8="Committed",E8="Implemented"),fn_StrategyMarginal(C8,D8,G8,2025,Filing_Status,$K$94),0)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IF(OR(E9="Committed",E9="Implemented"),fn_StrategyMarginal(C9,D9,G9,2025,Filing_Status,$K$94),0)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IF(OR(E10="Committed",E10="Implemented"),fn_StrategyMarginal(C10,D10,G10,2025,Filing_Status,$K$94),0)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IF(OR(E11="Committed",E11="Implemented"),fn_StrategyMarginal(C11,D11,G11,2025,Filing_Status,$K$94),0)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IF(OR(E12="Committed",E12="Implemented"),fn_StrategyMarginal(C12,D12,G12,2025,Filing_Status,$K$94),0)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IF(OR(E13="Committed",E13="Implemented"),fn_StrategyMarginal(C13,D13,G13,2025,Filing_Status,$K$94),0)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IF(OR(E14="Committed",E14="Implemented"),fn_StrategyMarginal(C14,D14,G14,2025,Filing_Status,$K$94),0)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IF(OR(E15="Committed",E15="Implemented"),fn_StrategyMarginal(C15,D15,G15,2025,Filing_Status,$K$94),0)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IF(OR(E16="Committed",E16="Implemented"),fn_StrategyMarginal(C16,D16,G16,2025,Filing_Status,$K$94),0)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IF(OR(E17="Committed",E17="Implemented"),fn_StrategyMarginal(C17,D17,G17,2025,Filing_Status,$K$94),0)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IF(OR(E18="Committed",E18="Implemented"),fn_StrategyMarginal(C18,D18,G18,2025,Filing_Status,$K$94),0)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IF(OR(E19="Committed",E19="Implemented"),fn_StrategyMarginal(C19,D19,G19,2025,Filing_Status,$K$94),0)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IF(OR(E20="Committed",E20="Implemented"),fn_StrategyMarginal(C20,D20,G20,2025,Filing_Status,$K$94),0)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3"/>
    <row r="164"/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5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"SS_Wage_Base"))*0.062</f>
        <v/>
      </c>
      <c r="K84" s="100">
        <f>MIN(K83,SUMIFS(tblThresholds[Value], tblThresholds[Year], 2026,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37"/>
    <row r="138"/>
    <row r="139"/>
    <row r="140" ht="22" customHeight="1" s="99">
      <c r="A140" s="106" t="inlineStr">
        <is>
          <t>▸ DASHBOARD AT-A-GLANCE — Y2026</t>
        </is>
      </c>
    </row>
    <row r="141"/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IF(OR(E6="Committed",E6="Implemented"),fn_StrategyMarginal(C6,D6,G6,2026,Filing_Status,$K$94),0)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IF(OR(E7="Committed",E7="Implemented"),fn_StrategyMarginal(C7,D7,G7,2026,Filing_Status,$K$94),0)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IF(OR(E8="Committed",E8="Implemented"),fn_StrategyMarginal(C8,D8,G8,2026,Filing_Status,$K$94),0)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IF(OR(E9="Committed",E9="Implemented"),fn_StrategyMarginal(C9,D9,G9,2026,Filing_Status,$K$94),0)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IF(OR(E10="Committed",E10="Implemented"),fn_StrategyMarginal(C10,D10,G10,2026,Filing_Status,$K$94),0)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IF(OR(E11="Committed",E11="Implemented"),fn_StrategyMarginal(C11,D11,G11,2026,Filing_Status,$K$94),0)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IF(OR(E12="Committed",E12="Implemented"),fn_StrategyMarginal(C12,D12,G12,2026,Filing_Status,$K$94),0)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IF(OR(E13="Committed",E13="Implemented"),fn_StrategyMarginal(C13,D13,G13,2026,Filing_Status,$K$94),0)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IF(OR(E14="Committed",E14="Implemented"),fn_StrategyMarginal(C14,D14,G14,2026,Filing_Status,$K$94),0)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IF(OR(E15="Committed",E15="Implemented"),fn_StrategyMarginal(C15,D15,G15,2026,Filing_Status,$K$94),0)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IF(OR(E16="Committed",E16="Implemented"),fn_StrategyMarginal(C16,D16,G16,2026,Filing_Status,$K$94),0)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IF(OR(E17="Committed",E17="Implemented"),fn_StrategyMarginal(C17,D17,G17,2026,Filing_Status,$K$94),0)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IF(OR(E18="Committed",E18="Implemented"),fn_StrategyMarginal(C18,D18,G18,2026,Filing_Status,$K$94),0)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IF(OR(E19="Committed",E19="Implemented"),fn_StrategyMarginal(C19,D19,G19,2026,Filing_Status,$K$94),0)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IF(OR(E20="Committed",E20="Implemented"),fn_StrategyMarginal(C20,D20,G20,2026,Filing_Status,$K$94),0)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3"/>
    <row r="164"/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"SS_Wage_Base"))*0.062</f>
        <v/>
      </c>
      <c r="K84" s="100">
        <f>MIN(K83,SUMIFS(tblThresholds[Value], tblThresholds[Year], 2027,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37"/>
    <row r="138"/>
    <row r="139"/>
    <row r="140" ht="22" customHeight="1" s="99">
      <c r="A140" s="106" t="inlineStr">
        <is>
          <t>▸ DASHBOARD AT-A-GLANCE — Y2027</t>
        </is>
      </c>
    </row>
    <row r="141"/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IF(OR(E6="Committed",E6="Implemented"),fn_StrategyMarginal(C6,D6,G6,2027,Filing_Status,$K$94),0)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IF(OR(E7="Committed",E7="Implemented"),fn_StrategyMarginal(C7,D7,G7,2027,Filing_Status,$K$94),0)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IF(OR(E8="Committed",E8="Implemented"),fn_StrategyMarginal(C8,D8,G8,2027,Filing_Status,$K$94),0)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IF(OR(E9="Committed",E9="Implemented"),fn_StrategyMarginal(C9,D9,G9,2027,Filing_Status,$K$94),0)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IF(OR(E10="Committed",E10="Implemented"),fn_StrategyMarginal(C10,D10,G10,2027,Filing_Status,$K$94),0)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IF(OR(E11="Committed",E11="Implemented"),fn_StrategyMarginal(C11,D11,G11,2027,Filing_Status,$K$94),0)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IF(OR(E12="Committed",E12="Implemented"),fn_StrategyMarginal(C12,D12,G12,2027,Filing_Status,$K$94),0)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IF(OR(E13="Committed",E13="Implemented"),fn_StrategyMarginal(C13,D13,G13,2027,Filing_Status,$K$94),0)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IF(OR(E14="Committed",E14="Implemented"),fn_StrategyMarginal(C14,D14,G14,2027,Filing_Status,$K$94),0)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IF(OR(E15="Committed",E15="Implemented"),fn_StrategyMarginal(C15,D15,G15,2027,Filing_Status,$K$94),0)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IF(OR(E16="Committed",E16="Implemented"),fn_StrategyMarginal(C16,D16,G16,2027,Filing_Status,$K$94),0)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IF(OR(E17="Committed",E17="Implemented"),fn_StrategyMarginal(C17,D17,G17,2027,Filing_Status,$K$94),0)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IF(OR(E18="Committed",E18="Implemented"),fn_StrategyMarginal(C18,D18,G18,2027,Filing_Status,$K$94),0)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IF(OR(E19="Committed",E19="Implemented"),fn_StrategyMarginal(C19,D19,G19,2027,Filing_Status,$K$94),0)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IF(OR(E20="Committed",E20="Implemented"),fn_StrategyMarginal(C20,D20,G20,2027,Filing_Status,$K$94),0)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3"/>
    <row r="164"/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"SS_Wage_Base"))*0.062</f>
        <v/>
      </c>
      <c r="K84" s="100">
        <f>MIN(K83,SUMIFS(tblThresholds[Value], tblThresholds[Year], 2028,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37"/>
    <row r="138"/>
    <row r="139"/>
    <row r="140" ht="22" customHeight="1" s="99">
      <c r="A140" s="106" t="inlineStr">
        <is>
          <t>▸ DASHBOARD AT-A-GLANCE — Y2028</t>
        </is>
      </c>
    </row>
    <row r="141"/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IF(OR(E6="Committed",E6="Implemented"),fn_StrategyMarginal(C6,D6,G6,2028,Filing_Status,$K$94),0)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IF(OR(E7="Committed",E7="Implemented"),fn_StrategyMarginal(C7,D7,G7,2028,Filing_Status,$K$94),0)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IF(OR(E8="Committed",E8="Implemented"),fn_StrategyMarginal(C8,D8,G8,2028,Filing_Status,$K$94),0)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IF(OR(E9="Committed",E9="Implemented"),fn_StrategyMarginal(C9,D9,G9,2028,Filing_Status,$K$94),0)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IF(OR(E10="Committed",E10="Implemented"),fn_StrategyMarginal(C10,D10,G10,2028,Filing_Status,$K$94),0)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IF(OR(E11="Committed",E11="Implemented"),fn_StrategyMarginal(C11,D11,G11,2028,Filing_Status,$K$94),0)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IF(OR(E12="Committed",E12="Implemented"),fn_StrategyMarginal(C12,D12,G12,2028,Filing_Status,$K$94),0)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IF(OR(E13="Committed",E13="Implemented"),fn_StrategyMarginal(C13,D13,G13,2028,Filing_Status,$K$94),0)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IF(OR(E14="Committed",E14="Implemented"),fn_StrategyMarginal(C14,D14,G14,2028,Filing_Status,$K$94),0)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IF(OR(E15="Committed",E15="Implemented"),fn_StrategyMarginal(C15,D15,G15,2028,Filing_Status,$K$94),0)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IF(OR(E16="Committed",E16="Implemented"),fn_StrategyMarginal(C16,D16,G16,2028,Filing_Status,$K$94),0)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IF(OR(E17="Committed",E17="Implemented"),fn_StrategyMarginal(C17,D17,G17,2028,Filing_Status,$K$94),0)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IF(OR(E18="Committed",E18="Implemented"),fn_StrategyMarginal(C18,D18,G18,2028,Filing_Status,$K$94),0)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IF(OR(E19="Committed",E19="Implemented"),fn_StrategyMarginal(C19,D19,G19,2028,Filing_Status,$K$94),0)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IF(OR(E20="Committed",E20="Implemented"),fn_StrategyMarginal(C20,D20,G20,2028,Filing_Status,$K$94),0)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3"/>
    <row r="164"/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A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2"/>
    <row r="3">
      <c r="B3" s="11" t="inlineStr">
        <is>
          <t>Activity_Type</t>
        </is>
      </c>
      <c r="C3" t="inlineStr">
        <is>
          <t>(All)</t>
        </is>
      </c>
    </row>
    <row r="4"/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A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4"/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A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2"/>
    <row r="3">
      <c r="B3" s="11" t="inlineStr">
        <is>
          <t>Activity_Type</t>
        </is>
      </c>
      <c r="C3" t="inlineStr">
        <is>
          <t>(All)</t>
        </is>
      </c>
    </row>
    <row r="4"/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7030A0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2"/>
    <row r="3">
      <c r="B3" s="11" t="inlineStr">
        <is>
          <t>Activity_Type</t>
        </is>
      </c>
      <c r="C3" t="inlineStr">
        <is>
          <t>(All)</t>
        </is>
      </c>
    </row>
    <row r="4"/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B2:J669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50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  <row r="615">
      <c r="B615" s="161" t="inlineStr">
        <is>
          <t>STATE TAX RATES + PTET ELIGIBILITY (2024)</t>
        </is>
      </c>
    </row>
    <row r="616">
      <c r="B616" s="192" t="inlineStr">
        <is>
          <t>Top marginal rate by state + whether PTET (pass-through entity tax) election is available. Update annually as PTET landscape changes.</t>
        </is>
      </c>
    </row>
    <row r="618">
      <c r="B618" s="145" t="inlineStr">
        <is>
          <t>State</t>
        </is>
      </c>
      <c r="C618" s="145" t="inlineStr">
        <is>
          <t>Top_Marginal_Rate</t>
        </is>
      </c>
      <c r="D618" s="145" t="inlineStr">
        <is>
          <t>Has_PTET</t>
        </is>
      </c>
      <c r="E618" s="145" t="inlineStr">
        <is>
          <t>PTET_Rate</t>
        </is>
      </c>
      <c r="F618" s="145" t="inlineStr">
        <is>
          <t>Notes</t>
        </is>
      </c>
    </row>
    <row r="619">
      <c r="B619" s="158" t="inlineStr">
        <is>
          <t>AL</t>
        </is>
      </c>
      <c r="C619" s="193" t="n">
        <v>0.05</v>
      </c>
      <c r="D619" s="158" t="inlineStr">
        <is>
          <t>Yes</t>
        </is>
      </c>
      <c r="E619" s="193" t="n">
        <v>0.05</v>
      </c>
      <c r="F619" s="194" t="inlineStr">
        <is>
          <t>PTET election available</t>
        </is>
      </c>
    </row>
    <row r="620">
      <c r="B620" s="158" t="inlineStr">
        <is>
          <t>AK</t>
        </is>
      </c>
      <c r="C620" s="193" t="n">
        <v>0</v>
      </c>
      <c r="D620" s="158" t="inlineStr">
        <is>
          <t>No</t>
        </is>
      </c>
      <c r="E620" s="195" t="n"/>
      <c r="F620" s="194" t="inlineStr">
        <is>
          <t>No state income tax</t>
        </is>
      </c>
    </row>
    <row r="621">
      <c r="B621" s="158" t="inlineStr">
        <is>
          <t>AZ</t>
        </is>
      </c>
      <c r="C621" s="193" t="n">
        <v>0.025</v>
      </c>
      <c r="D621" s="158" t="inlineStr">
        <is>
          <t>Yes</t>
        </is>
      </c>
      <c r="E621" s="193" t="n">
        <v>0.025</v>
      </c>
      <c r="F621" s="194" t="inlineStr">
        <is>
          <t>Flat 2.5%; PTET election available</t>
        </is>
      </c>
    </row>
    <row r="622">
      <c r="B622" s="158" t="inlineStr">
        <is>
          <t>AR</t>
        </is>
      </c>
      <c r="C622" s="193" t="n">
        <v>0.044</v>
      </c>
      <c r="D622" s="158" t="inlineStr">
        <is>
          <t>Yes</t>
        </is>
      </c>
      <c r="E622" s="193" t="n">
        <v>0.044</v>
      </c>
      <c r="F622" s="194" t="inlineStr">
        <is>
          <t>PTET election available</t>
        </is>
      </c>
    </row>
    <row r="623">
      <c r="B623" s="158" t="inlineStr">
        <is>
          <t>CA</t>
        </is>
      </c>
      <c r="C623" s="193" t="n">
        <v>0.133</v>
      </c>
      <c r="D623" s="158" t="inlineStr">
        <is>
          <t>Yes</t>
        </is>
      </c>
      <c r="E623" s="193" t="n">
        <v>0.093</v>
      </c>
      <c r="F623" s="194" t="inlineStr">
        <is>
          <t>13.3% top rate (12.3% + 1% mental health surtax over $1M); PTET 9.3%</t>
        </is>
      </c>
    </row>
    <row r="624">
      <c r="B624" s="158" t="inlineStr">
        <is>
          <t>CO</t>
        </is>
      </c>
      <c r="C624" s="193" t="n">
        <v>0.044</v>
      </c>
      <c r="D624" s="158" t="inlineStr">
        <is>
          <t>Yes</t>
        </is>
      </c>
      <c r="E624" s="193" t="n">
        <v>0.044</v>
      </c>
      <c r="F624" s="194" t="inlineStr">
        <is>
          <t>Flat 4.4%; PTET election available</t>
        </is>
      </c>
    </row>
    <row r="625">
      <c r="B625" s="158" t="inlineStr">
        <is>
          <t>CT</t>
        </is>
      </c>
      <c r="C625" s="193" t="n">
        <v>0.0699</v>
      </c>
      <c r="D625" s="158" t="inlineStr">
        <is>
          <t>Yes</t>
        </is>
      </c>
      <c r="E625" s="193" t="n">
        <v>0.0699</v>
      </c>
      <c r="F625" s="194" t="inlineStr">
        <is>
          <t>PTET mandatory; election to opt out as of 2024</t>
        </is>
      </c>
    </row>
    <row r="626">
      <c r="B626" s="158" t="inlineStr">
        <is>
          <t>DE</t>
        </is>
      </c>
      <c r="C626" s="193" t="n">
        <v>0.066</v>
      </c>
      <c r="D626" s="158" t="inlineStr">
        <is>
          <t>Yes</t>
        </is>
      </c>
      <c r="E626" s="193" t="n">
        <v>0.066</v>
      </c>
      <c r="F626" s="194" t="inlineStr">
        <is>
          <t>PTET election available</t>
        </is>
      </c>
    </row>
    <row r="627">
      <c r="B627" s="158" t="inlineStr">
        <is>
          <t>DC</t>
        </is>
      </c>
      <c r="C627" s="193" t="n">
        <v>0.1075</v>
      </c>
      <c r="D627" s="158" t="inlineStr">
        <is>
          <t>No</t>
        </is>
      </c>
      <c r="E627" s="195" t="n"/>
      <c r="F627" s="194" t="inlineStr">
        <is>
          <t>No PTET as of 2024</t>
        </is>
      </c>
    </row>
    <row r="628">
      <c r="B628" s="158" t="inlineStr">
        <is>
          <t>FL</t>
        </is>
      </c>
      <c r="C628" s="193" t="n">
        <v>0</v>
      </c>
      <c r="D628" s="158" t="inlineStr">
        <is>
          <t>No</t>
        </is>
      </c>
      <c r="E628" s="195" t="n"/>
      <c r="F628" s="194" t="inlineStr">
        <is>
          <t>No state personal income tax</t>
        </is>
      </c>
    </row>
    <row r="629">
      <c r="B629" s="158" t="inlineStr">
        <is>
          <t>GA</t>
        </is>
      </c>
      <c r="C629" s="193" t="n">
        <v>0.0539</v>
      </c>
      <c r="D629" s="158" t="inlineStr">
        <is>
          <t>Yes</t>
        </is>
      </c>
      <c r="E629" s="193" t="n">
        <v>0.0539</v>
      </c>
      <c r="F629" s="194" t="inlineStr">
        <is>
          <t>PTET election available</t>
        </is>
      </c>
    </row>
    <row r="630">
      <c r="B630" s="158" t="inlineStr">
        <is>
          <t>HI</t>
        </is>
      </c>
      <c r="C630" s="193" t="n">
        <v>0.11</v>
      </c>
      <c r="D630" s="158" t="inlineStr">
        <is>
          <t>Yes</t>
        </is>
      </c>
      <c r="E630" s="193" t="n">
        <v>0.11</v>
      </c>
      <c r="F630" s="194" t="inlineStr">
        <is>
          <t>PTET election available</t>
        </is>
      </c>
    </row>
    <row r="631">
      <c r="B631" s="158" t="inlineStr">
        <is>
          <t>ID</t>
        </is>
      </c>
      <c r="C631" s="193" t="n">
        <v>0.058</v>
      </c>
      <c r="D631" s="158" t="inlineStr">
        <is>
          <t>Yes</t>
        </is>
      </c>
      <c r="E631" s="193" t="n">
        <v>0.058</v>
      </c>
      <c r="F631" s="194" t="inlineStr">
        <is>
          <t>Flat 5.8%; PTET election available</t>
        </is>
      </c>
    </row>
    <row r="632">
      <c r="B632" s="158" t="inlineStr">
        <is>
          <t>IL</t>
        </is>
      </c>
      <c r="C632" s="193" t="n">
        <v>0.0495</v>
      </c>
      <c r="D632" s="158" t="inlineStr">
        <is>
          <t>Yes</t>
        </is>
      </c>
      <c r="E632" s="193" t="n">
        <v>0.0495</v>
      </c>
      <c r="F632" s="194" t="inlineStr">
        <is>
          <t>PTET election available</t>
        </is>
      </c>
    </row>
    <row r="633">
      <c r="B633" s="158" t="inlineStr">
        <is>
          <t>IN</t>
        </is>
      </c>
      <c r="C633" s="193" t="n">
        <v>0.0315</v>
      </c>
      <c r="D633" s="158" t="inlineStr">
        <is>
          <t>Yes</t>
        </is>
      </c>
      <c r="E633" s="193" t="n">
        <v>0.0315</v>
      </c>
      <c r="F633" s="194" t="inlineStr">
        <is>
          <t>PTET election available</t>
        </is>
      </c>
    </row>
    <row r="634">
      <c r="B634" s="158" t="inlineStr">
        <is>
          <t>IA</t>
        </is>
      </c>
      <c r="C634" s="193" t="n">
        <v>0.059</v>
      </c>
      <c r="D634" s="158" t="inlineStr">
        <is>
          <t>Yes</t>
        </is>
      </c>
      <c r="E634" s="193" t="n">
        <v>0.059</v>
      </c>
      <c r="F634" s="194" t="inlineStr">
        <is>
          <t>PTET election available</t>
        </is>
      </c>
    </row>
    <row r="635">
      <c r="B635" s="158" t="inlineStr">
        <is>
          <t>KS</t>
        </is>
      </c>
      <c r="C635" s="193" t="n">
        <v>0.057</v>
      </c>
      <c r="D635" s="158" t="inlineStr">
        <is>
          <t>Yes</t>
        </is>
      </c>
      <c r="E635" s="193" t="n">
        <v>0.057</v>
      </c>
      <c r="F635" s="194" t="inlineStr">
        <is>
          <t>PTET election available</t>
        </is>
      </c>
    </row>
    <row r="636">
      <c r="B636" s="158" t="inlineStr">
        <is>
          <t>KY</t>
        </is>
      </c>
      <c r="C636" s="193" t="n">
        <v>0.04</v>
      </c>
      <c r="D636" s="158" t="inlineStr">
        <is>
          <t>Yes</t>
        </is>
      </c>
      <c r="E636" s="193" t="n">
        <v>0.04</v>
      </c>
      <c r="F636" s="194" t="inlineStr">
        <is>
          <t>PTET election available</t>
        </is>
      </c>
    </row>
    <row r="637">
      <c r="B637" s="158" t="inlineStr">
        <is>
          <t>LA</t>
        </is>
      </c>
      <c r="C637" s="193" t="n">
        <v>0.0425</v>
      </c>
      <c r="D637" s="158" t="inlineStr">
        <is>
          <t>Yes</t>
        </is>
      </c>
      <c r="E637" s="193" t="n">
        <v>0.0425</v>
      </c>
      <c r="F637" s="194" t="inlineStr">
        <is>
          <t>PTET election available</t>
        </is>
      </c>
    </row>
    <row r="638">
      <c r="B638" s="158" t="inlineStr">
        <is>
          <t>ME</t>
        </is>
      </c>
      <c r="C638" s="193" t="n">
        <v>0.07149999999999999</v>
      </c>
      <c r="D638" s="158" t="inlineStr">
        <is>
          <t>No</t>
        </is>
      </c>
      <c r="E638" s="195" t="n"/>
      <c r="F638" s="194" t="inlineStr">
        <is>
          <t>No PTET as of 2024</t>
        </is>
      </c>
    </row>
    <row r="639">
      <c r="B639" s="158" t="inlineStr">
        <is>
          <t>MD</t>
        </is>
      </c>
      <c r="C639" s="193" t="n">
        <v>0.0575</v>
      </c>
      <c r="D639" s="158" t="inlineStr">
        <is>
          <t>Yes</t>
        </is>
      </c>
      <c r="E639" s="193" t="n">
        <v>0.08</v>
      </c>
      <c r="F639" s="194" t="inlineStr">
        <is>
          <t>PTET 8% (includes county add-back)</t>
        </is>
      </c>
    </row>
    <row r="640">
      <c r="B640" s="158" t="inlineStr">
        <is>
          <t>MA</t>
        </is>
      </c>
      <c r="C640" s="193" t="n">
        <v>0.09</v>
      </c>
      <c r="D640" s="158" t="inlineStr">
        <is>
          <t>Yes</t>
        </is>
      </c>
      <c r="E640" s="193" t="n">
        <v>0.05</v>
      </c>
      <c r="F640" s="194" t="inlineStr">
        <is>
          <t>Top rate 9% (5% + 4% millionaires tax); PTET 5%</t>
        </is>
      </c>
    </row>
    <row r="641">
      <c r="B641" s="158" t="inlineStr">
        <is>
          <t>MI</t>
        </is>
      </c>
      <c r="C641" s="193" t="n">
        <v>0.0425</v>
      </c>
      <c r="D641" s="158" t="inlineStr">
        <is>
          <t>Yes</t>
        </is>
      </c>
      <c r="E641" s="193" t="n">
        <v>0.0425</v>
      </c>
      <c r="F641" s="194" t="inlineStr">
        <is>
          <t>PTET election available</t>
        </is>
      </c>
    </row>
    <row r="642">
      <c r="B642" s="158" t="inlineStr">
        <is>
          <t>MN</t>
        </is>
      </c>
      <c r="C642" s="193" t="n">
        <v>0.0985</v>
      </c>
      <c r="D642" s="158" t="inlineStr">
        <is>
          <t>Yes</t>
        </is>
      </c>
      <c r="E642" s="193" t="n">
        <v>0.0985</v>
      </c>
      <c r="F642" s="194" t="inlineStr">
        <is>
          <t>PTET election available</t>
        </is>
      </c>
    </row>
    <row r="643">
      <c r="B643" s="158" t="inlineStr">
        <is>
          <t>MS</t>
        </is>
      </c>
      <c r="C643" s="193" t="n">
        <v>0.044</v>
      </c>
      <c r="D643" s="158" t="inlineStr">
        <is>
          <t>Yes</t>
        </is>
      </c>
      <c r="E643" s="193" t="n">
        <v>0.05</v>
      </c>
      <c r="F643" s="194" t="inlineStr">
        <is>
          <t>PTET election available</t>
        </is>
      </c>
    </row>
    <row r="644">
      <c r="B644" s="158" t="inlineStr">
        <is>
          <t>MO</t>
        </is>
      </c>
      <c r="C644" s="193" t="n">
        <v>0.048</v>
      </c>
      <c r="D644" s="158" t="inlineStr">
        <is>
          <t>Yes</t>
        </is>
      </c>
      <c r="E644" s="193" t="n">
        <v>0.048</v>
      </c>
      <c r="F644" s="194" t="inlineStr">
        <is>
          <t>PTET election available</t>
        </is>
      </c>
    </row>
    <row r="645">
      <c r="B645" s="158" t="inlineStr">
        <is>
          <t>MT</t>
        </is>
      </c>
      <c r="C645" s="193" t="n">
        <v>0.059</v>
      </c>
      <c r="D645" s="158" t="inlineStr">
        <is>
          <t>Yes</t>
        </is>
      </c>
      <c r="E645" s="193" t="n">
        <v>0.059</v>
      </c>
      <c r="F645" s="194" t="inlineStr">
        <is>
          <t>PTET election available</t>
        </is>
      </c>
    </row>
    <row r="646">
      <c r="B646" s="158" t="inlineStr">
        <is>
          <t>NE</t>
        </is>
      </c>
      <c r="C646" s="193" t="n">
        <v>0.0524</v>
      </c>
      <c r="D646" s="158" t="inlineStr">
        <is>
          <t>Yes</t>
        </is>
      </c>
      <c r="E646" s="193" t="n">
        <v>0.0524</v>
      </c>
      <c r="F646" s="194" t="inlineStr">
        <is>
          <t>PTET election available</t>
        </is>
      </c>
    </row>
    <row r="647">
      <c r="B647" s="158" t="inlineStr">
        <is>
          <t>NV</t>
        </is>
      </c>
      <c r="C647" s="193" t="n">
        <v>0</v>
      </c>
      <c r="D647" s="158" t="inlineStr">
        <is>
          <t>No</t>
        </is>
      </c>
      <c r="E647" s="195" t="n"/>
      <c r="F647" s="194" t="inlineStr">
        <is>
          <t>No state personal income tax</t>
        </is>
      </c>
    </row>
    <row r="648">
      <c r="B648" s="158" t="inlineStr">
        <is>
          <t>NH</t>
        </is>
      </c>
      <c r="C648" s="193" t="n">
        <v>0</v>
      </c>
      <c r="D648" s="158" t="inlineStr">
        <is>
          <t>No</t>
        </is>
      </c>
      <c r="E648" s="195" t="n"/>
      <c r="F648" s="194" t="inlineStr">
        <is>
          <t>No income tax on wages (interest/dividends only — repealed 2025)</t>
        </is>
      </c>
    </row>
    <row r="649">
      <c r="B649" s="158" t="inlineStr">
        <is>
          <t>NJ</t>
        </is>
      </c>
      <c r="C649" s="193" t="n">
        <v>0.1075</v>
      </c>
      <c r="D649" s="158" t="inlineStr">
        <is>
          <t>Yes</t>
        </is>
      </c>
      <c r="E649" s="193" t="n">
        <v>0.1075</v>
      </c>
      <c r="F649" s="194" t="inlineStr">
        <is>
          <t>PTET (BAIT) election available</t>
        </is>
      </c>
    </row>
    <row r="650">
      <c r="B650" s="158" t="inlineStr">
        <is>
          <t>NM</t>
        </is>
      </c>
      <c r="C650" s="193" t="n">
        <v>0.059</v>
      </c>
      <c r="D650" s="158" t="inlineStr">
        <is>
          <t>Yes</t>
        </is>
      </c>
      <c r="E650" s="193" t="n">
        <v>0.059</v>
      </c>
      <c r="F650" s="194" t="inlineStr">
        <is>
          <t>PTET election available</t>
        </is>
      </c>
    </row>
    <row r="651">
      <c r="B651" s="158" t="inlineStr">
        <is>
          <t>NY</t>
        </is>
      </c>
      <c r="C651" s="193" t="n">
        <v>0.109</v>
      </c>
      <c r="D651" s="158" t="inlineStr">
        <is>
          <t>Yes</t>
        </is>
      </c>
      <c r="E651" s="193" t="n">
        <v>0.06850000000000001</v>
      </c>
      <c r="F651" s="194" t="inlineStr">
        <is>
          <t>PTET 6.85% on income up to $2M; higher above</t>
        </is>
      </c>
    </row>
    <row r="652">
      <c r="B652" s="158" t="inlineStr">
        <is>
          <t>NC</t>
        </is>
      </c>
      <c r="C652" s="193" t="n">
        <v>0.045</v>
      </c>
      <c r="D652" s="158" t="inlineStr">
        <is>
          <t>Yes</t>
        </is>
      </c>
      <c r="E652" s="193" t="n">
        <v>0.045</v>
      </c>
      <c r="F652" s="194" t="inlineStr">
        <is>
          <t>PTET election available</t>
        </is>
      </c>
    </row>
    <row r="653">
      <c r="B653" s="158" t="inlineStr">
        <is>
          <t>ND</t>
        </is>
      </c>
      <c r="C653" s="193" t="n">
        <v>0.025</v>
      </c>
      <c r="D653" s="158" t="inlineStr">
        <is>
          <t>No</t>
        </is>
      </c>
      <c r="E653" s="195" t="n"/>
      <c r="F653" s="194" t="inlineStr">
        <is>
          <t>Top 2.5%; no PTET</t>
        </is>
      </c>
    </row>
    <row r="654">
      <c r="B654" s="158" t="inlineStr">
        <is>
          <t>OH</t>
        </is>
      </c>
      <c r="C654" s="193" t="n">
        <v>0.0399</v>
      </c>
      <c r="D654" s="158" t="inlineStr">
        <is>
          <t>Yes</t>
        </is>
      </c>
      <c r="E654" s="193" t="n">
        <v>0.0399</v>
      </c>
      <c r="F654" s="194" t="inlineStr">
        <is>
          <t>PTET election available</t>
        </is>
      </c>
    </row>
    <row r="655">
      <c r="B655" s="158" t="inlineStr">
        <is>
          <t>OK</t>
        </is>
      </c>
      <c r="C655" s="193" t="n">
        <v>0.0475</v>
      </c>
      <c r="D655" s="158" t="inlineStr">
        <is>
          <t>Yes</t>
        </is>
      </c>
      <c r="E655" s="193" t="n">
        <v>0.0475</v>
      </c>
      <c r="F655" s="194" t="inlineStr">
        <is>
          <t>PTET election available</t>
        </is>
      </c>
    </row>
    <row r="656">
      <c r="B656" s="158" t="inlineStr">
        <is>
          <t>OR</t>
        </is>
      </c>
      <c r="C656" s="193" t="n">
        <v>0.099</v>
      </c>
      <c r="D656" s="158" t="inlineStr">
        <is>
          <t>Yes</t>
        </is>
      </c>
      <c r="E656" s="193" t="n">
        <v>0.099</v>
      </c>
      <c r="F656" s="194" t="inlineStr">
        <is>
          <t>PTET election available</t>
        </is>
      </c>
    </row>
    <row r="657">
      <c r="B657" s="158" t="inlineStr">
        <is>
          <t>PA</t>
        </is>
      </c>
      <c r="C657" s="193" t="n">
        <v>0.0307</v>
      </c>
      <c r="D657" s="158" t="inlineStr">
        <is>
          <t>No</t>
        </is>
      </c>
      <c r="E657" s="195" t="n"/>
      <c r="F657" s="194" t="inlineStr">
        <is>
          <t>Flat 3.07%; no PTET</t>
        </is>
      </c>
    </row>
    <row r="658">
      <c r="B658" s="158" t="inlineStr">
        <is>
          <t>RI</t>
        </is>
      </c>
      <c r="C658" s="193" t="n">
        <v>0.0599</v>
      </c>
      <c r="D658" s="158" t="inlineStr">
        <is>
          <t>Yes</t>
        </is>
      </c>
      <c r="E658" s="193" t="n">
        <v>0.0599</v>
      </c>
      <c r="F658" s="194" t="inlineStr">
        <is>
          <t>PTET election available</t>
        </is>
      </c>
    </row>
    <row r="659">
      <c r="B659" s="158" t="inlineStr">
        <is>
          <t>SC</t>
        </is>
      </c>
      <c r="C659" s="193" t="n">
        <v>0.064</v>
      </c>
      <c r="D659" s="158" t="inlineStr">
        <is>
          <t>Yes</t>
        </is>
      </c>
      <c r="E659" s="193" t="n">
        <v>0.03</v>
      </c>
      <c r="F659" s="194" t="inlineStr">
        <is>
          <t>PTET 3%</t>
        </is>
      </c>
    </row>
    <row r="660">
      <c r="B660" s="158" t="inlineStr">
        <is>
          <t>SD</t>
        </is>
      </c>
      <c r="C660" s="193" t="n">
        <v>0</v>
      </c>
      <c r="D660" s="158" t="inlineStr">
        <is>
          <t>No</t>
        </is>
      </c>
      <c r="E660" s="195" t="n"/>
      <c r="F660" s="194" t="inlineStr">
        <is>
          <t>No state personal income tax</t>
        </is>
      </c>
    </row>
    <row r="661">
      <c r="B661" s="158" t="inlineStr">
        <is>
          <t>TN</t>
        </is>
      </c>
      <c r="C661" s="193" t="n">
        <v>0</v>
      </c>
      <c r="D661" s="158" t="inlineStr">
        <is>
          <t>No</t>
        </is>
      </c>
      <c r="E661" s="195" t="n"/>
      <c r="F661" s="194" t="inlineStr">
        <is>
          <t>No state income tax (Hall tax repealed 2021)</t>
        </is>
      </c>
    </row>
    <row r="662">
      <c r="B662" s="158" t="inlineStr">
        <is>
          <t>TX</t>
        </is>
      </c>
      <c r="C662" s="193" t="n">
        <v>0</v>
      </c>
      <c r="D662" s="158" t="inlineStr">
        <is>
          <t>No</t>
        </is>
      </c>
      <c r="E662" s="195" t="n"/>
      <c r="F662" s="194" t="inlineStr">
        <is>
          <t>No state personal income tax</t>
        </is>
      </c>
    </row>
    <row r="663">
      <c r="B663" s="158" t="inlineStr">
        <is>
          <t>UT</t>
        </is>
      </c>
      <c r="C663" s="193" t="n">
        <v>0.0465</v>
      </c>
      <c r="D663" s="158" t="inlineStr">
        <is>
          <t>Yes</t>
        </is>
      </c>
      <c r="E663" s="193" t="n">
        <v>0.0465</v>
      </c>
      <c r="F663" s="194" t="inlineStr">
        <is>
          <t>Flat 4.65%; PTET election available</t>
        </is>
      </c>
    </row>
    <row r="664">
      <c r="B664" s="158" t="inlineStr">
        <is>
          <t>VT</t>
        </is>
      </c>
      <c r="C664" s="193" t="n">
        <v>0.08749999999999999</v>
      </c>
      <c r="D664" s="158" t="inlineStr">
        <is>
          <t>No</t>
        </is>
      </c>
      <c r="E664" s="195" t="n"/>
      <c r="F664" s="194" t="inlineStr">
        <is>
          <t>No PTET</t>
        </is>
      </c>
    </row>
    <row r="665">
      <c r="B665" s="158" t="inlineStr">
        <is>
          <t>VA</t>
        </is>
      </c>
      <c r="C665" s="193" t="n">
        <v>0.0575</v>
      </c>
      <c r="D665" s="158" t="inlineStr">
        <is>
          <t>Yes</t>
        </is>
      </c>
      <c r="E665" s="193" t="n">
        <v>0.0575</v>
      </c>
      <c r="F665" s="194" t="inlineStr">
        <is>
          <t>PTET election available</t>
        </is>
      </c>
    </row>
    <row r="666">
      <c r="B666" s="158" t="inlineStr">
        <is>
          <t>WA</t>
        </is>
      </c>
      <c r="C666" s="193" t="n">
        <v>0</v>
      </c>
      <c r="D666" s="158" t="inlineStr">
        <is>
          <t>No</t>
        </is>
      </c>
      <c r="E666" s="195" t="n"/>
      <c r="F666" s="194" t="inlineStr">
        <is>
          <t>No state personal income tax (7% capital gains tax)</t>
        </is>
      </c>
    </row>
    <row r="667">
      <c r="B667" s="158" t="inlineStr">
        <is>
          <t>WV</t>
        </is>
      </c>
      <c r="C667" s="193" t="n">
        <v>0.0512</v>
      </c>
      <c r="D667" s="158" t="inlineStr">
        <is>
          <t>Yes</t>
        </is>
      </c>
      <c r="E667" s="193" t="n">
        <v>0.0512</v>
      </c>
      <c r="F667" s="194" t="inlineStr">
        <is>
          <t>PTET election available</t>
        </is>
      </c>
    </row>
    <row r="668">
      <c r="B668" s="158" t="inlineStr">
        <is>
          <t>WI</t>
        </is>
      </c>
      <c r="C668" s="193" t="n">
        <v>0.0765</v>
      </c>
      <c r="D668" s="158" t="inlineStr">
        <is>
          <t>Yes</t>
        </is>
      </c>
      <c r="E668" s="193" t="n">
        <v>0.079</v>
      </c>
      <c r="F668" s="194" t="inlineStr">
        <is>
          <t>PTET 7.9%</t>
        </is>
      </c>
    </row>
    <row r="669">
      <c r="B669" s="158" t="inlineStr">
        <is>
          <t>WY</t>
        </is>
      </c>
      <c r="C669" s="193" t="n">
        <v>0</v>
      </c>
      <c r="D669" s="158" t="inlineStr">
        <is>
          <t>No</t>
        </is>
      </c>
      <c r="E669" s="195" t="n"/>
      <c r="F669" s="194" t="inlineStr">
        <is>
          <t>No state personal income tax</t>
        </is>
      </c>
    </row>
  </sheetData>
  <mergeCells count="2">
    <mergeCell ref="B616:I616"/>
    <mergeCell ref="B615:I615"/>
  </mergeCell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  <c r="I3" s="196" t="inlineStr">
        <is>
          <t>States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  <c r="I4" s="197" t="inlineStr">
        <is>
          <t>AL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  <c r="I5" s="197" t="inlineStr">
        <is>
          <t>AK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  <c r="I6" s="197" t="inlineStr">
        <is>
          <t>AZ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  <c r="I7" s="197" t="inlineStr">
        <is>
          <t>AR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  <c r="I8" s="197" t="inlineStr">
        <is>
          <t>CA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  <c r="I9" s="197" t="inlineStr">
        <is>
          <t>CO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  <c r="I10" s="197" t="inlineStr">
        <is>
          <t>CT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  <c r="I11" s="197" t="inlineStr">
        <is>
          <t>DE</t>
        </is>
      </c>
    </row>
    <row r="12">
      <c r="D12" t="inlineStr">
        <is>
          <t>Extraction - Tied</t>
        </is>
      </c>
      <c r="F12" t="inlineStr">
        <is>
          <t>12</t>
        </is>
      </c>
      <c r="I12" s="197" t="inlineStr">
        <is>
          <t>DC</t>
        </is>
      </c>
    </row>
    <row r="13">
      <c r="D13" t="inlineStr">
        <is>
          <t>System Calculated</t>
        </is>
      </c>
      <c r="F13" t="inlineStr">
        <is>
          <t>13</t>
        </is>
      </c>
      <c r="I13" s="197" t="inlineStr">
        <is>
          <t>FL</t>
        </is>
      </c>
    </row>
    <row r="14">
      <c r="I14" s="197" t="inlineStr">
        <is>
          <t>GA</t>
        </is>
      </c>
    </row>
    <row r="15">
      <c r="I15" s="197" t="inlineStr">
        <is>
          <t>HI</t>
        </is>
      </c>
    </row>
    <row r="16">
      <c r="I16" s="197" t="inlineStr">
        <is>
          <t>ID</t>
        </is>
      </c>
    </row>
    <row r="17">
      <c r="A17" s="7" t="inlineStr">
        <is>
          <t>▸ PER-BUCKET TREATMENT_PROFILE LISTS</t>
        </is>
      </c>
      <c r="I17" s="197" t="inlineStr">
        <is>
          <t>IL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  <c r="I18" s="197" t="inlineStr">
        <is>
          <t>IN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  <c r="I19" s="197" t="inlineStr">
        <is>
          <t>IA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  <c r="I20" s="197" t="inlineStr">
        <is>
          <t>KS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  <c r="I21" s="197" t="inlineStr">
        <is>
          <t>KY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  <c r="I22" s="197" t="inlineStr">
        <is>
          <t>LA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  <c r="I23" s="197" t="inlineStr">
        <is>
          <t>ME</t>
        </is>
      </c>
    </row>
    <row r="24">
      <c r="A24" t="inlineStr">
        <is>
          <t>K1_PTP_Passive</t>
        </is>
      </c>
      <c r="I24" s="197" t="inlineStr">
        <is>
          <t>MD</t>
        </is>
      </c>
    </row>
    <row r="25">
      <c r="A25" t="inlineStr">
        <is>
          <t>K1_SCorp_Active</t>
        </is>
      </c>
      <c r="I25" s="197" t="inlineStr">
        <is>
          <t>MA</t>
        </is>
      </c>
    </row>
    <row r="26">
      <c r="A26" t="inlineStr">
        <is>
          <t>K1_SCorp_Passive</t>
        </is>
      </c>
      <c r="I26" s="197" t="inlineStr">
        <is>
          <t>MI</t>
        </is>
      </c>
    </row>
    <row r="27">
      <c r="A27" t="inlineStr">
        <is>
          <t>Trust_K1</t>
        </is>
      </c>
      <c r="I27" s="197" t="inlineStr">
        <is>
          <t>MN</t>
        </is>
      </c>
    </row>
    <row r="28">
      <c r="I28" s="197" t="inlineStr">
        <is>
          <t>MS</t>
        </is>
      </c>
    </row>
    <row r="29">
      <c r="I29" s="197" t="inlineStr">
        <is>
          <t>MO</t>
        </is>
      </c>
    </row>
    <row r="30">
      <c r="I30" s="197" t="inlineStr">
        <is>
          <t>MT</t>
        </is>
      </c>
    </row>
    <row r="31">
      <c r="I31" s="197" t="inlineStr">
        <is>
          <t>NE</t>
        </is>
      </c>
    </row>
    <row r="32">
      <c r="I32" s="197" t="inlineStr">
        <is>
          <t>NV</t>
        </is>
      </c>
    </row>
    <row r="33">
      <c r="A33" s="7" t="inlineStr">
        <is>
          <t>▸ PER-BUCKET SOURCE_DOCUMENT LISTS</t>
        </is>
      </c>
      <c r="I33" s="197" t="inlineStr">
        <is>
          <t>NH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  <c r="I34" s="197" t="inlineStr">
        <is>
          <t>NJ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  <c r="I35" s="197" t="inlineStr">
        <is>
          <t>NM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  <c r="I36" s="197" t="inlineStr">
        <is>
          <t>NY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  <c r="I37" s="197" t="inlineStr">
        <is>
          <t>NC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  <c r="I38" s="197" t="inlineStr">
        <is>
          <t>ND</t>
        </is>
      </c>
    </row>
    <row r="39">
      <c r="A39" t="inlineStr">
        <is>
          <t>Sch E Workpaper</t>
        </is>
      </c>
      <c r="E39" t="inlineStr">
        <is>
          <t>SE Health Premium</t>
        </is>
      </c>
      <c r="I39" s="197" t="inlineStr">
        <is>
          <t>OH</t>
        </is>
      </c>
    </row>
    <row r="40">
      <c r="A40" t="inlineStr">
        <is>
          <t>Sch F Workpaper</t>
        </is>
      </c>
      <c r="I40" s="197" t="inlineStr">
        <is>
          <t>OK</t>
        </is>
      </c>
    </row>
    <row r="41">
      <c r="A41" t="inlineStr">
        <is>
          <t>PY Return</t>
        </is>
      </c>
      <c r="I41" s="197" t="inlineStr">
        <is>
          <t>OR</t>
        </is>
      </c>
    </row>
    <row r="42">
      <c r="I42" s="197" t="inlineStr">
        <is>
          <t>PA</t>
        </is>
      </c>
    </row>
    <row r="43">
      <c r="I43" s="197" t="inlineStr">
        <is>
          <t>RI</t>
        </is>
      </c>
    </row>
    <row r="44">
      <c r="I44" s="197" t="inlineStr">
        <is>
          <t>SC</t>
        </is>
      </c>
    </row>
    <row r="45">
      <c r="I45" s="197" t="inlineStr">
        <is>
          <t>SD</t>
        </is>
      </c>
    </row>
    <row r="46">
      <c r="I46" s="197" t="inlineStr">
        <is>
          <t>TN</t>
        </is>
      </c>
    </row>
    <row r="47">
      <c r="I47" s="197" t="inlineStr">
        <is>
          <t>TX</t>
        </is>
      </c>
    </row>
    <row r="48">
      <c r="I48" s="197" t="inlineStr">
        <is>
          <t>UT</t>
        </is>
      </c>
    </row>
    <row r="49">
      <c r="I49" s="197" t="inlineStr">
        <is>
          <t>VT</t>
        </is>
      </c>
    </row>
    <row r="50">
      <c r="I50" s="197" t="inlineStr">
        <is>
          <t>VA</t>
        </is>
      </c>
    </row>
    <row r="51">
      <c r="I51" s="197" t="inlineStr">
        <is>
          <t>WA</t>
        </is>
      </c>
    </row>
    <row r="52">
      <c r="I52" s="197" t="inlineStr">
        <is>
          <t>WV</t>
        </is>
      </c>
    </row>
    <row r="53">
      <c r="I53" s="197" t="inlineStr">
        <is>
          <t>WI</t>
        </is>
      </c>
    </row>
    <row r="54">
      <c r="I54" s="197" t="inlineStr">
        <is>
          <t>WY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cols>
    <col width="12" customWidth="1" style="99" min="6" max="6"/>
    <col width="12" customWidth="1" style="99" min="7" max="7"/>
    <col width="50" customWidth="1" style="99" min="8" max="8"/>
  </cols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  <c r="F19" s="145" t="inlineStr">
        <is>
          <t>Our STR-ID</t>
        </is>
      </c>
      <c r="G19" s="145" t="inlineStr">
        <is>
          <t>Jeff STD-ID</t>
        </is>
      </c>
      <c r="H19" s="145" t="inlineStr">
        <is>
          <t>Cross-Ref Notes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  <c r="F20" s="158" t="inlineStr">
        <is>
          <t>STR-001</t>
        </is>
      </c>
      <c r="G20" s="158" t="inlineStr">
        <is>
          <t>STD-001?</t>
        </is>
      </c>
      <c r="H20" s="159" t="inlineStr">
        <is>
          <t>Entity structuring — verify against Jeff Tab 1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  <c r="F21" s="158" t="inlineStr">
        <is>
          <t>STR-002</t>
        </is>
      </c>
      <c r="G21" s="158" t="inlineStr">
        <is>
          <t>STD-002?</t>
        </is>
      </c>
      <c r="H21" s="159" t="inlineStr">
        <is>
          <t>Wage optimization — likely Jeff #1 in his ordering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  <c r="F22" s="158" t="inlineStr">
        <is>
          <t>STR-003</t>
        </is>
      </c>
      <c r="G22" s="158" t="inlineStr">
        <is>
          <t>STD-003?</t>
        </is>
      </c>
      <c r="H22" s="159" t="inlineStr">
        <is>
          <t>Retirement contributions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  <c r="F23" s="158" t="inlineStr">
        <is>
          <t>STR-004</t>
        </is>
      </c>
      <c r="G23" s="158" t="inlineStr">
        <is>
          <t>STD-004?</t>
        </is>
      </c>
      <c r="H23" s="159" t="inlineStr">
        <is>
          <t>Cost segregation / bonus depreciation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  <c r="F24" s="158" t="inlineStr">
        <is>
          <t>STR-005</t>
        </is>
      </c>
      <c r="G24" s="158" t="inlineStr">
        <is>
          <t>STD-005?</t>
        </is>
      </c>
      <c r="H24" s="159" t="inlineStr">
        <is>
          <t>Low-hanging fruit (Augusta, accountable plan, MERP)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  <c r="F28" s="145" t="inlineStr">
        <is>
          <t>Our STR-ID</t>
        </is>
      </c>
      <c r="G28" s="145" t="inlineStr">
        <is>
          <t>Jeff STD-ID</t>
        </is>
      </c>
      <c r="H28" s="145" t="inlineStr">
        <is>
          <t>Cross-Ref Notes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  <c r="F29" s="158" t="inlineStr">
        <is>
          <t>STR-006</t>
        </is>
      </c>
      <c r="G29" s="158" t="inlineStr">
        <is>
          <t>STD-006?</t>
        </is>
      </c>
      <c r="H29" s="170" t="inlineStr">
        <is>
          <t>PTET — typically Jeff #6 supplemental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  <c r="F30" s="158" t="inlineStr">
        <is>
          <t>STR-007</t>
        </is>
      </c>
      <c r="G30" s="158" t="inlineStr">
        <is>
          <t>STD-007?</t>
        </is>
      </c>
      <c r="H30" s="170" t="inlineStr">
        <is>
          <t>Tax loss harvesting — universal year-end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  <c r="F31" s="158" t="inlineStr">
        <is>
          <t>STR-008</t>
        </is>
      </c>
      <c r="G31" s="158" t="inlineStr">
        <is>
          <t>STD-008?</t>
        </is>
      </c>
      <c r="H31" s="170" t="inlineStr">
        <is>
          <t>Income/expense shifting — universal timing lever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  <c r="F32" s="158" t="inlineStr">
        <is>
          <t>STR-009</t>
        </is>
      </c>
      <c r="G32" s="158" t="inlineStr">
        <is>
          <t>STD-009?</t>
        </is>
      </c>
      <c r="H32" s="170" t="inlineStr">
        <is>
          <t>Roth conversions — bracket management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  <c r="F33" s="158" t="inlineStr">
        <is>
          <t>STR-010</t>
        </is>
      </c>
      <c r="G33" s="158" t="inlineStr">
        <is>
          <t>STD-010?</t>
        </is>
      </c>
      <c r="H33" s="170" t="inlineStr">
        <is>
          <t>DAF — bunching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  <c r="F34" s="158" t="inlineStr">
        <is>
          <t>STR-011</t>
        </is>
      </c>
      <c r="G34" s="158" t="inlineStr">
        <is>
          <t>STD-011?</t>
        </is>
      </c>
      <c r="H34" s="170" t="inlineStr">
        <is>
          <t>1031 exchange — RE transaction-triggered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  <c r="F35" s="158" t="inlineStr">
        <is>
          <t>STR-012</t>
        </is>
      </c>
      <c r="G35" s="158" t="inlineStr">
        <is>
          <t>STD-012?</t>
        </is>
      </c>
      <c r="H35" s="170" t="inlineStr">
        <is>
          <t>Opportunity Zones — capital gain rollover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tabColor rgb="00C00000"/>
    <outlinePr summaryBelow="1" summaryRight="1"/>
    <pageSetUpPr/>
  </sheetPr>
  <dimension ref="B2:L66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3" customWidth="1" style="99" min="2" max="2"/>
    <col width="11" customWidth="1" style="99" min="3" max="3"/>
    <col width="28" customWidth="1" style="99" min="4" max="4"/>
    <col width="10" customWidth="1" style="99" min="5" max="5"/>
    <col width="14" customWidth="1" style="99" min="6" max="6"/>
    <col width="12" customWidth="1" style="99" min="7" max="7"/>
    <col width="22" customWidth="1" style="99" min="8" max="8"/>
    <col width="6" customWidth="1" style="99" min="9" max="9"/>
    <col width="28" customWidth="1" style="99" min="10" max="10"/>
    <col width="18" customWidth="1" style="99" min="11" max="11"/>
    <col width="50" customWidth="1" style="99" min="12" max="12"/>
  </cols>
  <sheetData>
    <row r="2" ht="26" customHeight="1" s="99">
      <c r="B2" s="160" t="inlineStr">
        <is>
          <t>MASTER STRATEGIES CATALOG</t>
        </is>
      </c>
    </row>
    <row r="3">
      <c r="B3" s="137" t="inlineStr">
        <is>
          <t>Source of truth aligned with year-sheet STR-IDs. One row per impact. Use the Strategy Builder (Section D) to size a strategy and see its fan-out before pasting into a year sheet.</t>
        </is>
      </c>
    </row>
    <row r="5">
      <c r="B5" s="171" t="inlineStr">
        <is>
          <t>▸ SECTION A — STRATEGY CATALOG (aligned with year-sheet STR-IDs)</t>
        </is>
      </c>
    </row>
    <row r="7">
      <c r="B7" s="145" t="inlineStr">
        <is>
          <t>Strategy_ID</t>
        </is>
      </c>
      <c r="C7" s="145" t="inlineStr">
        <is>
          <t>Impact_Num</t>
        </is>
      </c>
      <c r="D7" s="145" t="inlineStr">
        <is>
          <t>Strategy_Name</t>
        </is>
      </c>
      <c r="E7" s="145" t="inlineStr">
        <is>
          <t>Bucket</t>
        </is>
      </c>
      <c r="F7" s="145" t="inlineStr">
        <is>
          <t>Framework_Ref</t>
        </is>
      </c>
      <c r="G7" s="145" t="inlineStr">
        <is>
          <t>TargetLine</t>
        </is>
      </c>
      <c r="H7" s="145" t="inlineStr">
        <is>
          <t>HelperTreatment</t>
        </is>
      </c>
      <c r="I7" s="145" t="inlineStr">
        <is>
          <t>Sign</t>
        </is>
      </c>
      <c r="J7" s="145" t="inlineStr">
        <is>
          <t>Cap_Rule</t>
        </is>
      </c>
      <c r="K7" s="145" t="inlineStr">
        <is>
          <t>Plan_Maturity_Min</t>
        </is>
      </c>
      <c r="L7" s="145" t="inlineStr">
        <is>
          <t>Description</t>
        </is>
      </c>
    </row>
    <row r="8">
      <c r="B8" s="172" t="inlineStr">
        <is>
          <t>STR-001</t>
        </is>
      </c>
      <c r="C8" s="158" t="n">
        <v>1</v>
      </c>
      <c r="D8" s="172" t="inlineStr">
        <is>
          <t>S-Corp Wage Optimization</t>
        </is>
      </c>
      <c r="E8" s="172" t="inlineStr">
        <is>
          <t>Core</t>
        </is>
      </c>
      <c r="F8" s="172" t="inlineStr">
        <is>
          <t>#2</t>
        </is>
      </c>
      <c r="G8" s="172" t="inlineStr">
        <is>
          <t>1z</t>
        </is>
      </c>
      <c r="H8" s="172" t="inlineStr">
        <is>
          <t>OWNER_PAY</t>
        </is>
      </c>
      <c r="I8" s="158" t="n">
        <v>-1</v>
      </c>
      <c r="J8" s="172" t="inlineStr">
        <is>
          <t>Reasonable comp (RCReports / industry avg)</t>
        </is>
      </c>
      <c r="K8" s="172" t="inlineStr">
        <is>
          <t>Standard</t>
        </is>
      </c>
      <c r="L8" s="172" t="inlineStr">
        <is>
          <t>Reduce W-2 wages to reasonable comp; surplus shifts to K-1</t>
        </is>
      </c>
    </row>
    <row r="9">
      <c r="B9" s="172" t="inlineStr">
        <is>
          <t>STR-001</t>
        </is>
      </c>
      <c r="C9" s="158" t="n">
        <v>2</v>
      </c>
      <c r="D9" s="172" t="inlineStr">
        <is>
          <t>S-Corp Wage Optimization</t>
        </is>
      </c>
      <c r="E9" s="172" t="inlineStr">
        <is>
          <t>Core</t>
        </is>
      </c>
      <c r="F9" s="172" t="inlineStr">
        <is>
          <t>#2</t>
        </is>
      </c>
      <c r="G9" s="172" t="inlineStr">
        <is>
          <t>8</t>
        </is>
      </c>
      <c r="H9" s="172" t="inlineStr">
        <is>
          <t>K1_SCorp_Active</t>
        </is>
      </c>
      <c r="I9" s="158" t="n">
        <v>1</v>
      </c>
      <c r="J9" s="172" t="inlineStr">
        <is>
          <t>Mirrors Impact 1 amount</t>
        </is>
      </c>
      <c r="K9" s="172" t="inlineStr">
        <is>
          <t>Standard</t>
        </is>
      </c>
      <c r="L9" s="172" t="inlineStr">
        <is>
          <t>Surplus from W-2 reduction lands as K-1 active income</t>
        </is>
      </c>
    </row>
    <row r="10">
      <c r="B10" s="172" t="inlineStr">
        <is>
          <t>STR-002</t>
        </is>
      </c>
      <c r="C10" s="158" t="n">
        <v>1</v>
      </c>
      <c r="D10" s="172" t="inlineStr">
        <is>
          <t>HSA Family Max</t>
        </is>
      </c>
      <c r="E10" s="172" t="inlineStr">
        <is>
          <t>Supp.</t>
        </is>
      </c>
      <c r="F10" s="172" t="inlineStr">
        <is>
          <t>—</t>
        </is>
      </c>
      <c r="G10" s="172" t="inlineStr">
        <is>
          <t>10</t>
        </is>
      </c>
      <c r="H10" s="172" t="inlineStr">
        <is>
          <t>HSA</t>
        </is>
      </c>
      <c r="I10" s="158" t="n">
        <v>-1</v>
      </c>
      <c r="J10" s="172" t="inlineStr">
        <is>
          <t>$8,300 family / $4,150 self (2024)</t>
        </is>
      </c>
      <c r="K10" s="172" t="inlineStr">
        <is>
          <t>Standard</t>
        </is>
      </c>
      <c r="L10" s="172" t="inlineStr">
        <is>
          <t>Health Savings Account above-line deduction</t>
        </is>
      </c>
    </row>
    <row r="11">
      <c r="B11" s="172" t="inlineStr">
        <is>
          <t>STR-003</t>
        </is>
      </c>
      <c r="C11" s="158" t="n">
        <v>1</v>
      </c>
      <c r="D11" s="172" t="inlineStr">
        <is>
          <t>Charitable Bunching (DAF)</t>
        </is>
      </c>
      <c r="E11" s="172" t="inlineStr">
        <is>
          <t>Supp.</t>
        </is>
      </c>
      <c r="F11" s="172" t="inlineStr">
        <is>
          <t>B5</t>
        </is>
      </c>
      <c r="G11" s="172" t="inlineStr">
        <is>
          <t>12</t>
        </is>
      </c>
      <c r="H11" s="172" t="inlineStr">
        <is>
          <t>CHARITY_DAF</t>
        </is>
      </c>
      <c r="I11" s="158" t="n">
        <v>-1</v>
      </c>
      <c r="J11" s="172" t="inlineStr">
        <is>
          <t>30%/60% AGI limits</t>
        </is>
      </c>
      <c r="K11" s="172" t="inlineStr">
        <is>
          <t>Standard</t>
        </is>
      </c>
      <c r="L11" s="172" t="inlineStr">
        <is>
          <t>Bunch multi-year giving into one DAF year; itemize that year</t>
        </is>
      </c>
    </row>
    <row r="12">
      <c r="B12" s="172" t="inlineStr">
        <is>
          <t>STR-004</t>
        </is>
      </c>
      <c r="C12" s="158" t="n">
        <v>1</v>
      </c>
      <c r="D12" s="172" t="inlineStr">
        <is>
          <t>SEP-IRA / Solo 401(k)</t>
        </is>
      </c>
      <c r="E12" s="172" t="inlineStr">
        <is>
          <t>Core</t>
        </is>
      </c>
      <c r="F12" s="172" t="inlineStr">
        <is>
          <t>#3</t>
        </is>
      </c>
      <c r="G12" s="172" t="inlineStr">
        <is>
          <t>8</t>
        </is>
      </c>
      <c r="H12" s="172" t="inlineStr">
        <is>
          <t>RETIREMENT</t>
        </is>
      </c>
      <c r="I12" s="158" t="n">
        <v>-1</v>
      </c>
      <c r="J12" s="172" t="inlineStr">
        <is>
          <t>25% of comp; $66K combined (2024)</t>
        </is>
      </c>
      <c r="K12" s="172" t="inlineStr">
        <is>
          <t>Standard</t>
        </is>
      </c>
      <c r="L12" s="172" t="inlineStr">
        <is>
          <t>Retirement contribution defaults to Line 8 (S-Corp owner); change to 10 for sole-prop</t>
        </is>
      </c>
    </row>
    <row r="13">
      <c r="B13" s="172" t="inlineStr">
        <is>
          <t>STR-005</t>
        </is>
      </c>
      <c r="C13" s="158" t="n">
        <v>1</v>
      </c>
      <c r="D13" s="172" t="inlineStr">
        <is>
          <t>Cost Seg Study</t>
        </is>
      </c>
      <c r="E13" s="172" t="inlineStr">
        <is>
          <t>Core</t>
        </is>
      </c>
      <c r="F13" s="172" t="inlineStr">
        <is>
          <t>#4</t>
        </is>
      </c>
      <c r="G13" s="172" t="inlineStr">
        <is>
          <t>8</t>
        </is>
      </c>
      <c r="H13" s="172" t="inlineStr">
        <is>
          <t>SchE_Rental</t>
        </is>
      </c>
      <c r="I13" s="158" t="n">
        <v>-1</v>
      </c>
      <c r="J13" s="172" t="inlineStr">
        <is>
          <t>25% Y1 accel of building basis (default)</t>
        </is>
      </c>
      <c r="K13" s="172" t="inlineStr">
        <is>
          <t>Verified</t>
        </is>
      </c>
      <c r="L13" s="172" t="inlineStr">
        <is>
          <t>Engineering reclass + bonus depr on rental property</t>
        </is>
      </c>
    </row>
    <row r="14">
      <c r="B14" s="172" t="inlineStr">
        <is>
          <t>STR-006</t>
        </is>
      </c>
      <c r="C14" s="158" t="n">
        <v>1</v>
      </c>
      <c r="D14" s="172" t="inlineStr">
        <is>
          <t>Roth Conversion</t>
        </is>
      </c>
      <c r="E14" s="172" t="inlineStr">
        <is>
          <t>Supp.</t>
        </is>
      </c>
      <c r="F14" s="172" t="inlineStr">
        <is>
          <t>B4</t>
        </is>
      </c>
      <c r="G14" s="172" t="inlineStr">
        <is>
          <t>4b</t>
        </is>
      </c>
      <c r="H14" s="172" t="inlineStr">
        <is>
          <t>ROTH_CONV</t>
        </is>
      </c>
      <c r="I14" s="158" t="n">
        <v>1</v>
      </c>
      <c r="J14" s="172" t="inlineStr">
        <is>
          <t>Bracket management</t>
        </is>
      </c>
      <c r="K14" s="172" t="inlineStr">
        <is>
          <t>Standard</t>
        </is>
      </c>
      <c r="L14" s="172" t="inlineStr">
        <is>
          <t>Trad → Roth conversion (creates taxable income on Line 4b)</t>
        </is>
      </c>
    </row>
    <row r="15">
      <c r="B15" s="172" t="inlineStr">
        <is>
          <t>STR-007</t>
        </is>
      </c>
      <c r="C15" s="158" t="n">
        <v>1</v>
      </c>
      <c r="D15" s="172" t="inlineStr">
        <is>
          <t>Augusta Rule (§280A)</t>
        </is>
      </c>
      <c r="E15" s="172" t="inlineStr">
        <is>
          <t>Core</t>
        </is>
      </c>
      <c r="F15" s="172" t="inlineStr">
        <is>
          <t>#5 LHF</t>
        </is>
      </c>
      <c r="G15" s="172" t="inlineStr">
        <is>
          <t>8</t>
        </is>
      </c>
      <c r="H15" s="172" t="inlineStr">
        <is>
          <t>AUGUSTA</t>
        </is>
      </c>
      <c r="I15" s="158" t="n">
        <v>-1</v>
      </c>
      <c r="J15" s="172" t="inlineStr">
        <is>
          <t>≤14 days/yr at FMV</t>
        </is>
      </c>
      <c r="K15" s="172" t="inlineStr">
        <is>
          <t>Standard</t>
        </is>
      </c>
      <c r="L15" s="172" t="inlineStr">
        <is>
          <t>S-Corp rents owner residence ≤14 days; deduction to business, tax-free to owner</t>
        </is>
      </c>
    </row>
    <row r="16">
      <c r="B16" s="172" t="inlineStr">
        <is>
          <t>STR-008</t>
        </is>
      </c>
      <c r="C16" s="158" t="n">
        <v>1</v>
      </c>
      <c r="D16" s="172" t="inlineStr">
        <is>
          <t>Accountable Plan</t>
        </is>
      </c>
      <c r="E16" s="172" t="inlineStr">
        <is>
          <t>Core</t>
        </is>
      </c>
      <c r="F16" s="172" t="inlineStr">
        <is>
          <t>#5 LHF</t>
        </is>
      </c>
      <c r="G16" s="172" t="inlineStr">
        <is>
          <t>8</t>
        </is>
      </c>
      <c r="H16" s="172" t="inlineStr">
        <is>
          <t>ACCT_PLAN</t>
        </is>
      </c>
      <c r="I16" s="158" t="n">
        <v>-1</v>
      </c>
      <c r="J16" s="172" t="inlineStr">
        <is>
          <t>Substantiated expenses only</t>
        </is>
      </c>
      <c r="K16" s="172" t="inlineStr">
        <is>
          <t>Standard</t>
        </is>
      </c>
      <c r="L16" s="172" t="inlineStr">
        <is>
          <t>Written plan reimburses owner-employee for business-use of home/vehicle</t>
        </is>
      </c>
    </row>
    <row r="17">
      <c r="B17" s="172" t="inlineStr">
        <is>
          <t>STR-009</t>
        </is>
      </c>
      <c r="C17" s="158" t="n">
        <v>1</v>
      </c>
      <c r="D17" s="172" t="inlineStr">
        <is>
          <t>Hire Children</t>
        </is>
      </c>
      <c r="E17" s="172" t="inlineStr">
        <is>
          <t>Core</t>
        </is>
      </c>
      <c r="F17" s="172" t="inlineStr">
        <is>
          <t>#5 LHF</t>
        </is>
      </c>
      <c r="G17" s="172" t="inlineStr">
        <is>
          <t>8</t>
        </is>
      </c>
      <c r="H17" s="172" t="inlineStr">
        <is>
          <t>CHILD_WAGES</t>
        </is>
      </c>
      <c r="I17" s="158" t="n">
        <v>-1</v>
      </c>
      <c r="J17" s="172" t="inlineStr">
        <is>
          <t>Reasonable wages for age/work</t>
        </is>
      </c>
      <c r="K17" s="172" t="inlineStr">
        <is>
          <t>Standard</t>
        </is>
      </c>
      <c r="L17" s="172" t="inlineStr">
        <is>
          <t>Wages deductible to business</t>
        </is>
      </c>
    </row>
    <row r="18">
      <c r="B18" s="172" t="inlineStr">
        <is>
          <t>STR-009</t>
        </is>
      </c>
      <c r="C18" s="158" t="n">
        <v>2</v>
      </c>
      <c r="D18" s="172" t="inlineStr">
        <is>
          <t>Hire Children</t>
        </is>
      </c>
      <c r="E18" s="172" t="inlineStr">
        <is>
          <t>Core</t>
        </is>
      </c>
      <c r="F18" s="172" t="inlineStr">
        <is>
          <t>#5 LHF</t>
        </is>
      </c>
      <c r="G18" s="172" t="inlineStr">
        <is>
          <t>1z</t>
        </is>
      </c>
      <c r="H18" s="172" t="inlineStr">
        <is>
          <t>CHILD_WAGES</t>
        </is>
      </c>
      <c r="I18" s="158" t="n">
        <v>1</v>
      </c>
      <c r="J18" s="172" t="inlineStr">
        <is>
          <t>Child's std ded $14,600 (2024)</t>
        </is>
      </c>
      <c r="K18" s="172" t="inlineStr">
        <is>
          <t>Standard</t>
        </is>
      </c>
      <c r="L18" s="172" t="inlineStr">
        <is>
          <t>Wages reportable on child's return; offset by std ded</t>
        </is>
      </c>
    </row>
    <row r="19">
      <c r="B19" s="172" t="inlineStr">
        <is>
          <t>STR-009</t>
        </is>
      </c>
      <c r="C19" s="158" t="n">
        <v>3</v>
      </c>
      <c r="D19" s="172" t="inlineStr">
        <is>
          <t>Hire Children</t>
        </is>
      </c>
      <c r="E19" s="172" t="inlineStr">
        <is>
          <t>Core</t>
        </is>
      </c>
      <c r="F19" s="172" t="inlineStr">
        <is>
          <t>#5 LHF</t>
        </is>
      </c>
      <c r="G19" s="172" t="inlineStr">
        <is>
          <t>—</t>
        </is>
      </c>
      <c r="H19" s="172" t="inlineStr">
        <is>
          <t>CHILD_ROTH</t>
        </is>
      </c>
      <c r="I19" s="158" t="n">
        <v>0</v>
      </c>
      <c r="J19" s="172" t="inlineStr">
        <is>
          <t>Up to $7K Roth IRA cap</t>
        </is>
      </c>
      <c r="K19" s="172" t="inlineStr">
        <is>
          <t>Standard</t>
        </is>
      </c>
      <c r="L19" s="172" t="inlineStr">
        <is>
          <t>Informational — child can fund Roth IRA from earned wages</t>
        </is>
      </c>
    </row>
    <row r="20">
      <c r="B20" s="172" t="inlineStr">
        <is>
          <t>STR-010</t>
        </is>
      </c>
      <c r="C20" s="158" t="n">
        <v>1</v>
      </c>
      <c r="D20" s="172" t="inlineStr">
        <is>
          <t>Entity Restructuring</t>
        </is>
      </c>
      <c r="E20" s="172" t="inlineStr">
        <is>
          <t>Advanced</t>
        </is>
      </c>
      <c r="F20" s="172" t="inlineStr">
        <is>
          <t>#1</t>
        </is>
      </c>
      <c r="G20" s="172" t="inlineStr">
        <is>
          <t>8</t>
        </is>
      </c>
      <c r="H20" s="172" t="inlineStr">
        <is>
          <t>STRUCTURAL</t>
        </is>
      </c>
      <c r="I20" s="158" t="n">
        <v>-1</v>
      </c>
      <c r="J20" s="172" t="inlineStr">
        <is>
          <t>Case-by-case</t>
        </is>
      </c>
      <c r="K20" s="172" t="inlineStr">
        <is>
          <t>Confirmed</t>
        </is>
      </c>
      <c r="L20" s="172" t="inlineStr">
        <is>
          <t>CASE-BY-CASE: Restructure mechanics vary by entity type (S-Corp election, HoldCo over OpCo, F-reorg, P→S). Default fan-out 8↔1z is illustrative only — adjust per scenario.</t>
        </is>
      </c>
    </row>
    <row r="21">
      <c r="B21" s="172" t="inlineStr">
        <is>
          <t>STR-010</t>
        </is>
      </c>
      <c r="C21" s="158" t="n">
        <v>2</v>
      </c>
      <c r="D21" s="172" t="inlineStr">
        <is>
          <t>Entity Restructuring</t>
        </is>
      </c>
      <c r="E21" s="172" t="inlineStr">
        <is>
          <t>Advanced</t>
        </is>
      </c>
      <c r="F21" s="172" t="inlineStr">
        <is>
          <t>#1</t>
        </is>
      </c>
      <c r="G21" s="172" t="inlineStr">
        <is>
          <t>1z</t>
        </is>
      </c>
      <c r="H21" s="172" t="inlineStr">
        <is>
          <t>STRUCTURAL</t>
        </is>
      </c>
      <c r="I21" s="158" t="n">
        <v>1</v>
      </c>
      <c r="J21" s="172" t="inlineStr">
        <is>
          <t>Case-by-case</t>
        </is>
      </c>
      <c r="K21" s="172" t="inlineStr">
        <is>
          <t>Confirmed</t>
        </is>
      </c>
      <c r="L21" s="172" t="inlineStr">
        <is>
          <t>CASE-BY-CASE: Reasonable comp adjustment varies by entity transition; default counter on Line 1z is illustrative.</t>
        </is>
      </c>
    </row>
    <row r="22">
      <c r="B22" s="172" t="inlineStr">
        <is>
          <t>STR-011</t>
        </is>
      </c>
      <c r="C22" s="158" t="n">
        <v>1</v>
      </c>
      <c r="D22" s="172" t="inlineStr">
        <is>
          <t>Installment Sale / 1031</t>
        </is>
      </c>
      <c r="E22" s="172" t="inlineStr">
        <is>
          <t>Supp.</t>
        </is>
      </c>
      <c r="F22" s="172" t="inlineStr">
        <is>
          <t>B6</t>
        </is>
      </c>
      <c r="G22" s="172" t="inlineStr">
        <is>
          <t>7</t>
        </is>
      </c>
      <c r="H22" s="172" t="inlineStr">
        <is>
          <t>CG_DEFER</t>
        </is>
      </c>
      <c r="I22" s="158" t="n">
        <v>-1</v>
      </c>
      <c r="J22" s="172" t="inlineStr">
        <is>
          <t>Transaction-triggered</t>
        </is>
      </c>
      <c r="K22" s="172" t="inlineStr">
        <is>
          <t>Standard</t>
        </is>
      </c>
      <c r="L22" s="172" t="inlineStr">
        <is>
          <t>Installment §453 or §1031 like-kind defers capital gain recognition</t>
        </is>
      </c>
    </row>
    <row r="23">
      <c r="B23" s="172" t="inlineStr">
        <is>
          <t>STR-012</t>
        </is>
      </c>
      <c r="C23" s="158" t="n">
        <v>1</v>
      </c>
      <c r="D23" s="172" t="inlineStr">
        <is>
          <t>Bonus Depreciation §168(k)</t>
        </is>
      </c>
      <c r="E23" s="172" t="inlineStr">
        <is>
          <t>Core</t>
        </is>
      </c>
      <c r="F23" s="172" t="inlineStr">
        <is>
          <t>#4</t>
        </is>
      </c>
      <c r="G23" s="172" t="inlineStr">
        <is>
          <t>8</t>
        </is>
      </c>
      <c r="H23" s="172" t="inlineStr">
        <is>
          <t>SchE_Rental</t>
        </is>
      </c>
      <c r="I23" s="158" t="n">
        <v>-1</v>
      </c>
      <c r="J23" s="172" t="inlineStr">
        <is>
          <t>60% (2024) → 40% (2025) phase-down</t>
        </is>
      </c>
      <c r="K23" s="172" t="inlineStr">
        <is>
          <t>Verified</t>
        </is>
      </c>
      <c r="L23" s="172" t="inlineStr">
        <is>
          <t>First-year bonus depreciation on qualifying property</t>
        </is>
      </c>
    </row>
    <row r="24">
      <c r="B24" s="172" t="inlineStr">
        <is>
          <t>STR-013</t>
        </is>
      </c>
      <c r="C24" s="158" t="n">
        <v>1</v>
      </c>
      <c r="D24" s="172" t="inlineStr">
        <is>
          <t>R&amp;D Credit §41</t>
        </is>
      </c>
      <c r="E24" s="172" t="inlineStr">
        <is>
          <t>Advanced</t>
        </is>
      </c>
      <c r="F24" s="172" t="inlineStr">
        <is>
          <t>—</t>
        </is>
      </c>
      <c r="G24" s="172" t="inlineStr">
        <is>
          <t>20</t>
        </is>
      </c>
      <c r="H24" s="172" t="inlineStr">
        <is>
          <t>CREDIT_RD</t>
        </is>
      </c>
      <c r="I24" s="158" t="n">
        <v>-1</v>
      </c>
      <c r="J24" s="172" t="inlineStr">
        <is>
          <t>Qualifying research expenses</t>
        </is>
      </c>
      <c r="K24" s="172" t="inlineStr">
        <is>
          <t>Verified</t>
        </is>
      </c>
      <c r="L24" s="172" t="inlineStr">
        <is>
          <t>Section 41 research credit — offsets tax on Line 20</t>
        </is>
      </c>
    </row>
    <row r="25">
      <c r="B25" s="172" t="inlineStr">
        <is>
          <t>STR-014</t>
        </is>
      </c>
      <c r="C25" s="158" t="n">
        <v>1</v>
      </c>
      <c r="D25" s="172" t="inlineStr">
        <is>
          <t>SALT PTE Election</t>
        </is>
      </c>
      <c r="E25" s="172" t="inlineStr">
        <is>
          <t>Supp.</t>
        </is>
      </c>
      <c r="F25" s="172" t="inlineStr">
        <is>
          <t>B1</t>
        </is>
      </c>
      <c r="G25" s="172" t="inlineStr">
        <is>
          <t>8</t>
        </is>
      </c>
      <c r="H25" s="172" t="inlineStr">
        <is>
          <t>PTET</t>
        </is>
      </c>
      <c r="I25" s="158" t="n">
        <v>-1</v>
      </c>
      <c r="J25" s="172" t="inlineStr">
        <is>
          <t>100% state tax via entity</t>
        </is>
      </c>
      <c r="K25" s="172" t="inlineStr">
        <is>
          <t>Verified</t>
        </is>
      </c>
      <c r="L25" s="172" t="inlineStr">
        <is>
          <t>Pass-through entity pays state tax federally; reduces K-1 pass-through income at entity level (Line 8)</t>
        </is>
      </c>
    </row>
    <row r="26">
      <c r="B26" s="172" t="inlineStr">
        <is>
          <t>STR-015</t>
        </is>
      </c>
      <c r="C26" s="158" t="n">
        <v>1</v>
      </c>
      <c r="D26" s="172" t="inlineStr">
        <is>
          <t>Timing / Deferral</t>
        </is>
      </c>
      <c r="E26" s="172" t="inlineStr">
        <is>
          <t>Supp.</t>
        </is>
      </c>
      <c r="F26" s="172" t="inlineStr">
        <is>
          <t>B3</t>
        </is>
      </c>
      <c r="G26" s="172" t="inlineStr">
        <is>
          <t>8</t>
        </is>
      </c>
      <c r="H26" s="172" t="inlineStr">
        <is>
          <t>TIMING</t>
        </is>
      </c>
      <c r="I26" s="158" t="n">
        <v>-1</v>
      </c>
      <c r="J26" s="172" t="inlineStr">
        <is>
          <t>Universal year-end lever</t>
        </is>
      </c>
      <c r="K26" s="172" t="inlineStr">
        <is>
          <t>Standard</t>
        </is>
      </c>
      <c r="L26" s="172" t="inlineStr">
        <is>
          <t>Accelerate deductions / defer income (or reverse)</t>
        </is>
      </c>
    </row>
    <row r="29">
      <c r="B29" s="171" t="inlineStr">
        <is>
          <t>▸ SECTION B — BUCKET LEGEND</t>
        </is>
      </c>
    </row>
    <row r="31">
      <c r="B31" s="173" t="inlineStr">
        <is>
          <t>Core</t>
        </is>
      </c>
      <c r="C31" s="172" t="inlineStr">
        <is>
          <t>Bucket A — 5 dependency-ordered foundational strategies. Entity → Wage → Retirement → Bonus Depr → LHF</t>
        </is>
      </c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189" t="n"/>
    </row>
    <row r="32">
      <c r="B32" s="173" t="inlineStr">
        <is>
          <t>Supp.</t>
        </is>
      </c>
      <c r="C32" s="172" t="inlineStr">
        <is>
          <t>Bucket B — 7 supplemental strategies. PTET, TaxLoss, IncShift/Timing, Roth, DAF, 1031, OppZone</t>
        </is>
      </c>
      <c r="D32" s="188" t="n"/>
      <c r="E32" s="188" t="n"/>
      <c r="F32" s="188" t="n"/>
      <c r="G32" s="188" t="n"/>
      <c r="H32" s="188" t="n"/>
      <c r="I32" s="188" t="n"/>
      <c r="J32" s="188" t="n"/>
      <c r="K32" s="188" t="n"/>
      <c r="L32" s="189" t="n"/>
    </row>
    <row r="33">
      <c r="B33" s="173" t="inlineStr">
        <is>
          <t>Advanced</t>
        </is>
      </c>
      <c r="C33" s="172" t="inlineStr">
        <is>
          <t>Bucket C — case-by-case heavy machinery. Entity restructure, R&amp;D credit, conservation easements</t>
        </is>
      </c>
      <c r="D33" s="188" t="n"/>
      <c r="E33" s="188" t="n"/>
      <c r="F33" s="188" t="n"/>
      <c r="G33" s="188" t="n"/>
      <c r="H33" s="188" t="n"/>
      <c r="I33" s="188" t="n"/>
      <c r="J33" s="188" t="n"/>
      <c r="K33" s="188" t="n"/>
      <c r="L33" s="189" t="n"/>
    </row>
    <row r="36">
      <c r="B36" s="171" t="inlineStr">
        <is>
          <t>▸ SECTION C — SIGN CONVENTION</t>
        </is>
      </c>
    </row>
    <row r="38">
      <c r="B38" s="174" t="inlineStr">
        <is>
          <t>-1</t>
        </is>
      </c>
      <c r="C38" s="175" t="inlineStr">
        <is>
          <t>REDUCES target line</t>
        </is>
      </c>
      <c r="D38" s="176" t="inlineStr">
        <is>
          <t>e.g., 401(k) employee deferral reduces W-2 wages (Line 1z by -$X)</t>
        </is>
      </c>
      <c r="E38" s="188" t="n"/>
      <c r="F38" s="188" t="n"/>
      <c r="G38" s="188" t="n"/>
      <c r="H38" s="188" t="n"/>
      <c r="I38" s="188" t="n"/>
      <c r="J38" s="188" t="n"/>
      <c r="K38" s="188" t="n"/>
      <c r="L38" s="189" t="n"/>
    </row>
    <row r="39">
      <c r="B39" s="174" t="inlineStr">
        <is>
          <t>+1</t>
        </is>
      </c>
      <c r="C39" s="175" t="inlineStr">
        <is>
          <t>INCREASES target line</t>
        </is>
      </c>
      <c r="D39" s="176" t="inlineStr">
        <is>
          <t>e.g., S-Corp wage reduction shifts dollars to K-1 (Line 8 by +$X)</t>
        </is>
      </c>
      <c r="E39" s="188" t="n"/>
      <c r="F39" s="188" t="n"/>
      <c r="G39" s="188" t="n"/>
      <c r="H39" s="188" t="n"/>
      <c r="I39" s="188" t="n"/>
      <c r="J39" s="188" t="n"/>
      <c r="K39" s="188" t="n"/>
      <c r="L39" s="189" t="n"/>
    </row>
    <row r="40">
      <c r="B40" s="174" t="inlineStr">
        <is>
          <t>0</t>
        </is>
      </c>
      <c r="C40" s="175" t="inlineStr">
        <is>
          <t>NO 1040 IMPACT (info)</t>
        </is>
      </c>
      <c r="D40" s="176" t="inlineStr">
        <is>
          <t>e.g., entity structure or Roth-via-child wages — tracked but no direct line move</t>
        </is>
      </c>
      <c r="E40" s="188" t="n"/>
      <c r="F40" s="188" t="n"/>
      <c r="G40" s="188" t="n"/>
      <c r="H40" s="188" t="n"/>
      <c r="I40" s="188" t="n"/>
      <c r="J40" s="188" t="n"/>
      <c r="K40" s="188" t="n"/>
      <c r="L40" s="189" t="n"/>
    </row>
    <row r="43">
      <c r="B43" s="171" t="inlineStr">
        <is>
          <t>▸ SECTION D — STRATEGY BUILDER (live tool — pick + size a strategy)</t>
        </is>
      </c>
    </row>
    <row r="45">
      <c r="B45" s="177" t="inlineStr">
        <is>
          <t>Strategy:</t>
        </is>
      </c>
      <c r="C45" s="178" t="inlineStr">
        <is>
          <t>STR-001</t>
        </is>
      </c>
      <c r="D45" s="177" t="inlineStr">
        <is>
          <t>Amount:</t>
        </is>
      </c>
      <c r="E45" s="179" t="n">
        <v>25000</v>
      </c>
      <c r="F45" s="177" t="inlineStr">
        <is>
          <t>For Year:</t>
        </is>
      </c>
      <c r="G45" s="178">
        <f>Active_Year</f>
        <v/>
      </c>
      <c r="H45" s="177" t="inlineStr">
        <is>
          <t>Status:</t>
        </is>
      </c>
      <c r="I45" s="178" t="inlineStr">
        <is>
          <t>Proposed</t>
        </is>
      </c>
      <c r="J45" s="177" t="inlineStr">
        <is>
          <t>Cap rule:</t>
        </is>
      </c>
      <c r="K45" s="180">
        <f>VLOOKUP($C$45,$B$8:$L$26,9,FALSE)</f>
        <v/>
      </c>
    </row>
    <row r="47">
      <c r="B47" s="181" t="inlineStr">
        <is>
          <t>▾ All impacts for the selected strategy (paste signed amounts into Y[year] sheet)</t>
        </is>
      </c>
    </row>
    <row r="48">
      <c r="B48" s="145" t="inlineStr">
        <is>
          <t>#</t>
        </is>
      </c>
      <c r="C48" s="145" t="inlineStr">
        <is>
          <t>Strategy_ID</t>
        </is>
      </c>
      <c r="D48" s="145" t="inlineStr">
        <is>
          <t>Strategy_Name</t>
        </is>
      </c>
      <c r="E48" s="145" t="inlineStr">
        <is>
          <t>TargetLine</t>
        </is>
      </c>
      <c r="F48" s="145" t="inlineStr">
        <is>
          <t>HelperTreatment</t>
        </is>
      </c>
      <c r="G48" s="145" t="inlineStr">
        <is>
          <t>Sign</t>
        </is>
      </c>
      <c r="H48" s="145" t="inlineStr">
        <is>
          <t>Amount (signed)</t>
        </is>
      </c>
      <c r="I48" s="145" t="inlineStr">
        <is>
          <t>Status</t>
        </is>
      </c>
      <c r="J48" s="145" t="inlineStr">
        <is>
          <t>Cap_Rule</t>
        </is>
      </c>
      <c r="K48" s="145" t="inlineStr">
        <is>
          <t>Description</t>
        </is>
      </c>
    </row>
    <row r="49">
      <c r="B49" s="173" t="n">
        <v>1</v>
      </c>
      <c r="C49" s="158">
        <f>IFERROR(INDEX($B$8:$L$26,MATCH(1,($B$8:$B$26=$C$45)*($C$8:$C$26=1),0),1),"")</f>
        <v/>
      </c>
      <c r="D49" s="172">
        <f>IFERROR(INDEX($B$8:$L$26,MATCH(1,($B$8:$B$26=$C$45)*($C$8:$C$26=1),0),3),"")</f>
        <v/>
      </c>
      <c r="E49" s="158">
        <f>IFERROR(INDEX($B$8:$L$26,MATCH(1,($B$8:$B$26=$C$45)*($C$8:$C$26=1),0),6),"")</f>
        <v/>
      </c>
      <c r="F49" s="158">
        <f>IFERROR(INDEX($B$8:$L$26,MATCH(1,($B$8:$B$26=$C$45)*($C$8:$C$26=1),0),7),"")</f>
        <v/>
      </c>
      <c r="G49" s="158">
        <f>IFERROR(INDEX($B$8:$L$26,MATCH(1,($B$8:$B$26=$C$45)*($C$8:$C$26=1),0),8),"")</f>
        <v/>
      </c>
      <c r="H49" s="182">
        <f>IFERROR(IF(IFERROR(INDEX($B$8:$L$26,MATCH(1,($B$8:$B$26=$C$45)*($C$8:$C$26=1),0),8),""),$E$45*IFERROR(INDEX($B$8:$L$26,MATCH(1,($B$8:$B$26=$C$45)*($C$8:$C$26=1),0),8),"")),"")</f>
        <v/>
      </c>
      <c r="I49" s="158">
        <f>IF(IFERROR(INDEX($B$8:$L$26,MATCH(1,($B$8:$B$26=$C$45)*($C$8:$C$26=1),0),1),"")="","",$I$45)</f>
        <v/>
      </c>
      <c r="J49" s="183">
        <f>IFERROR(INDEX($B$8:$L$26,MATCH(1,($B$8:$B$26=$C$45)*($C$8:$C$26=1),0),9),"")</f>
        <v/>
      </c>
      <c r="K49" s="176">
        <f>IFERROR(INDEX($B$8:$L$26,MATCH(1,($B$8:$B$26=$C$45)*($C$8:$C$26=1),0),11),"")</f>
        <v/>
      </c>
      <c r="L49" s="189" t="n"/>
    </row>
    <row r="50">
      <c r="B50" s="173" t="n">
        <v>2</v>
      </c>
      <c r="C50" s="158">
        <f>IFERROR(INDEX($B$8:$L$26,MATCH(1,($B$8:$B$26=$C$45)*($C$8:$C$26=2),0),1),"")</f>
        <v/>
      </c>
      <c r="D50" s="172">
        <f>IFERROR(INDEX($B$8:$L$26,MATCH(1,($B$8:$B$26=$C$45)*($C$8:$C$26=2),0),3),"")</f>
        <v/>
      </c>
      <c r="E50" s="158">
        <f>IFERROR(INDEX($B$8:$L$26,MATCH(1,($B$8:$B$26=$C$45)*($C$8:$C$26=2),0),6),"")</f>
        <v/>
      </c>
      <c r="F50" s="158">
        <f>IFERROR(INDEX($B$8:$L$26,MATCH(1,($B$8:$B$26=$C$45)*($C$8:$C$26=2),0),7),"")</f>
        <v/>
      </c>
      <c r="G50" s="158">
        <f>IFERROR(INDEX($B$8:$L$26,MATCH(1,($B$8:$B$26=$C$45)*($C$8:$C$26=2),0),8),"")</f>
        <v/>
      </c>
      <c r="H50" s="182">
        <f>IFERROR(IF(IFERROR(INDEX($B$8:$L$26,MATCH(1,($B$8:$B$26=$C$45)*($C$8:$C$26=2),0),8),""),$E$45*IFERROR(INDEX($B$8:$L$26,MATCH(1,($B$8:$B$26=$C$45)*($C$8:$C$26=2),0),8),"")),"")</f>
        <v/>
      </c>
      <c r="I50" s="158">
        <f>IF(IFERROR(INDEX($B$8:$L$26,MATCH(1,($B$8:$B$26=$C$45)*($C$8:$C$26=2),0),1),"")="","",$I$45)</f>
        <v/>
      </c>
      <c r="J50" s="183">
        <f>IFERROR(INDEX($B$8:$L$26,MATCH(1,($B$8:$B$26=$C$45)*($C$8:$C$26=2),0),9),"")</f>
        <v/>
      </c>
      <c r="K50" s="176">
        <f>IFERROR(INDEX($B$8:$L$26,MATCH(1,($B$8:$B$26=$C$45)*($C$8:$C$26=2),0),11),"")</f>
        <v/>
      </c>
      <c r="L50" s="189" t="n"/>
    </row>
    <row r="51">
      <c r="B51" s="173" t="n">
        <v>3</v>
      </c>
      <c r="C51" s="158">
        <f>IFERROR(INDEX($B$8:$L$26,MATCH(1,($B$8:$B$26=$C$45)*($C$8:$C$26=3),0),1),"")</f>
        <v/>
      </c>
      <c r="D51" s="172">
        <f>IFERROR(INDEX($B$8:$L$26,MATCH(1,($B$8:$B$26=$C$45)*($C$8:$C$26=3),0),3),"")</f>
        <v/>
      </c>
      <c r="E51" s="158">
        <f>IFERROR(INDEX($B$8:$L$26,MATCH(1,($B$8:$B$26=$C$45)*($C$8:$C$26=3),0),6),"")</f>
        <v/>
      </c>
      <c r="F51" s="158">
        <f>IFERROR(INDEX($B$8:$L$26,MATCH(1,($B$8:$B$26=$C$45)*($C$8:$C$26=3),0),7),"")</f>
        <v/>
      </c>
      <c r="G51" s="158">
        <f>IFERROR(INDEX($B$8:$L$26,MATCH(1,($B$8:$B$26=$C$45)*($C$8:$C$26=3),0),8),"")</f>
        <v/>
      </c>
      <c r="H51" s="182">
        <f>IFERROR(IF(IFERROR(INDEX($B$8:$L$26,MATCH(1,($B$8:$B$26=$C$45)*($C$8:$C$26=3),0),8),""),$E$45*IFERROR(INDEX($B$8:$L$26,MATCH(1,($B$8:$B$26=$C$45)*($C$8:$C$26=3),0),8),"")),"")</f>
        <v/>
      </c>
      <c r="I51" s="158">
        <f>IF(IFERROR(INDEX($B$8:$L$26,MATCH(1,($B$8:$B$26=$C$45)*($C$8:$C$26=3),0),1),"")="","",$I$45)</f>
        <v/>
      </c>
      <c r="J51" s="183">
        <f>IFERROR(INDEX($B$8:$L$26,MATCH(1,($B$8:$B$26=$C$45)*($C$8:$C$26=3),0),9),"")</f>
        <v/>
      </c>
      <c r="K51" s="176">
        <f>IFERROR(INDEX($B$8:$L$26,MATCH(1,($B$8:$B$26=$C$45)*($C$8:$C$26=3),0),11),"")</f>
        <v/>
      </c>
      <c r="L51" s="189" t="n"/>
    </row>
    <row r="52">
      <c r="B52" s="173" t="n">
        <v>4</v>
      </c>
      <c r="C52" s="158">
        <f>IFERROR(INDEX($B$8:$L$26,MATCH(1,($B$8:$B$26=$C$45)*($C$8:$C$26=4),0),1),"")</f>
        <v/>
      </c>
      <c r="D52" s="172">
        <f>IFERROR(INDEX($B$8:$L$26,MATCH(1,($B$8:$B$26=$C$45)*($C$8:$C$26=4),0),3),"")</f>
        <v/>
      </c>
      <c r="E52" s="158">
        <f>IFERROR(INDEX($B$8:$L$26,MATCH(1,($B$8:$B$26=$C$45)*($C$8:$C$26=4),0),6),"")</f>
        <v/>
      </c>
      <c r="F52" s="158">
        <f>IFERROR(INDEX($B$8:$L$26,MATCH(1,($B$8:$B$26=$C$45)*($C$8:$C$26=4),0),7),"")</f>
        <v/>
      </c>
      <c r="G52" s="158">
        <f>IFERROR(INDEX($B$8:$L$26,MATCH(1,($B$8:$B$26=$C$45)*($C$8:$C$26=4),0),8),"")</f>
        <v/>
      </c>
      <c r="H52" s="182">
        <f>IFERROR(IF(IFERROR(INDEX($B$8:$L$26,MATCH(1,($B$8:$B$26=$C$45)*($C$8:$C$26=4),0),8),""),$E$45*IFERROR(INDEX($B$8:$L$26,MATCH(1,($B$8:$B$26=$C$45)*($C$8:$C$26=4),0),8),"")),"")</f>
        <v/>
      </c>
      <c r="I52" s="158">
        <f>IF(IFERROR(INDEX($B$8:$L$26,MATCH(1,($B$8:$B$26=$C$45)*($C$8:$C$26=4),0),1),"")="","",$I$45)</f>
        <v/>
      </c>
      <c r="J52" s="183">
        <f>IFERROR(INDEX($B$8:$L$26,MATCH(1,($B$8:$B$26=$C$45)*($C$8:$C$26=4),0),9),"")</f>
        <v/>
      </c>
      <c r="K52" s="176">
        <f>IFERROR(INDEX($B$8:$L$26,MATCH(1,($B$8:$B$26=$C$45)*($C$8:$C$26=4),0),11),"")</f>
        <v/>
      </c>
      <c r="L52" s="189" t="n"/>
    </row>
    <row r="53">
      <c r="B53" s="173" t="n">
        <v>5</v>
      </c>
      <c r="C53" s="158">
        <f>IFERROR(INDEX($B$8:$L$26,MATCH(1,($B$8:$B$26=$C$45)*($C$8:$C$26=5),0),1),"")</f>
        <v/>
      </c>
      <c r="D53" s="172">
        <f>IFERROR(INDEX($B$8:$L$26,MATCH(1,($B$8:$B$26=$C$45)*($C$8:$C$26=5),0),3),"")</f>
        <v/>
      </c>
      <c r="E53" s="158">
        <f>IFERROR(INDEX($B$8:$L$26,MATCH(1,($B$8:$B$26=$C$45)*($C$8:$C$26=5),0),6),"")</f>
        <v/>
      </c>
      <c r="F53" s="158">
        <f>IFERROR(INDEX($B$8:$L$26,MATCH(1,($B$8:$B$26=$C$45)*($C$8:$C$26=5),0),7),"")</f>
        <v/>
      </c>
      <c r="G53" s="158">
        <f>IFERROR(INDEX($B$8:$L$26,MATCH(1,($B$8:$B$26=$C$45)*($C$8:$C$26=5),0),8),"")</f>
        <v/>
      </c>
      <c r="H53" s="182">
        <f>IFERROR(IF(IFERROR(INDEX($B$8:$L$26,MATCH(1,($B$8:$B$26=$C$45)*($C$8:$C$26=5),0),8),""),$E$45*IFERROR(INDEX($B$8:$L$26,MATCH(1,($B$8:$B$26=$C$45)*($C$8:$C$26=5),0),8),"")),"")</f>
        <v/>
      </c>
      <c r="I53" s="158">
        <f>IF(IFERROR(INDEX($B$8:$L$26,MATCH(1,($B$8:$B$26=$C$45)*($C$8:$C$26=5),0),1),"")="","",$I$45)</f>
        <v/>
      </c>
      <c r="J53" s="183">
        <f>IFERROR(INDEX($B$8:$L$26,MATCH(1,($B$8:$B$26=$C$45)*($C$8:$C$26=5),0),9),"")</f>
        <v/>
      </c>
      <c r="K53" s="176">
        <f>IFERROR(INDEX($B$8:$L$26,MATCH(1,($B$8:$B$26=$C$45)*($C$8:$C$26=5),0),11),"")</f>
        <v/>
      </c>
      <c r="L53" s="189" t="n"/>
    </row>
    <row r="55" ht="28" customHeight="1" s="99">
      <c r="B55" s="184" t="inlineStr">
        <is>
          <t>Tip: change C45, E45, I45 above. Blank rows = strategy has fewer impacts than the slot. STR-IDs match year-sheet table at Y[year]!A6:A20.</t>
        </is>
      </c>
    </row>
    <row r="58">
      <c r="B58" s="187" t="inlineStr">
        <is>
          <t>▸ SECTION E — RECONCILIATION ITEMS (5 of 6 RESOLVED in v15)</t>
        </is>
      </c>
    </row>
    <row r="60">
      <c r="B60" s="145" t="inlineStr">
        <is>
          <t>Item</t>
        </is>
      </c>
      <c r="C60" s="145" t="inlineStr">
        <is>
          <t>Subject</t>
        </is>
      </c>
      <c r="D60" s="145" t="inlineStr">
        <is>
          <t>Detail</t>
        </is>
      </c>
      <c r="E60" s="188" t="n"/>
      <c r="F60" s="188" t="n"/>
      <c r="G60" s="188" t="n"/>
      <c r="H60" s="188" t="n"/>
      <c r="I60" s="188" t="n"/>
      <c r="J60" s="188" t="n"/>
      <c r="K60" s="188" t="n"/>
      <c r="L60" s="189" t="n"/>
    </row>
    <row r="61" ht="30" customHeight="1" s="99">
      <c r="B61" s="205" t="inlineStr">
        <is>
          <t>ITEM-RECON-1</t>
        </is>
      </c>
      <c r="C61" s="172" t="inlineStr">
        <is>
          <t>STR-006 Roth Conversion</t>
        </is>
      </c>
      <c r="D61" s="176" t="inlineStr">
        <is>
          <t>[v15] RESOLVED: TargetLine 1z → 4b (Roth conversion canonical)  |  ORIGINAL: Year sheet has TargetLine=1z (wages). Canonical for Roth conversion is Line 4b (IRA distributions taxable). Confirm whether year-sheet choice is intentional or a placeholder.</t>
        </is>
      </c>
      <c r="E61" s="188" t="n"/>
      <c r="F61" s="188" t="n"/>
      <c r="G61" s="188" t="n"/>
      <c r="H61" s="188" t="n"/>
      <c r="I61" s="188" t="n"/>
      <c r="J61" s="188" t="n"/>
      <c r="K61" s="188" t="n"/>
      <c r="L61" s="189" t="n"/>
    </row>
    <row r="62" ht="30" customHeight="1" s="99">
      <c r="B62" s="205" t="inlineStr">
        <is>
          <t>ITEM-RECON-2</t>
        </is>
      </c>
      <c r="C62" s="172" t="inlineStr">
        <is>
          <t>STR-014 SALT PTE Election</t>
        </is>
      </c>
      <c r="D62" s="176" t="inlineStr">
        <is>
          <t>[v15] RESOLVED: TargetLine 12 → 8 (PTET reduces K-1 federally)  |  ORIGINAL: Year sheet has TargetLine=12 (itemized ded). Federally, PTET reduces K-1 income at entity level (Line 8), not itemized. Confirm whether year-sheet choice reflects an alternative modeling approach.</t>
        </is>
      </c>
      <c r="E62" s="188" t="n"/>
      <c r="F62" s="188" t="n"/>
      <c r="G62" s="188" t="n"/>
      <c r="H62" s="188" t="n"/>
      <c r="I62" s="188" t="n"/>
      <c r="J62" s="188" t="n"/>
      <c r="K62" s="188" t="n"/>
      <c r="L62" s="189" t="n"/>
    </row>
    <row r="63" ht="30" customHeight="1" s="99">
      <c r="B63" s="205" t="inlineStr">
        <is>
          <t>ITEM-RECON-3</t>
        </is>
      </c>
      <c r="C63" s="172" t="inlineStr">
        <is>
          <t>STR-002 HSA Family Max</t>
        </is>
      </c>
      <c r="D63" s="176" t="inlineStr">
        <is>
          <t>[v15] RESOLVED: HSA confirmed in tblTreatmentProfileMap row 599  |  ORIGINAL: Year sheet has TargetLine=10 (above-line deductions, Schedule 1). HSA is correctly above-line. Confirm Helper_Treatment "HSA" maps to your Treatment_Profile_Map.</t>
        </is>
      </c>
      <c r="E63" s="188" t="n"/>
      <c r="F63" s="188" t="n"/>
      <c r="G63" s="188" t="n"/>
      <c r="H63" s="188" t="n"/>
      <c r="I63" s="188" t="n"/>
      <c r="J63" s="188" t="n"/>
      <c r="K63" s="188" t="n"/>
      <c r="L63" s="189" t="n"/>
    </row>
    <row r="64" ht="30" customHeight="1" s="99">
      <c r="B64" s="190" t="inlineStr">
        <is>
          <t>ITEM-RECON-4</t>
        </is>
      </c>
      <c r="C64" s="172" t="inlineStr">
        <is>
          <t>STR-009 Hire Children info</t>
        </is>
      </c>
      <c r="D64" s="176" t="inlineStr">
        <is>
          <t>[v15] KEPT AS-IS: catalog 3 impacts (full doc); year sheet single-row (CounterLine)  |  ORIGINAL: Catalog has 3rd row (Impact_Num=3) for child Roth contribution as info-only (Sign=0). Year sheet has 2-impact CounterLine model. Either add info row to year sheet or drop from catalog.</t>
        </is>
      </c>
      <c r="E64" s="188" t="n"/>
      <c r="F64" s="188" t="n"/>
      <c r="G64" s="188" t="n"/>
      <c r="H64" s="188" t="n"/>
      <c r="I64" s="188" t="n"/>
      <c r="J64" s="188" t="n"/>
      <c r="K64" s="188" t="n"/>
      <c r="L64" s="189" t="n"/>
    </row>
    <row r="65" ht="30" customHeight="1" s="99">
      <c r="B65" s="205" t="inlineStr">
        <is>
          <t>ITEM-RECON-5</t>
        </is>
      </c>
      <c r="C65" s="172" t="inlineStr">
        <is>
          <t>STR-010 Entity Restructure</t>
        </is>
      </c>
      <c r="D65" s="176" t="inlineStr">
        <is>
          <t>[v15] RESOLVED: catalog Description updated to "case-by-case"  |  ORIGINAL: Year sheet has TargetLine=8 + CounterLine=1z. Restructure mechanics vary by entity type. Confirm whether default fan-out captures intent or if it should be per-case.</t>
        </is>
      </c>
      <c r="E65" s="188" t="n"/>
      <c r="F65" s="188" t="n"/>
      <c r="G65" s="188" t="n"/>
      <c r="H65" s="188" t="n"/>
      <c r="I65" s="188" t="n"/>
      <c r="J65" s="188" t="n"/>
      <c r="K65" s="188" t="n"/>
      <c r="L65" s="189" t="n"/>
    </row>
    <row r="66" ht="30" customHeight="1" s="99">
      <c r="B66" s="205" t="inlineStr">
        <is>
          <t>ITEM-RECON-6</t>
        </is>
      </c>
      <c r="C66" s="172" t="inlineStr">
        <is>
          <t>Bucket alignment</t>
        </is>
      </c>
      <c r="D66" s="176" t="inlineStr">
        <is>
          <t>[v15] RESOLVED: Bucket lookup added at year-sheet column W  |  ORIGINAL: Catalog buckets (Core/Supp./Advanced) come from Framework_Ref. Year sheet does not track Bucket. Not a blocker but useful to add to year sheet later.</t>
        </is>
      </c>
      <c r="E66" s="188" t="n"/>
      <c r="F66" s="188" t="n"/>
      <c r="G66" s="188" t="n"/>
      <c r="H66" s="188" t="n"/>
      <c r="I66" s="188" t="n"/>
      <c r="J66" s="188" t="n"/>
      <c r="K66" s="188" t="n"/>
      <c r="L66" s="189" t="n"/>
    </row>
  </sheetData>
  <mergeCells count="25">
    <mergeCell ref="K49:L49"/>
    <mergeCell ref="D61:L61"/>
    <mergeCell ref="B47:L47"/>
    <mergeCell ref="D66:L66"/>
    <mergeCell ref="C32:L32"/>
    <mergeCell ref="B43:L43"/>
    <mergeCell ref="K51:L51"/>
    <mergeCell ref="B58:L58"/>
    <mergeCell ref="K50:L50"/>
    <mergeCell ref="D62:L62"/>
    <mergeCell ref="D39:L39"/>
    <mergeCell ref="C33:L33"/>
    <mergeCell ref="K52:L52"/>
    <mergeCell ref="D64:L64"/>
    <mergeCell ref="D38:L38"/>
    <mergeCell ref="B29:L29"/>
    <mergeCell ref="D60:L60"/>
    <mergeCell ref="K53:L53"/>
    <mergeCell ref="C31:L31"/>
    <mergeCell ref="D63:L63"/>
    <mergeCell ref="B55:L55"/>
    <mergeCell ref="B5:L5"/>
    <mergeCell ref="D40:L40"/>
    <mergeCell ref="D65:L65"/>
    <mergeCell ref="B36:L36"/>
  </mergeCells>
  <dataValidations count="2">
    <dataValidation sqref="C45" showDropDown="0" showInputMessage="0" showErrorMessage="0" allowBlank="0" type="list">
      <formula1>"STR-001,STR-002,STR-003,STR-004,STR-005,STR-006,STR-007,STR-008,STR-009,STR-010,STR-011,STR-012,STR-013,STR-014,STR-015"</formula1>
    </dataValidation>
    <dataValidation sqref="I45" showDropDown="0" showInputMessage="0" showErrorMessage="0" allowBlank="0" type="list">
      <formula1>"Proposed,Approved,Committed,Implemented"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rgb="00C00000"/>
    <outlinePr summaryBelow="1" summaryRight="1"/>
    <pageSetUpPr/>
  </sheetPr>
  <dimension ref="B2:O79"/>
  <sheetViews>
    <sheetView workbookViewId="0">
      <selection activeCell="A1" sqref="A1"/>
    </sheetView>
  </sheetViews>
  <sheetFormatPr baseColWidth="8" defaultRowHeight="15"/>
  <cols>
    <col width="4" customWidth="1" style="99" min="1" max="1"/>
    <col width="10" customWidth="1" style="99" min="2" max="2"/>
    <col width="35" customWidth="1" style="99" min="3" max="3"/>
    <col width="18" customWidth="1" style="99" min="4" max="4"/>
    <col width="16" customWidth="1" style="99" min="5" max="5"/>
    <col width="14" customWidth="1" style="99" min="6" max="6"/>
    <col width="14" customWidth="1" style="99" min="7" max="7"/>
    <col width="14" customWidth="1" style="99" min="8" max="8"/>
    <col width="14" customWidth="1" style="99" min="9" max="9"/>
    <col width="12" customWidth="1" style="99" min="10" max="10"/>
    <col width="12" customWidth="1" style="99" min="11" max="11"/>
    <col width="14" customWidth="1" style="99" min="12" max="12"/>
    <col width="14" customWidth="1" style="99" min="13" max="13"/>
    <col width="12" customWidth="1" style="99" min="14" max="14"/>
    <col width="30" customWidth="1" style="99" min="15" max="15"/>
  </cols>
  <sheetData>
    <row r="2">
      <c r="B2" s="160" t="inlineStr">
        <is>
          <t>PROPERTY APPENDIX</t>
        </is>
      </c>
    </row>
    <row r="3">
      <c r="B3" s="137" t="inlineStr">
        <is>
          <t>Per-property reference data: cost basis, placed-in-service, cost seg, REPS hours, REPS election. Drives Schedule E, depreciation, and material participation tests.</t>
        </is>
      </c>
    </row>
    <row r="5">
      <c r="B5" s="161" t="inlineStr">
        <is>
          <t>▸ SECTION A — PROPERTY MASTER LIST</t>
        </is>
      </c>
    </row>
    <row r="7">
      <c r="B7" s="145" t="inlineStr">
        <is>
          <t>Property #</t>
        </is>
      </c>
      <c r="C7" s="145" t="inlineStr">
        <is>
          <t>Address / Name</t>
        </is>
      </c>
      <c r="D7" s="145" t="inlineStr">
        <is>
          <t>Type</t>
        </is>
      </c>
      <c r="E7" s="145" t="inlineStr">
        <is>
          <t>Entity / Owner</t>
        </is>
      </c>
      <c r="F7" s="145" t="inlineStr">
        <is>
          <t>Acquisition Date</t>
        </is>
      </c>
      <c r="G7" s="145" t="inlineStr">
        <is>
          <t>Total Cost Basis</t>
        </is>
      </c>
      <c r="H7" s="145" t="inlineStr">
        <is>
          <t>Land Allocation</t>
        </is>
      </c>
      <c r="I7" s="145" t="inlineStr">
        <is>
          <t>Building Basis</t>
        </is>
      </c>
      <c r="J7" s="145" t="inlineStr">
        <is>
          <t>Cost Seg Done?</t>
        </is>
      </c>
      <c r="K7" s="145" t="inlineStr">
        <is>
          <t>Cost Seg Y1 %</t>
        </is>
      </c>
      <c r="L7" s="145" t="inlineStr">
        <is>
          <t>Placed-In-Service</t>
        </is>
      </c>
      <c r="M7" s="145" t="inlineStr">
        <is>
          <t>Disposition Date</t>
        </is>
      </c>
      <c r="N7" s="145" t="inlineStr">
        <is>
          <t>REPS Hours (TY)</t>
        </is>
      </c>
      <c r="O7" s="145" t="inlineStr">
        <is>
          <t>Notes</t>
        </is>
      </c>
    </row>
    <row r="8">
      <c r="B8" s="162" t="inlineStr">
        <is>
          <t>P-001</t>
        </is>
      </c>
      <c r="C8" s="162" t="inlineStr">
        <is>
          <t>123 Main St, Salt Lake City UT</t>
        </is>
      </c>
      <c r="D8" s="162" t="inlineStr">
        <is>
          <t>Long-Term Rental</t>
        </is>
      </c>
      <c r="E8" s="162" t="inlineStr">
        <is>
          <t>Holding LLC</t>
        </is>
      </c>
      <c r="F8" s="162" t="inlineStr">
        <is>
          <t>2024-03-15</t>
        </is>
      </c>
      <c r="G8" s="163" t="n">
        <v>500000</v>
      </c>
      <c r="H8" s="163" t="n">
        <v>100000</v>
      </c>
      <c r="I8" s="163" t="n">
        <v>400000</v>
      </c>
      <c r="J8" s="162" t="inlineStr">
        <is>
          <t>Yes</t>
        </is>
      </c>
      <c r="K8" s="164" t="n">
        <v>0.25</v>
      </c>
      <c r="L8" s="162" t="inlineStr">
        <is>
          <t>2024-03-15</t>
        </is>
      </c>
      <c r="M8" s="162" t="n"/>
      <c r="N8" s="162" t="n">
        <v>750</v>
      </c>
      <c r="O8" s="162" t="inlineStr">
        <is>
          <t>Cost seg study by ABC Eng; 5/7/15-year reclass = 25%</t>
        </is>
      </c>
    </row>
    <row r="9">
      <c r="B9" s="165" t="n"/>
      <c r="C9" s="165" t="n"/>
      <c r="D9" s="165" t="n"/>
      <c r="E9" s="165" t="n"/>
      <c r="F9" s="165" t="n"/>
      <c r="G9" s="166" t="n"/>
      <c r="H9" s="166" t="n"/>
      <c r="I9" s="166" t="n"/>
      <c r="J9" s="165" t="n"/>
      <c r="K9" s="167" t="n"/>
      <c r="L9" s="165" t="n"/>
      <c r="M9" s="165" t="n"/>
      <c r="N9" s="165" t="n"/>
      <c r="O9" s="165" t="n"/>
    </row>
    <row r="10">
      <c r="B10" s="165" t="n"/>
      <c r="C10" s="165" t="n"/>
      <c r="D10" s="165" t="n"/>
      <c r="E10" s="165" t="n"/>
      <c r="F10" s="165" t="n"/>
      <c r="G10" s="166" t="n"/>
      <c r="H10" s="166" t="n"/>
      <c r="I10" s="166" t="n"/>
      <c r="J10" s="165" t="n"/>
      <c r="K10" s="167" t="n"/>
      <c r="L10" s="165" t="n"/>
      <c r="M10" s="165" t="n"/>
      <c r="N10" s="165" t="n"/>
      <c r="O10" s="165" t="n"/>
    </row>
    <row r="11">
      <c r="B11" s="165" t="n"/>
      <c r="C11" s="165" t="n"/>
      <c r="D11" s="165" t="n"/>
      <c r="E11" s="165" t="n"/>
      <c r="F11" s="165" t="n"/>
      <c r="G11" s="166" t="n"/>
      <c r="H11" s="166" t="n"/>
      <c r="I11" s="166" t="n"/>
      <c r="J11" s="165" t="n"/>
      <c r="K11" s="167" t="n"/>
      <c r="L11" s="165" t="n"/>
      <c r="M11" s="165" t="n"/>
      <c r="N11" s="165" t="n"/>
      <c r="O11" s="165" t="n"/>
    </row>
    <row r="12">
      <c r="B12" s="165" t="n"/>
      <c r="C12" s="165" t="n"/>
      <c r="D12" s="165" t="n"/>
      <c r="E12" s="165" t="n"/>
      <c r="F12" s="165" t="n"/>
      <c r="G12" s="166" t="n"/>
      <c r="H12" s="166" t="n"/>
      <c r="I12" s="166" t="n"/>
      <c r="J12" s="165" t="n"/>
      <c r="K12" s="167" t="n"/>
      <c r="L12" s="165" t="n"/>
      <c r="M12" s="165" t="n"/>
      <c r="N12" s="165" t="n"/>
      <c r="O12" s="165" t="n"/>
    </row>
    <row r="13">
      <c r="B13" s="165" t="n"/>
      <c r="C13" s="165" t="n"/>
      <c r="D13" s="165" t="n"/>
      <c r="E13" s="165" t="n"/>
      <c r="F13" s="165" t="n"/>
      <c r="G13" s="166" t="n"/>
      <c r="H13" s="166" t="n"/>
      <c r="I13" s="166" t="n"/>
      <c r="J13" s="165" t="n"/>
      <c r="K13" s="167" t="n"/>
      <c r="L13" s="165" t="n"/>
      <c r="M13" s="165" t="n"/>
      <c r="N13" s="165" t="n"/>
      <c r="O13" s="165" t="n"/>
    </row>
    <row r="14">
      <c r="B14" s="165" t="n"/>
      <c r="C14" s="165" t="n"/>
      <c r="D14" s="165" t="n"/>
      <c r="E14" s="165" t="n"/>
      <c r="F14" s="165" t="n"/>
      <c r="G14" s="166" t="n"/>
      <c r="H14" s="166" t="n"/>
      <c r="I14" s="166" t="n"/>
      <c r="J14" s="165" t="n"/>
      <c r="K14" s="167" t="n"/>
      <c r="L14" s="165" t="n"/>
      <c r="M14" s="165" t="n"/>
      <c r="N14" s="165" t="n"/>
      <c r="O14" s="165" t="n"/>
    </row>
    <row r="15">
      <c r="B15" s="165" t="n"/>
      <c r="C15" s="165" t="n"/>
      <c r="D15" s="165" t="n"/>
      <c r="E15" s="165" t="n"/>
      <c r="F15" s="165" t="n"/>
      <c r="G15" s="166" t="n"/>
      <c r="H15" s="166" t="n"/>
      <c r="I15" s="166" t="n"/>
      <c r="J15" s="165" t="n"/>
      <c r="K15" s="167" t="n"/>
      <c r="L15" s="165" t="n"/>
      <c r="M15" s="165" t="n"/>
      <c r="N15" s="165" t="n"/>
      <c r="O15" s="165" t="n"/>
    </row>
    <row r="16">
      <c r="B16" s="165" t="n"/>
      <c r="C16" s="165" t="n"/>
      <c r="D16" s="165" t="n"/>
      <c r="E16" s="165" t="n"/>
      <c r="F16" s="165" t="n"/>
      <c r="G16" s="166" t="n"/>
      <c r="H16" s="166" t="n"/>
      <c r="I16" s="166" t="n"/>
      <c r="J16" s="165" t="n"/>
      <c r="K16" s="167" t="n"/>
      <c r="L16" s="165" t="n"/>
      <c r="M16" s="165" t="n"/>
      <c r="N16" s="165" t="n"/>
      <c r="O16" s="165" t="n"/>
    </row>
    <row r="17">
      <c r="B17" s="165" t="n"/>
      <c r="C17" s="165" t="n"/>
      <c r="D17" s="165" t="n"/>
      <c r="E17" s="165" t="n"/>
      <c r="F17" s="165" t="n"/>
      <c r="G17" s="166" t="n"/>
      <c r="H17" s="166" t="n"/>
      <c r="I17" s="166" t="n"/>
      <c r="J17" s="165" t="n"/>
      <c r="K17" s="167" t="n"/>
      <c r="L17" s="165" t="n"/>
      <c r="M17" s="165" t="n"/>
      <c r="N17" s="165" t="n"/>
      <c r="O17" s="165" t="n"/>
    </row>
    <row r="18">
      <c r="B18" s="165" t="n"/>
      <c r="C18" s="165" t="n"/>
      <c r="D18" s="165" t="n"/>
      <c r="E18" s="165" t="n"/>
      <c r="F18" s="165" t="n"/>
      <c r="G18" s="166" t="n"/>
      <c r="H18" s="166" t="n"/>
      <c r="I18" s="166" t="n"/>
      <c r="J18" s="165" t="n"/>
      <c r="K18" s="167" t="n"/>
      <c r="L18" s="165" t="n"/>
      <c r="M18" s="165" t="n"/>
      <c r="N18" s="165" t="n"/>
      <c r="O18" s="165" t="n"/>
    </row>
    <row r="19">
      <c r="B19" s="165" t="n"/>
      <c r="C19" s="165" t="n"/>
      <c r="D19" s="165" t="n"/>
      <c r="E19" s="165" t="n"/>
      <c r="F19" s="165" t="n"/>
      <c r="G19" s="166" t="n"/>
      <c r="H19" s="166" t="n"/>
      <c r="I19" s="166" t="n"/>
      <c r="J19" s="165" t="n"/>
      <c r="K19" s="167" t="n"/>
      <c r="L19" s="165" t="n"/>
      <c r="M19" s="165" t="n"/>
      <c r="N19" s="165" t="n"/>
      <c r="O19" s="165" t="n"/>
    </row>
    <row r="20">
      <c r="B20" s="165" t="n"/>
      <c r="C20" s="165" t="n"/>
      <c r="D20" s="165" t="n"/>
      <c r="E20" s="165" t="n"/>
      <c r="F20" s="165" t="n"/>
      <c r="G20" s="166" t="n"/>
      <c r="H20" s="166" t="n"/>
      <c r="I20" s="166" t="n"/>
      <c r="J20" s="165" t="n"/>
      <c r="K20" s="167" t="n"/>
      <c r="L20" s="165" t="n"/>
      <c r="M20" s="165" t="n"/>
      <c r="N20" s="165" t="n"/>
      <c r="O20" s="165" t="n"/>
    </row>
    <row r="21">
      <c r="B21" s="165" t="n"/>
      <c r="C21" s="165" t="n"/>
      <c r="D21" s="165" t="n"/>
      <c r="E21" s="165" t="n"/>
      <c r="F21" s="165" t="n"/>
      <c r="G21" s="166" t="n"/>
      <c r="H21" s="166" t="n"/>
      <c r="I21" s="166" t="n"/>
      <c r="J21" s="165" t="n"/>
      <c r="K21" s="167" t="n"/>
      <c r="L21" s="165" t="n"/>
      <c r="M21" s="165" t="n"/>
      <c r="N21" s="165" t="n"/>
      <c r="O21" s="165" t="n"/>
    </row>
    <row r="22">
      <c r="B22" s="165" t="n"/>
      <c r="C22" s="165" t="n"/>
      <c r="D22" s="165" t="n"/>
      <c r="E22" s="165" t="n"/>
      <c r="F22" s="165" t="n"/>
      <c r="G22" s="166" t="n"/>
      <c r="H22" s="166" t="n"/>
      <c r="I22" s="166" t="n"/>
      <c r="J22" s="165" t="n"/>
      <c r="K22" s="167" t="n"/>
      <c r="L22" s="165" t="n"/>
      <c r="M22" s="165" t="n"/>
      <c r="N22" s="165" t="n"/>
      <c r="O22" s="165" t="n"/>
    </row>
    <row r="23">
      <c r="B23" s="165" t="n"/>
      <c r="C23" s="165" t="n"/>
      <c r="D23" s="165" t="n"/>
      <c r="E23" s="165" t="n"/>
      <c r="F23" s="165" t="n"/>
      <c r="G23" s="166" t="n"/>
      <c r="H23" s="166" t="n"/>
      <c r="I23" s="166" t="n"/>
      <c r="J23" s="165" t="n"/>
      <c r="K23" s="167" t="n"/>
      <c r="L23" s="165" t="n"/>
      <c r="M23" s="165" t="n"/>
      <c r="N23" s="165" t="n"/>
      <c r="O23" s="165" t="n"/>
    </row>
    <row r="24">
      <c r="B24" s="165" t="n"/>
      <c r="C24" s="165" t="n"/>
      <c r="D24" s="165" t="n"/>
      <c r="E24" s="165" t="n"/>
      <c r="F24" s="165" t="n"/>
      <c r="G24" s="166" t="n"/>
      <c r="H24" s="166" t="n"/>
      <c r="I24" s="166" t="n"/>
      <c r="J24" s="165" t="n"/>
      <c r="K24" s="167" t="n"/>
      <c r="L24" s="165" t="n"/>
      <c r="M24" s="165" t="n"/>
      <c r="N24" s="165" t="n"/>
      <c r="O24" s="165" t="n"/>
    </row>
    <row r="25">
      <c r="B25" s="165" t="n"/>
      <c r="C25" s="165" t="n"/>
      <c r="D25" s="165" t="n"/>
      <c r="E25" s="165" t="n"/>
      <c r="F25" s="165" t="n"/>
      <c r="G25" s="166" t="n"/>
      <c r="H25" s="166" t="n"/>
      <c r="I25" s="166" t="n"/>
      <c r="J25" s="165" t="n"/>
      <c r="K25" s="167" t="n"/>
      <c r="L25" s="165" t="n"/>
      <c r="M25" s="165" t="n"/>
      <c r="N25" s="165" t="n"/>
      <c r="O25" s="165" t="n"/>
    </row>
    <row r="26">
      <c r="B26" s="165" t="n"/>
      <c r="C26" s="165" t="n"/>
      <c r="D26" s="165" t="n"/>
      <c r="E26" s="165" t="n"/>
      <c r="F26" s="165" t="n"/>
      <c r="G26" s="166" t="n"/>
      <c r="H26" s="166" t="n"/>
      <c r="I26" s="166" t="n"/>
      <c r="J26" s="165" t="n"/>
      <c r="K26" s="167" t="n"/>
      <c r="L26" s="165" t="n"/>
      <c r="M26" s="165" t="n"/>
      <c r="N26" s="165" t="n"/>
      <c r="O26" s="165" t="n"/>
    </row>
    <row r="27">
      <c r="B27" s="165" t="n"/>
      <c r="C27" s="165" t="n"/>
      <c r="D27" s="165" t="n"/>
      <c r="E27" s="165" t="n"/>
      <c r="F27" s="165" t="n"/>
      <c r="G27" s="166" t="n"/>
      <c r="H27" s="166" t="n"/>
      <c r="I27" s="166" t="n"/>
      <c r="J27" s="165" t="n"/>
      <c r="K27" s="167" t="n"/>
      <c r="L27" s="165" t="n"/>
      <c r="M27" s="165" t="n"/>
      <c r="N27" s="165" t="n"/>
      <c r="O27" s="165" t="n"/>
    </row>
    <row r="28">
      <c r="B28" s="165" t="n"/>
      <c r="C28" s="165" t="n"/>
      <c r="D28" s="165" t="n"/>
      <c r="E28" s="165" t="n"/>
      <c r="F28" s="165" t="n"/>
      <c r="G28" s="166" t="n"/>
      <c r="H28" s="166" t="n"/>
      <c r="I28" s="166" t="n"/>
      <c r="J28" s="165" t="n"/>
      <c r="K28" s="167" t="n"/>
      <c r="L28" s="165" t="n"/>
      <c r="M28" s="165" t="n"/>
      <c r="N28" s="165" t="n"/>
      <c r="O28" s="165" t="n"/>
    </row>
    <row r="29">
      <c r="B29" s="165" t="n"/>
      <c r="C29" s="165" t="n"/>
      <c r="D29" s="165" t="n"/>
      <c r="E29" s="165" t="n"/>
      <c r="F29" s="165" t="n"/>
      <c r="G29" s="166" t="n"/>
      <c r="H29" s="166" t="n"/>
      <c r="I29" s="166" t="n"/>
      <c r="J29" s="165" t="n"/>
      <c r="K29" s="167" t="n"/>
      <c r="L29" s="165" t="n"/>
      <c r="M29" s="165" t="n"/>
      <c r="N29" s="165" t="n"/>
      <c r="O29" s="165" t="n"/>
    </row>
    <row r="30">
      <c r="B30" s="165" t="n"/>
      <c r="C30" s="165" t="n"/>
      <c r="D30" s="165" t="n"/>
      <c r="E30" s="165" t="n"/>
      <c r="F30" s="165" t="n"/>
      <c r="G30" s="166" t="n"/>
      <c r="H30" s="166" t="n"/>
      <c r="I30" s="166" t="n"/>
      <c r="J30" s="165" t="n"/>
      <c r="K30" s="167" t="n"/>
      <c r="L30" s="165" t="n"/>
      <c r="M30" s="165" t="n"/>
      <c r="N30" s="165" t="n"/>
      <c r="O30" s="165" t="n"/>
    </row>
    <row r="33">
      <c r="B33" s="161" t="inlineStr">
        <is>
          <t>▸ SECTION B — REPS MATERIAL PARTICIPATION (per Reg §1.469-5T)</t>
        </is>
      </c>
    </row>
    <row r="35">
      <c r="B35" s="113" t="inlineStr">
        <is>
          <t>REPS qualification requires:</t>
        </is>
      </c>
    </row>
    <row r="36">
      <c r="B36" s="168" t="inlineStr">
        <is>
          <t xml:space="preserve">  (1) &gt;50% of personal services across all trades/businesses in real property trades/businesses</t>
        </is>
      </c>
    </row>
    <row r="37">
      <c r="B37" s="168" t="inlineStr">
        <is>
          <t xml:space="preserve">  (2) &gt;750 hours in real property trades/businesses in which taxpayer materially participates</t>
        </is>
      </c>
    </row>
    <row r="38">
      <c r="B38" s="168" t="inlineStr">
        <is>
          <t>Material participation per §1.469-5T: 7 tests (500hr / substantially all / &gt;100hr+nobody-more / etc.)</t>
        </is>
      </c>
    </row>
    <row r="39">
      <c r="B39" s="168" t="inlineStr">
        <is>
          <t>Grouping election (§1.469-4): combine multiple rentals as a single activity for material participation test.</t>
        </is>
      </c>
    </row>
    <row r="41">
      <c r="B41" s="145" t="inlineStr">
        <is>
          <t>Activity Description</t>
        </is>
      </c>
      <c r="C41" s="145" t="inlineStr">
        <is>
          <t>Property #(s)</t>
        </is>
      </c>
      <c r="D41" s="145" t="inlineStr">
        <is>
          <t>Hours TY</t>
        </is>
      </c>
      <c r="E41" s="145" t="inlineStr">
        <is>
          <t>Hours PY</t>
        </is>
      </c>
      <c r="F41" s="145" t="inlineStr">
        <is>
          <t>Material Particip. Test</t>
        </is>
      </c>
      <c r="G41" s="145" t="inlineStr">
        <is>
          <t>Notes</t>
        </is>
      </c>
    </row>
    <row r="42">
      <c r="B42" s="165" t="n"/>
      <c r="C42" s="165" t="n"/>
      <c r="D42" s="169" t="n"/>
      <c r="E42" s="169" t="n"/>
      <c r="F42" s="165" t="n"/>
      <c r="G42" s="165" t="n"/>
    </row>
    <row r="43">
      <c r="B43" s="165" t="n"/>
      <c r="C43" s="165" t="n"/>
      <c r="D43" s="169" t="n"/>
      <c r="E43" s="169" t="n"/>
      <c r="F43" s="165" t="n"/>
      <c r="G43" s="165" t="n"/>
    </row>
    <row r="44">
      <c r="B44" s="165" t="n"/>
      <c r="C44" s="165" t="n"/>
      <c r="D44" s="169" t="n"/>
      <c r="E44" s="169" t="n"/>
      <c r="F44" s="165" t="n"/>
      <c r="G44" s="165" t="n"/>
    </row>
    <row r="45">
      <c r="B45" s="165" t="n"/>
      <c r="C45" s="165" t="n"/>
      <c r="D45" s="169" t="n"/>
      <c r="E45" s="169" t="n"/>
      <c r="F45" s="165" t="n"/>
      <c r="G45" s="165" t="n"/>
    </row>
    <row r="46">
      <c r="B46" s="165" t="n"/>
      <c r="C46" s="165" t="n"/>
      <c r="D46" s="169" t="n"/>
      <c r="E46" s="169" t="n"/>
      <c r="F46" s="165" t="n"/>
      <c r="G46" s="165" t="n"/>
    </row>
    <row r="47">
      <c r="B47" s="165" t="n"/>
      <c r="C47" s="165" t="n"/>
      <c r="D47" s="169" t="n"/>
      <c r="E47" s="169" t="n"/>
      <c r="F47" s="165" t="n"/>
      <c r="G47" s="165" t="n"/>
    </row>
    <row r="48">
      <c r="B48" s="165" t="n"/>
      <c r="C48" s="165" t="n"/>
      <c r="D48" s="169" t="n"/>
      <c r="E48" s="169" t="n"/>
      <c r="F48" s="165" t="n"/>
      <c r="G48" s="165" t="n"/>
    </row>
    <row r="49">
      <c r="B49" s="165" t="n"/>
      <c r="C49" s="165" t="n"/>
      <c r="D49" s="169" t="n"/>
      <c r="E49" s="169" t="n"/>
      <c r="F49" s="165" t="n"/>
      <c r="G49" s="165" t="n"/>
    </row>
    <row r="50">
      <c r="B50" s="165" t="n"/>
      <c r="C50" s="165" t="n"/>
      <c r="D50" s="169" t="n"/>
      <c r="E50" s="169" t="n"/>
      <c r="F50" s="165" t="n"/>
      <c r="G50" s="165" t="n"/>
    </row>
    <row r="51">
      <c r="B51" s="165" t="n"/>
      <c r="C51" s="165" t="n"/>
      <c r="D51" s="169" t="n"/>
      <c r="E51" s="169" t="n"/>
      <c r="F51" s="165" t="n"/>
      <c r="G51" s="165" t="n"/>
    </row>
    <row r="52">
      <c r="B52" s="165" t="n"/>
      <c r="C52" s="165" t="n"/>
      <c r="D52" s="169" t="n"/>
      <c r="E52" s="169" t="n"/>
      <c r="F52" s="165" t="n"/>
      <c r="G52" s="165" t="n"/>
    </row>
    <row r="53">
      <c r="B53" s="165" t="n"/>
      <c r="C53" s="165" t="n"/>
      <c r="D53" s="169" t="n"/>
      <c r="E53" s="169" t="n"/>
      <c r="F53" s="165" t="n"/>
      <c r="G53" s="165" t="n"/>
    </row>
    <row r="54">
      <c r="B54" s="165" t="n"/>
      <c r="C54" s="165" t="n"/>
      <c r="D54" s="169" t="n"/>
      <c r="E54" s="169" t="n"/>
      <c r="F54" s="165" t="n"/>
      <c r="G54" s="165" t="n"/>
    </row>
    <row r="55">
      <c r="B55" s="165" t="n"/>
      <c r="C55" s="165" t="n"/>
      <c r="D55" s="169" t="n"/>
      <c r="E55" s="169" t="n"/>
      <c r="F55" s="165" t="n"/>
      <c r="G55" s="165" t="n"/>
    </row>
    <row r="56">
      <c r="B56" s="165" t="n"/>
      <c r="C56" s="165" t="n"/>
      <c r="D56" s="169" t="n"/>
      <c r="E56" s="169" t="n"/>
      <c r="F56" s="165" t="n"/>
      <c r="G56" s="165" t="n"/>
    </row>
    <row r="57">
      <c r="B57" s="165" t="n"/>
      <c r="C57" s="165" t="n"/>
      <c r="D57" s="169" t="n"/>
      <c r="E57" s="169" t="n"/>
      <c r="F57" s="165" t="n"/>
      <c r="G57" s="165" t="n"/>
    </row>
    <row r="58">
      <c r="B58" s="165" t="n"/>
      <c r="C58" s="165" t="n"/>
      <c r="D58" s="169" t="n"/>
      <c r="E58" s="169" t="n"/>
      <c r="F58" s="165" t="n"/>
      <c r="G58" s="165" t="n"/>
    </row>
    <row r="59">
      <c r="B59" s="165" t="n"/>
      <c r="C59" s="165" t="n"/>
      <c r="D59" s="169" t="n"/>
      <c r="E59" s="169" t="n"/>
      <c r="F59" s="165" t="n"/>
      <c r="G59" s="165" t="n"/>
    </row>
    <row r="60">
      <c r="B60" s="165" t="n"/>
      <c r="C60" s="165" t="n"/>
      <c r="D60" s="169" t="n"/>
      <c r="E60" s="169" t="n"/>
      <c r="F60" s="165" t="n"/>
      <c r="G60" s="165" t="n"/>
    </row>
    <row r="63">
      <c r="B63" s="161" t="inlineStr">
        <is>
          <t>▸ SECTION C — §1.469-4 GROUPING ELECTION TRACKER</t>
        </is>
      </c>
    </row>
    <row r="65">
      <c r="B65" s="168" t="inlineStr">
        <is>
          <t>If election made: attach written statement to first return where grouping is reflected. Cannot revoke without IRS consent.</t>
        </is>
      </c>
    </row>
    <row r="67">
      <c r="B67" s="145" t="inlineStr">
        <is>
          <t>Election Year</t>
        </is>
      </c>
      <c r="C67" s="145" t="inlineStr">
        <is>
          <t>Group Description</t>
        </is>
      </c>
      <c r="D67" s="145" t="inlineStr">
        <is>
          <t>Properties Included</t>
        </is>
      </c>
      <c r="E67" s="145" t="inlineStr">
        <is>
          <t>Filing Status (Single/Combined)</t>
        </is>
      </c>
      <c r="F67" s="145" t="inlineStr">
        <is>
          <t>Notes</t>
        </is>
      </c>
    </row>
    <row r="68">
      <c r="B68" s="165" t="n"/>
      <c r="C68" s="165" t="n"/>
      <c r="D68" s="165" t="n"/>
      <c r="E68" s="165" t="n"/>
      <c r="F68" s="165" t="n"/>
    </row>
    <row r="69">
      <c r="B69" s="165" t="n"/>
      <c r="C69" s="165" t="n"/>
      <c r="D69" s="165" t="n"/>
      <c r="E69" s="165" t="n"/>
      <c r="F69" s="165" t="n"/>
    </row>
    <row r="70">
      <c r="B70" s="165" t="n"/>
      <c r="C70" s="165" t="n"/>
      <c r="D70" s="165" t="n"/>
      <c r="E70" s="165" t="n"/>
      <c r="F70" s="165" t="n"/>
    </row>
    <row r="71">
      <c r="B71" s="165" t="n"/>
      <c r="C71" s="165" t="n"/>
      <c r="D71" s="165" t="n"/>
      <c r="E71" s="165" t="n"/>
      <c r="F71" s="165" t="n"/>
    </row>
    <row r="72">
      <c r="B72" s="165" t="n"/>
      <c r="C72" s="165" t="n"/>
      <c r="D72" s="165" t="n"/>
      <c r="E72" s="165" t="n"/>
      <c r="F72" s="165" t="n"/>
    </row>
    <row r="73">
      <c r="B73" s="165" t="n"/>
      <c r="C73" s="165" t="n"/>
      <c r="D73" s="165" t="n"/>
      <c r="E73" s="165" t="n"/>
      <c r="F73" s="165" t="n"/>
    </row>
    <row r="74">
      <c r="B74" s="165" t="n"/>
      <c r="C74" s="165" t="n"/>
      <c r="D74" s="165" t="n"/>
      <c r="E74" s="165" t="n"/>
      <c r="F74" s="165" t="n"/>
    </row>
    <row r="75">
      <c r="B75" s="165" t="n"/>
      <c r="C75" s="165" t="n"/>
      <c r="D75" s="165" t="n"/>
      <c r="E75" s="165" t="n"/>
      <c r="F75" s="165" t="n"/>
    </row>
    <row r="76">
      <c r="B76" s="165" t="n"/>
      <c r="C76" s="165" t="n"/>
      <c r="D76" s="165" t="n"/>
      <c r="E76" s="165" t="n"/>
      <c r="F76" s="165" t="n"/>
    </row>
    <row r="77">
      <c r="B77" s="165" t="n"/>
      <c r="C77" s="165" t="n"/>
      <c r="D77" s="165" t="n"/>
      <c r="E77" s="165" t="n"/>
      <c r="F77" s="165" t="n"/>
    </row>
    <row r="78">
      <c r="B78" s="165" t="n"/>
      <c r="C78" s="165" t="n"/>
      <c r="D78" s="165" t="n"/>
      <c r="E78" s="165" t="n"/>
      <c r="F78" s="165" t="n"/>
    </row>
    <row r="79">
      <c r="B79" s="165" t="n"/>
      <c r="C79" s="165" t="n"/>
      <c r="D79" s="165" t="n"/>
      <c r="E79" s="165" t="n"/>
      <c r="F79" s="165" t="n"/>
    </row>
  </sheetData>
  <mergeCells count="3">
    <mergeCell ref="B5:N5"/>
    <mergeCell ref="B63:N63"/>
    <mergeCell ref="B33:N33"/>
  </mergeCells>
  <dataValidations count="3">
    <dataValidation sqref="D8:D100" showDropDown="0" showInputMessage="0" showErrorMessage="0" allowBlank="1" type="list">
      <formula1>"Long-Term Rental,Short-Term Rental,Commercial,Mixed-Use,Personal Residence,Land,Other"</formula1>
    </dataValidation>
    <dataValidation sqref="J8:J100" showDropDown="0" showInputMessage="0" showErrorMessage="0" allowBlank="1" type="list">
      <formula1>"Yes,No,In Progress"</formula1>
    </dataValidation>
    <dataValidation sqref="F42:F60" showDropDown="0" showInputMessage="0" showErrorMessage="0" allowBlank="1" type="list">
      <formula1>"Test 1: 500+ hrs,Test 2: Substantially all,Test 3: &gt;100 hrs &amp; nobody-more,Test 4: Significant participation,Test 5: 5-of-10 prior yrs,Test 6: Personal service,Test 7: Facts &amp; circumstances"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FFC00000"/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0"/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3"/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8"/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7"/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2"/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7"/>
    <row r="68"/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tabColor rgb="FFC00000"/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4.5"/>
  <cols>
    <col width="14" customWidth="1" style="99" min="1" max="1"/>
    <col width="40" customWidth="1" style="99" min="2" max="2"/>
    <col width="38" customWidth="1" style="99" min="3" max="3"/>
    <col width="38" customWidth="1" style="99" min="4" max="4"/>
    <col width="18" customWidth="1" style="99" min="5" max="5"/>
  </cols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3">
      <c r="A173" t="inlineStr">
        <is>
          <t xml:space="preserve">    If Target.Row &lt; 4 Or Target.Cells.Count &gt; 1 Then Exit Sub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  <row r="250">
      <c r="A250" s="171" t="inlineStr">
        <is>
          <t>▸ KISS LAMBDAs — Installed by Phase 3v12</t>
        </is>
      </c>
    </row>
    <row r="251">
      <c r="A251" s="192" t="inlineStr">
        <is>
          <t>Six LAMBDAs in Name Manager (Ctrl+F3 to view). Callable from any cell. CAVEAT: verify each in Name Manager after opening; spot-test with the example values shown.</t>
        </is>
      </c>
    </row>
    <row r="253">
      <c r="A253" s="145" t="inlineStr">
        <is>
          <t>Name</t>
        </is>
      </c>
      <c r="B253" s="145" t="inlineStr">
        <is>
          <t>Purpose</t>
        </is>
      </c>
      <c r="C253" s="145" t="inlineStr">
        <is>
          <t>Signature</t>
        </is>
      </c>
      <c r="D253" s="145" t="inlineStr">
        <is>
          <t>Example call</t>
        </is>
      </c>
      <c r="E253" s="145" t="inlineStr">
        <is>
          <t>Returns</t>
        </is>
      </c>
    </row>
    <row r="254" ht="22" customHeight="1" s="99">
      <c r="A254" s="199" t="inlineStr">
        <is>
          <t>TAX_ORD</t>
        </is>
      </c>
      <c r="B254" s="172" t="inlineStr">
        <is>
          <t>Federal ordinary income tax (progressive bracket)</t>
        </is>
      </c>
      <c r="C254" s="199" t="inlineStr">
        <is>
          <t>TAX_ORD(taxable_income, year, fs)</t>
        </is>
      </c>
      <c r="D254" s="199">
        <f>TAX_ORD(100000, 2025, "MFJ")</f>
        <v/>
      </c>
      <c r="E254" s="172" t="inlineStr">
        <is>
          <t>~ $12,300</t>
        </is>
      </c>
    </row>
    <row r="255" ht="22" customHeight="1" s="99">
      <c r="A255" s="199" t="inlineStr">
        <is>
          <t>TAX_CG</t>
        </is>
      </c>
      <c r="B255" s="172" t="inlineStr">
        <is>
          <t>Long-term capital gains / qualified dividend tax (0/15/20%)</t>
        </is>
      </c>
      <c r="C255" s="199" t="inlineStr">
        <is>
          <t>TAX_CG(cg_amount, taxable_income, year, fs)</t>
        </is>
      </c>
      <c r="D255" s="199">
        <f>TAX_CG(50000, 200000, 2025, "MFJ")</f>
        <v/>
      </c>
      <c r="E255" s="172" t="inlineStr">
        <is>
          <t>$7,500</t>
        </is>
      </c>
    </row>
    <row r="256" ht="22" customHeight="1" s="99">
      <c r="A256" s="199" t="inlineStr">
        <is>
          <t>TAX_NIIT</t>
        </is>
      </c>
      <c r="B256" s="172" t="inlineStr">
        <is>
          <t>3.8% net investment income tax above MAGI threshold</t>
        </is>
      </c>
      <c r="C256" s="199" t="inlineStr">
        <is>
          <t>TAX_NIIT(net_inv_income, magi, fs, year)</t>
        </is>
      </c>
      <c r="D256" s="199">
        <f>TAX_NIIT(50000, 300000, "MFJ", 2025)</f>
        <v/>
      </c>
      <c r="E256" s="172" t="inlineStr">
        <is>
          <t>$1,900</t>
        </is>
      </c>
    </row>
    <row r="257" ht="22" customHeight="1" s="99">
      <c r="A257" s="199" t="inlineStr">
        <is>
          <t>TAX_SE</t>
        </is>
      </c>
      <c r="B257" s="172" t="inlineStr">
        <is>
          <t>Self-employment tax — SS + Medicare on net earnings × 0.9235</t>
        </is>
      </c>
      <c r="C257" s="199" t="inlineStr">
        <is>
          <t>TAX_SE(se_net_earnings, year)</t>
        </is>
      </c>
      <c r="D257" s="199">
        <f>TAX_SE(100000, 2025)</f>
        <v/>
      </c>
      <c r="E257" s="172" t="inlineStr">
        <is>
          <t>~ $14,130</t>
        </is>
      </c>
    </row>
    <row r="258" ht="22" customHeight="1" s="99">
      <c r="A258" s="199" t="inlineStr">
        <is>
          <t>STD_DED</t>
        </is>
      </c>
      <c r="B258" s="172" t="inlineStr">
        <is>
          <t>Standard deduction lookup by year + filing status</t>
        </is>
      </c>
      <c r="C258" s="199" t="inlineStr">
        <is>
          <t>STD_DED(year, fs)</t>
        </is>
      </c>
      <c r="D258" s="199">
        <f>STD_DED(2025, "MFJ")</f>
        <v/>
      </c>
      <c r="E258" s="172" t="inlineStr">
        <is>
          <t>$31,500</t>
        </is>
      </c>
    </row>
    <row r="259" ht="22" customHeight="1" s="99">
      <c r="A259" s="199" t="inlineStr">
        <is>
          <t>TAX_STATE</t>
        </is>
      </c>
      <c r="B259" s="172" t="inlineStr">
        <is>
          <t>State tax via top marginal rate (KISS approximation)</t>
        </is>
      </c>
      <c r="C259" s="199" t="inlineStr">
        <is>
          <t>TAX_STATE(taxable_income, state)</t>
        </is>
      </c>
      <c r="D259" s="199">
        <f>TAX_STATE(200000, "UT")</f>
        <v/>
      </c>
      <c r="E259" s="172" t="inlineStr">
        <is>
          <t>$9,300</t>
        </is>
      </c>
    </row>
    <row r="262">
      <c r="A262" s="171" t="inlineStr">
        <is>
          <t>▸ LAMBDA bodies (for reference/audit)</t>
        </is>
      </c>
    </row>
    <row r="264" ht="80" customHeight="1" s="99">
      <c r="A264" s="200" t="inlineStr">
        <is>
          <t>TAX_ORD</t>
        </is>
      </c>
      <c r="B264" s="201" t="inlineStr">
        <is>
          <t>LAMBDA(taxable_income,year,fs,LET(rows,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t>
        </is>
      </c>
    </row>
    <row r="266" ht="80" customHeight="1" s="99">
      <c r="A266" s="200" t="inlineStr">
        <is>
          <t>TAX_CG</t>
        </is>
      </c>
      <c r="B266" s="201" t="inlineStr">
        <is>
          <t>LAMBDA(cg_amount,taxable_income,year,fs,LET(rows,FILTER(tblBrackets_LTCG,(tblBrackets_LTCG[Year]=year)*(tblBrackets_LTCG[FilingStatus]=fs)*(tblBrackets_LTCG[Lower]&lt;=taxable_income)*(tblBrackets_LTCG[Upper]&gt;taxable_income)),rate,INDEX(rows,1,5),cg_amount*rate))</t>
        </is>
      </c>
    </row>
    <row r="268" ht="80" customHeight="1" s="99">
      <c r="A268" s="200" t="inlineStr">
        <is>
          <t>TAX_NIIT</t>
        </is>
      </c>
      <c r="B268" s="201" t="inlineStr">
        <is>
          <t>LAMBDA(net_inv_income,magi,fs,year,LET(threshold,INDEX(FILTER(tblThresholds[Value],(tblThresholds[Item]="NIIT_Threshold")*(tblThresholds[Year]=year)*(tblThresholds[FilingStatus]=fs)),1),rate,0.038,MAX(0,MIN(net_inv_income,magi-threshold))*rate))</t>
        </is>
      </c>
    </row>
    <row r="270" ht="80" customHeight="1" s="99">
      <c r="A270" s="200" t="inlineStr">
        <is>
          <t>TAX_SE</t>
        </is>
      </c>
      <c r="B270" s="201" t="inlineStr">
        <is>
          <t>LAMBDA(se_net_earnings,year,LET(se_base,se_net_earnings*0.9235,ss_cap,INDEX(FILTER(tblThresholds[Value],(tblThresholds[Item]="SS_Wage_Base")*(tblThresholds[Year]=year)),1),ss_tax,MIN(se_base,ss_cap)*0.124,medi_tax,se_base*0.029,ss_tax+medi_tax))</t>
        </is>
      </c>
    </row>
    <row r="272" ht="80" customHeight="1" s="99">
      <c r="A272" s="200" t="inlineStr">
        <is>
          <t>STD_DED</t>
        </is>
      </c>
      <c r="B272" s="201" t="inlineStr">
        <is>
          <t>LAMBDA(year,fs,INDEX(FILTER(tblStdDed[Amount],(tblStdDed[Year]=year)*(tblStdDed[FilingStatus]=fs)),1))</t>
        </is>
      </c>
    </row>
    <row r="274" ht="80" customHeight="1" s="99">
      <c r="A274" s="200" t="inlineStr">
        <is>
          <t>TAX_STATE</t>
        </is>
      </c>
      <c r="B274" s="201" t="inlineStr">
        <is>
          <t>LAMBDA(taxable_income,state,taxable_income*XLOOKUP(state,tblStateRates[State],tblStateRates[Top_Marginal_Rate],0))</t>
        </is>
      </c>
    </row>
    <row r="277">
      <c r="A277" s="202" t="inlineStr">
        <is>
          <t>▸ fn_StrategyMarginal v2 — CAVEATS</t>
        </is>
      </c>
    </row>
    <row r="279" ht="30" customHeight="1" s="99">
      <c r="A279" s="203" t="inlineStr">
        <is>
          <t>•</t>
        </is>
      </c>
      <c r="B279" s="204" t="inlineStr">
        <is>
          <t>FICA rate flat 15.3% — no SS wage-base cap, no extra 0.9% Medicare surtax above $250K MFJ.</t>
        </is>
      </c>
    </row>
    <row r="280" ht="30" customHeight="1" s="99">
      <c r="A280" s="203" t="inlineStr">
        <is>
          <t>•</t>
        </is>
      </c>
      <c r="B280" s="204" t="inlineStr">
        <is>
          <t>Only Line 1z is FICA-subject. Lines 8/10/11/12/13 are NOT FICA-subject (correct for S-Corp K-1; INCORRECT for sole-prop/partnership where SE applies).</t>
        </is>
      </c>
    </row>
    <row r="281" ht="30" customHeight="1" s="99">
      <c r="A281" s="203" t="inlineStr">
        <is>
          <t>•</t>
        </is>
      </c>
      <c r="B281" s="204" t="inlineStr">
        <is>
          <t>Hire Children (STR-009 → CounterLine 1z): child wages are taxed at PARENT's rate in this model. Real child has separate return at lower bracket. UNDERSTATES STR-009 savings. Revisit when entity-type awareness is added.</t>
        </is>
      </c>
    </row>
    <row r="282" ht="30" customHeight="1" s="99">
      <c r="A282" s="203" t="inlineStr">
        <is>
          <t>•</t>
        </is>
      </c>
      <c r="B282" s="204" t="inlineStr">
        <is>
          <t>SE tax not modeled separately — would matter for sole-prop / partnership clients. Default client context is S-Corp owner so K-1 active has no SE.</t>
        </is>
      </c>
    </row>
    <row r="283" ht="30" customHeight="1" s="99">
      <c r="A283" s="203" t="inlineStr">
        <is>
          <t>•</t>
        </is>
      </c>
      <c r="B283" s="204" t="inlineStr">
        <is>
          <t>State tax savings not included in fn_StrategyMarginal. Use TAX_STATE separately for state-level marginal.</t>
        </is>
      </c>
    </row>
    <row r="284" ht="30" customHeight="1" s="99">
      <c r="A284" s="203" t="inlineStr">
        <is>
          <t>•</t>
        </is>
      </c>
      <c r="B284" s="204" t="inlineStr">
        <is>
          <t>NIIT impact not included. Strategies affecting investment income (Line 7 CG, 3b dividends) may have NIIT secondary effect.</t>
        </is>
      </c>
    </row>
    <row r="285" ht="30" customHeight="1" s="99">
      <c r="A285" s="203" t="inlineStr">
        <is>
          <t>•</t>
        </is>
      </c>
      <c r="B285" s="204" t="inlineStr">
        <is>
          <t>CounterLine handling assumes the catalog's Sign convention: primary amount is "moved off" target_line; counter amount is "moved onto" counter_line (opposite sign).</t>
        </is>
      </c>
    </row>
  </sheetData>
  <mergeCells count="17">
    <mergeCell ref="B285:F285"/>
    <mergeCell ref="B280:F280"/>
    <mergeCell ref="A251:F251"/>
    <mergeCell ref="A277:F277"/>
    <mergeCell ref="B272:F272"/>
    <mergeCell ref="B266:F266"/>
    <mergeCell ref="B281:F281"/>
    <mergeCell ref="B284:F284"/>
    <mergeCell ref="B283:F283"/>
    <mergeCell ref="B270:F270"/>
    <mergeCell ref="A250:F250"/>
    <mergeCell ref="B279:F279"/>
    <mergeCell ref="A262:F262"/>
    <mergeCell ref="B264:F264"/>
    <mergeCell ref="B282:F282"/>
    <mergeCell ref="B274:F274"/>
    <mergeCell ref="B268:F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2026-05-19T17:03:01Z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
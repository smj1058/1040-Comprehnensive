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8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PY_Recon" sheetId="5" state="visible" r:id="rId5"/>
    <sheet name="Pivot_GPD" sheetId="6" state="visible" r:id="rId6"/>
    <sheet name="Y2023" sheetId="7" state="visible" r:id="rId7"/>
    <sheet name="Y2024" sheetId="8" state="visible" r:id="rId8"/>
    <sheet name="Y2025" sheetId="9" state="visible" r:id="rId9"/>
    <sheet name="Y2026" sheetId="10" state="visible" r:id="rId10"/>
    <sheet name="Y2027" sheetId="11" state="visible" r:id="rId11"/>
    <sheet name="Y2028" sheetId="12" state="visible" r:id="rId12"/>
    <sheet name="Pivot_Summary" sheetId="13" state="visible" r:id="rId13"/>
    <sheet name="Pivot_Medium" sheetId="14" state="visible" r:id="rId14"/>
    <sheet name="Pivot_Detailed" sheetId="15" state="visible" r:id="rId15"/>
    <sheet name="Pivot_Helpers" sheetId="16" state="visible" r:id="rId16"/>
    <sheet name="Visual_Pivot_Income" sheetId="17" state="visible" r:id="rId17"/>
    <sheet name="Visual_Pivot_BusinessIncome" sheetId="18" state="visible" r:id="rId18"/>
    <sheet name="Visual_Pivot_ByPayor" sheetId="19" state="visible" r:id="rId19"/>
    <sheet name="Visual_Pivot_HelperCarveOuts" sheetId="20" state="visible" r:id="rId20"/>
    <sheet name="Tax_Ref" sheetId="21" state="visible" r:id="rId21"/>
    <sheet name="Dropdown_Lists" sheetId="22" state="visible" r:id="rId22"/>
    <sheet name="Framework_Ref" sheetId="23" state="visible" r:id="rId23"/>
    <sheet name="Glossary" sheetId="24" state="visible" r:id="rId24"/>
    <sheet name="Carryovers" sheetId="25" state="visible" r:id="rId25"/>
    <sheet name="Questionnaire" sheetId="26" state="visible" r:id="rId26"/>
    <sheet name="Connections" sheetId="27" state="visible" r:id="rId27"/>
    <sheet name="Projection_History" sheetId="28" state="visible" r:id="rId28"/>
    <sheet name="Change_Log" sheetId="29" state="visible" r:id="rId29"/>
    <sheet name="Setup_Guide" sheetId="30" state="visible" r:id="rId30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fullCalcOnLoad="1" iterate="1"/>
  <pivotCaches>
    <pivotCache cacheId="10" r:id="rId31"/>
  </pivotCache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\-mm\-dd"/>
    <numFmt numFmtId="167" formatCode="0.0%"/>
  </numFmts>
  <fonts count="46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</fonts>
  <fills count="1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</borders>
  <cellStyleXfs count="2">
    <xf numFmtId="0" fontId="0" fillId="0" borderId="0"/>
    <xf numFmtId="0" fontId="9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pivotCacheDefinition" Target="/xl/pivotCache/pivotCacheDefinition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1040 Line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200000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Tax_Plan_Dashboard!$J$8:$J$12</f>
              <numCache>
                <formatCode>#,##0</formatCode>
                <ptCount val="5"/>
                <pt idx="0">
                  <v>75000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145000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Tax_Plan_Dashboard!$K$8:$K$12</f>
              <numCache>
                <formatCode>#,##0</formatCode>
                <ptCount val="5"/>
                <pt idx="0">
                  <v>-25000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-55000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90687"/>
        <axId val="710677727"/>
      </barChart>
      <catAx>
        <axId val="710690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0677727"/>
        <crosses val="autoZero"/>
        <auto val="1"/>
        <lblAlgn val="ctr"/>
        <lblOffset val="100"/>
        <noMultiLvlLbl val="0"/>
      </catAx>
      <valAx>
        <axId val="71067772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0690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Income by Treatment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Tax_Plan_Dashboard!$I$17:$I$19</f>
              <numCache>
                <formatCode>#,##0</formatCode>
                <ptCount val="3"/>
                <pt idx="0">
                  <v>200000</v>
                </pt>
                <pt idx="1">
                  <v>0</v>
                </pt>
                <pt idx="2">
                  <formatCode>General</formatCode>
                  <v>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Tax_Plan_Dashboard!$J$17:$J$19</f>
              <numCache>
                <formatCode>#,##0</formatCode>
                <ptCount val="3"/>
                <pt idx="0">
                  <v>225000</v>
                </pt>
                <pt idx="1">
                  <v>0</v>
                </pt>
                <pt idx="2">
                  <formatCode>General</formatCode>
                  <v>-80000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Tax_Plan_Dashboard!$K$17:$K$19</f>
              <numCache>
                <formatCode>#,##0</formatCode>
                <ptCount val="3"/>
                <pt idx="0">
                  <v>25000</v>
                </pt>
                <pt idx="1">
                  <v>0</v>
                </pt>
                <pt idx="2">
                  <v>-80000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78687"/>
        <axId val="710680607"/>
      </barChart>
      <catAx>
        <axId val="710678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0680607"/>
        <crosses val="autoZero"/>
        <auto val="1"/>
        <lblAlgn val="ctr"/>
        <lblOffset val="100"/>
        <noMultiLvlLbl val="0"/>
      </catAx>
      <valAx>
        <axId val="71068060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0678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19</row>
      <rowOff>139700</rowOff>
    </from>
    <to>
      <col>2</col>
      <colOff>1520825</colOff>
      <row>35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123825</colOff>
      <row>19</row>
      <rowOff>139700</rowOff>
    </from>
    <to>
      <col>5</col>
      <colOff>2159000</colOff>
      <row>35</row>
      <rowOff>38100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80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3">
      <c r="B23" s="66" t="inlineStr">
        <is>
          <t>▸ ACTIVE YEAR SNAPSHOT</t>
        </is>
      </c>
    </row>
    <row r="24">
      <c r="B24" s="85" t="inlineStr">
        <is>
          <t>AGI</t>
        </is>
      </c>
      <c r="C24" s="26">
        <f t="array" ref="C24">TEXT(AGI,"$#,##0")</f>
        <v/>
      </c>
    </row>
    <row r="25">
      <c r="B25" s="85" t="inlineStr">
        <is>
          <t>Taxable Income</t>
        </is>
      </c>
      <c r="C25" s="26">
        <f t="array" ref="C25">TEXT(TaxableIncome,"$#,##0")</f>
        <v/>
      </c>
    </row>
    <row r="26">
      <c r="B26" s="85" t="inlineStr">
        <is>
          <t>Effective Rate</t>
        </is>
      </c>
      <c r="C26" s="26">
        <f t="array" ref="C26">TEXT(IFERROR(INDIRECT("Y"&amp;Active_Year&amp;"!I130"),0),"0.0%")</f>
        <v/>
      </c>
    </row>
    <row r="27">
      <c r="B27" s="85" t="inlineStr">
        <is>
          <t>Total Tax</t>
        </is>
      </c>
      <c r="C27" s="26">
        <f t="array" ref="C27">TEXT(IFERROR(INDIRECT("Y"&amp;Active_Year&amp;"!I129"),0),"$#,##0")</f>
        <v/>
      </c>
    </row>
    <row r="28">
      <c r="B28" s="85" t="inlineStr">
        <is>
          <t>QBI Deduction</t>
        </is>
      </c>
      <c r="C28" s="26">
        <f t="array" ref="C28">TEXT(QBI_Deduction,"($#,##0)")</f>
        <v/>
      </c>
    </row>
    <row r="30" ht="15.5" customHeight="1" s="99">
      <c r="B30" s="67" t="inlineStr">
        <is>
          <t>▸ NAVIGATION</t>
        </is>
      </c>
    </row>
    <row r="32">
      <c r="B32" s="74" t="inlineStr">
        <is>
          <t>INPUT / CONFIG</t>
        </is>
      </c>
      <c r="C32" s="74" t="n"/>
    </row>
    <row r="33">
      <c r="B33" s="75">
        <f>HYPERLINK("#Master_Inputs!A1", "Master_Inputs")</f>
        <v/>
      </c>
      <c r="C33" s="62" t="inlineStr">
        <is>
          <t>Baseline income/deductions + committed strategies</t>
        </is>
      </c>
    </row>
    <row r="34">
      <c r="B34" s="75">
        <f>HYPERLINK("#AsFiled!A1", "AsFiled")</f>
        <v/>
      </c>
      <c r="C34" s="62" t="inlineStr">
        <is>
          <t>Filed return data by year for PY reconciliation</t>
        </is>
      </c>
    </row>
    <row r="35">
      <c r="B35" s="75">
        <f>HYPERLINK("#Carryovers!A1", "Carryovers")</f>
        <v/>
      </c>
      <c r="C35" s="62" t="inlineStr">
        <is>
          <t>PAL, CL, NOL manual inputs + calculator</t>
        </is>
      </c>
    </row>
    <row r="37">
      <c r="B37" s="47" t="inlineStr">
        <is>
          <t>YEAR SANDBOXES</t>
        </is>
      </c>
      <c r="C37" s="47" t="n"/>
    </row>
    <row r="38">
      <c r="B38" s="75">
        <f>HYPERLINK("#Y2023!A1", "Y2023")</f>
        <v/>
      </c>
      <c r="C38" s="62" t="inlineStr">
        <is>
          <t>Strategies (A5:F10), rollup, 7-calculator</t>
        </is>
      </c>
    </row>
    <row r="39">
      <c r="B39" s="75">
        <f>HYPERLINK("#Y2024!A1", "Y2024")</f>
        <v/>
      </c>
      <c r="C39" s="62" t="inlineStr">
        <is>
          <t>Strategies (A5:F10), rollup, 7-calculator</t>
        </is>
      </c>
    </row>
    <row r="40">
      <c r="B40" s="75">
        <f>HYPERLINK("#Y2025!A1", "Y2025")</f>
        <v/>
      </c>
      <c r="C40" s="62" t="inlineStr">
        <is>
          <t>Strategies (A5:F10), rollup, 7-calculator</t>
        </is>
      </c>
    </row>
    <row r="41">
      <c r="B41" s="75">
        <f>HYPERLINK("#Y2026!A1", "Y2026")</f>
        <v/>
      </c>
      <c r="C41" s="62" t="inlineStr">
        <is>
          <t>Strategies (A5:F10), rollup, 7-calculator</t>
        </is>
      </c>
    </row>
    <row r="42">
      <c r="B42" s="75">
        <f>HYPERLINK("#Y2027!A1", "Y2027")</f>
        <v/>
      </c>
      <c r="C42" s="62" t="inlineStr">
        <is>
          <t>Strategies (A5:F10), rollup, 7-calculator</t>
        </is>
      </c>
    </row>
    <row r="43">
      <c r="B43" s="75">
        <f>HYPERLINK("#Y2028!A1", "Y2028")</f>
        <v/>
      </c>
      <c r="C43" s="62" t="inlineStr">
        <is>
          <t>Strategies (A5:F10), rollup, 7-calculator</t>
        </is>
      </c>
    </row>
    <row r="45">
      <c r="B45" s="76" t="inlineStr">
        <is>
          <t>DASHBOARDS / RECON</t>
        </is>
      </c>
      <c r="C45" s="76" t="n"/>
    </row>
    <row r="46">
      <c r="B46" s="75">
        <f>HYPERLINK("#Tax_Plan_Dashboard!A1", "Tax_Plan_Dashboard")</f>
        <v/>
      </c>
      <c r="C46" s="62" t="inlineStr">
        <is>
          <t>KPIs + charts with year dropdown</t>
        </is>
      </c>
    </row>
    <row r="47">
      <c r="B47" s="75">
        <f>HYPERLINK("#PY_Recon!A1", "PY_Recon")</f>
        <v/>
      </c>
      <c r="C47" s="62" t="inlineStr">
        <is>
          <t>Prior year baseline vs AsFiled reconciliation</t>
        </is>
      </c>
    </row>
    <row r="48">
      <c r="B48" s="75">
        <f>HYPERLINK("#Pivot_GPD!A1", "Pivot_GPD")</f>
        <v/>
      </c>
      <c r="C48" s="62" t="inlineStr">
        <is>
          <t>Multi-year GETPIVOTDATA bridge + VP_ named ranges</t>
        </is>
      </c>
    </row>
    <row r="50">
      <c r="B50" s="77" t="inlineStr">
        <is>
          <t>PIVOT ENGINE (do not modify)</t>
        </is>
      </c>
      <c r="C50" s="77" t="n"/>
    </row>
    <row r="51">
      <c r="B51" s="75">
        <f>HYPERLINK("#Pivot_Summary!A1", "Pivot_Summary")</f>
        <v/>
      </c>
      <c r="C51" s="62" t="inlineStr">
        <is>
          <t>SUMIFS grid: 1040 lines × years</t>
        </is>
      </c>
    </row>
    <row r="52">
      <c r="B52" s="75">
        <f>HYPERLINK("#Pivot_Medium!A1", "Pivot_Medium")</f>
        <v/>
      </c>
      <c r="C52" s="62" t="inlineStr">
        <is>
          <t>SUMIFS grid: Line 8 breakout by treatment</t>
        </is>
      </c>
    </row>
    <row r="53">
      <c r="B53" s="75">
        <f>HYPERLINK("#Pivot_Detailed!A1", "Pivot_Detailed")</f>
        <v/>
      </c>
      <c r="C53" s="62" t="inlineStr">
        <is>
          <t>SUMIFS grid: informational lines (2a, 3a)</t>
        </is>
      </c>
    </row>
    <row r="54">
      <c r="B54" s="75">
        <f>HYPERLINK("#Pivot_Helpers!A1", "Pivot_Helpers")</f>
        <v/>
      </c>
      <c r="C54" s="62" t="inlineStr">
        <is>
          <t>SUMIFS grid: helper amounts × years</t>
        </is>
      </c>
    </row>
    <row r="56">
      <c r="B56" s="78" t="inlineStr">
        <is>
          <t>VISUAL PIVOTS</t>
        </is>
      </c>
      <c r="C56" s="78" t="n"/>
    </row>
    <row r="57">
      <c r="B57" s="75">
        <f>HYPERLINK("#Visual_Pivot_Income!A1", "Visual_Pivot_Income")</f>
        <v/>
      </c>
      <c r="C57" s="62" t="inlineStr">
        <is>
          <t>PivotTable: income by 1040 line</t>
        </is>
      </c>
    </row>
    <row r="58">
      <c r="B58" s="75">
        <f>HYPERLINK("#Visual_Pivot_BusinessIncome!A1", "Visual_Pivot_BusinessIncome")</f>
        <v/>
      </c>
      <c r="C58" s="62" t="inlineStr">
        <is>
          <t>PivotTable: business by treatment</t>
        </is>
      </c>
    </row>
    <row r="59">
      <c r="B59" s="75">
        <f>HYPERLINK("#Visual_Pivot_ByPayor!A1", "Visual_Pivot_ByPayor")</f>
        <v/>
      </c>
      <c r="C59" s="62" t="inlineStr">
        <is>
          <t>PivotTable: income by payor</t>
        </is>
      </c>
    </row>
    <row r="60">
      <c r="B60" s="75">
        <f>HYPERLINK("#Visual_Pivot_HelperCarveOuts!A1", "Visual_Pivot_HelperCarveOuts")</f>
        <v/>
      </c>
      <c r="C60" s="62" t="inlineStr">
        <is>
          <t>PivotTable: helper carve-outs</t>
        </is>
      </c>
    </row>
    <row r="62">
      <c r="B62" s="79" t="inlineStr">
        <is>
          <t>REFERENCE</t>
        </is>
      </c>
      <c r="C62" s="79" t="n"/>
    </row>
    <row r="63">
      <c r="B63" s="75">
        <f>HYPERLINK("#Tax_Ref!A1", "Tax_Ref")</f>
        <v/>
      </c>
      <c r="C63" s="62" t="inlineStr">
        <is>
          <t>Rate tables + Treatment_Profile_Map (5 tables)</t>
        </is>
      </c>
    </row>
    <row r="64">
      <c r="B64" s="75">
        <f>HYPERLINK("#Dropdown_Lists!A1", "Dropdown_Lists")</f>
        <v/>
      </c>
      <c r="C64" s="62" t="inlineStr">
        <is>
          <t>Validation source lists</t>
        </is>
      </c>
    </row>
    <row r="65">
      <c r="B65" s="75">
        <f>HYPERLINK("#Framework_Ref!A1", "Framework_Ref")</f>
        <v/>
      </c>
      <c r="C65" s="62" t="inlineStr">
        <is>
          <t>Canon v1.4 + Pecking Order + Strategies catalog</t>
        </is>
      </c>
    </row>
    <row r="66">
      <c r="B66" s="75">
        <f>HYPERLINK("#Glossary!A1", "Glossary")</f>
        <v/>
      </c>
      <c r="C66" s="62" t="inlineStr">
        <is>
          <t>100+ terms, PTET table + Tax Limitations</t>
        </is>
      </c>
    </row>
    <row r="67">
      <c r="B67" s="75">
        <f>HYPERLINK("#Questionnaire!A1", "Questionnaire")</f>
        <v/>
      </c>
      <c r="C67" s="62" t="inlineStr">
        <is>
          <t>26-question strategy intake (auto-detects from data)</t>
        </is>
      </c>
    </row>
    <row r="68">
      <c r="B68" s="75">
        <f>HYPERLINK("#Connections!A1", "Connections")</f>
        <v/>
      </c>
      <c r="C68" s="62" t="inlineStr">
        <is>
          <t>External file paths + extraction mapping</t>
        </is>
      </c>
    </row>
    <row r="69">
      <c r="B69" s="75">
        <f>HYPERLINK("#Projection_History!A1", "Projection_History")</f>
        <v/>
      </c>
      <c r="C69" s="62" t="inlineStr">
        <is>
          <t>Projected vs filed accuracy tracking</t>
        </is>
      </c>
    </row>
    <row r="70">
      <c r="B70" s="75">
        <f>HYPERLINK("#Change_Log!A1", "Change_Log")</f>
        <v/>
      </c>
      <c r="C70" s="62" t="inlineStr">
        <is>
          <t>Audit trail</t>
        </is>
      </c>
    </row>
    <row r="71">
      <c r="B71" s="75">
        <f>HYPERLINK("#Setup_Guide!A1", "Setup_Guide")</f>
        <v/>
      </c>
      <c r="C71" s="62" t="inlineStr">
        <is>
          <t>Onboarding + LAMBDA/VBA/Schema docs</t>
        </is>
      </c>
    </row>
    <row r="80">
      <c r="B80" s="75" t="n"/>
      <c r="C80" s="62" t="n"/>
    </row>
  </sheetData>
  <dataValidations count="5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K49"/>
  <sheetViews>
    <sheetView showGridLines="0" workbookViewId="0">
      <selection activeCell="I17" sqref="I17"/>
    </sheetView>
  </sheetViews>
  <sheetFormatPr baseColWidth="8" defaultRowHeight="14.5"/>
  <cols>
    <col width="3.6328125" customWidth="1" style="99" min="1" max="1"/>
    <col width="36.36328125" customWidth="1" style="99" min="2" max="2"/>
    <col width="21.81640625" customWidth="1" style="99" min="3" max="3"/>
    <col width="15.453125" customWidth="1" style="99" min="4" max="4"/>
    <col width="13.6328125" customWidth="1" style="99" min="5" max="5"/>
    <col width="30.90625" customWidth="1" style="99" min="6" max="6"/>
    <col width="5.453125" customWidth="1" style="99" min="7" max="7"/>
    <col width="20" customWidth="1" style="99" min="8" max="8"/>
    <col width="16.36328125" customWidth="1" style="99" min="9" max="9"/>
  </cols>
  <sheetData>
    <row r="2" ht="21" customHeight="1" s="99">
      <c r="B2" s="27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99">
      <c r="B4" s="17" t="inlineStr">
        <is>
          <t>Dashboard Year:</t>
        </is>
      </c>
      <c r="C4" s="46" t="n">
        <v>2025</v>
      </c>
    </row>
    <row r="5" ht="15" customHeight="1" s="99" thickBot="1">
      <c r="B5" s="18" t="inlineStr">
        <is>
          <t>HEADLINE METRICS</t>
        </is>
      </c>
      <c r="C5" s="48" t="inlineStr">
        <is>
          <t>Baseline</t>
        </is>
      </c>
      <c r="D5" s="48" t="inlineStr">
        <is>
          <t>Eff w/ Strat</t>
        </is>
      </c>
      <c r="E5" s="80" t="inlineStr">
        <is>
          <t>Δ Savings</t>
        </is>
      </c>
      <c r="F5" s="80" t="n"/>
      <c r="H5" s="32" t="inlineStr">
        <is>
          <t>CHART DATA — Income by 1040 Line</t>
        </is>
      </c>
    </row>
    <row r="6" ht="15.5" customHeight="1" s="99">
      <c r="B6" s="30" t="inlineStr">
        <is>
          <t>Total Income</t>
        </is>
      </c>
      <c r="C6" s="31">
        <f t="array" ref="C6">IFERROR(INDIRECT("Y"&amp;$C$4&amp;"!K13"),0)</f>
        <v/>
      </c>
      <c r="D6" s="100">
        <f t="array" ref="D6">IFERROR(INDIRECT("Y"&amp;$C$4&amp;"!P13"),0)</f>
        <v/>
      </c>
      <c r="E6" s="91">
        <f>C6-D6</f>
        <v/>
      </c>
      <c r="F6" s="91" t="n"/>
      <c r="H6" s="25" t="inlineStr">
        <is>
          <t>1040 Line</t>
        </is>
      </c>
      <c r="I6" s="25" t="inlineStr">
        <is>
          <t>Baseline</t>
        </is>
      </c>
      <c r="J6" s="32" t="inlineStr">
        <is>
          <t>Effective</t>
        </is>
      </c>
      <c r="K6" s="32" t="inlineStr">
        <is>
          <t>Strategy Δ</t>
        </is>
      </c>
    </row>
    <row r="7" ht="15.5" customHeight="1" s="99">
      <c r="B7" t="inlineStr">
        <is>
          <t>Wages (Line 1z)</t>
        </is>
      </c>
      <c r="C7" s="28">
        <f t="array" ref="C7">IFERROR(INDIRECT("Y"&amp;$C$4&amp;"!K6"),0)</f>
        <v/>
      </c>
      <c r="D7" s="100">
        <f t="array" ref="D7">IFERROR(INDIRECT("Y"&amp;$C$4&amp;"!P6"),0)</f>
        <v/>
      </c>
      <c r="E7" s="91">
        <f>C7-D7</f>
        <v/>
      </c>
      <c r="F7" s="91" t="n"/>
      <c r="H7" t="inlineStr">
        <is>
          <t>1040 Line</t>
        </is>
      </c>
      <c r="I7" s="100" t="inlineStr">
        <is>
          <t>Baseline</t>
        </is>
      </c>
      <c r="J7" s="32" t="inlineStr">
        <is>
          <t>Effective</t>
        </is>
      </c>
      <c r="K7" s="32" t="inlineStr">
        <is>
          <t>Strategy Δ</t>
        </is>
      </c>
    </row>
    <row r="8" ht="15.5" customHeight="1" s="99">
      <c r="B8" t="inlineStr">
        <is>
          <t>Business Income (Line 8)</t>
        </is>
      </c>
      <c r="C8" s="28">
        <f t="array" ref="C8">IFERROR(INDIRECT("Y"&amp;$C$4&amp;"!K12"),0)</f>
        <v/>
      </c>
      <c r="D8" s="100">
        <f t="array" ref="D8">IFERROR(INDIRECT("Y"&amp;$C$4&amp;"!P12"),0)</f>
        <v/>
      </c>
      <c r="E8" s="91">
        <f>C8-D8</f>
        <v/>
      </c>
      <c r="F8" s="91" t="n"/>
      <c r="H8" t="inlineStr">
        <is>
          <t>1z Wages</t>
        </is>
      </c>
      <c r="I8" s="100">
        <f>IFERROR(INDEX(Pivot_Summary!$C5:$H5,MATCH(TEXT($C$4,"0"),Pivot_Summary!$C$4:$H$4,0)),0)</f>
        <v/>
      </c>
      <c r="J8" s="100">
        <f>IFERROR(INDEX(Pivot_Summary!$O5:$T5,MATCH($C$4,Pivot_Summary!$O$4:$T$4,0)),0)</f>
        <v/>
      </c>
      <c r="K8" s="100">
        <f>IFERROR(INDEX(Pivot_Summary!$I5:$N5,MATCH($C$4,Pivot_Summary!$I$4:$N$4,0)),0)</f>
        <v/>
      </c>
    </row>
    <row r="9" ht="15.5" customHeight="1" s="99">
      <c r="B9" t="inlineStr">
        <is>
          <t>Capital Gains (Line 7)</t>
        </is>
      </c>
      <c r="C9" s="28">
        <f t="array" ref="C9">IFERROR(INDIRECT("Y"&amp;$C$4&amp;"!K11"),0)</f>
        <v/>
      </c>
      <c r="D9" s="100">
        <f t="array" ref="D9">IFERROR(INDIRECT("Y"&amp;$C$4&amp;"!P11"),0)</f>
        <v/>
      </c>
      <c r="E9" s="91">
        <f>C9-D9</f>
        <v/>
      </c>
      <c r="F9" s="91" t="n"/>
      <c r="H9" t="inlineStr">
        <is>
          <t>2b Tax Interest</t>
        </is>
      </c>
      <c r="I9" s="100">
        <f>IFERROR(INDEX(Pivot_Summary!$C6:$H6,MATCH(TEXT($C$4,"0"),Pivot_Summary!$C$4:$H$4,0)),0)</f>
        <v/>
      </c>
      <c r="J9" s="100">
        <f>IFERROR(INDEX(Pivot_Summary!$O6:$T6,MATCH($C$4,Pivot_Summary!$O$4:$T$4,0)),0)</f>
        <v/>
      </c>
      <c r="K9" s="100">
        <f>IFERROR(INDEX(Pivot_Summary!$I6:$N6,MATCH($C$4,Pivot_Summary!$I$4:$N$4,0)),0)</f>
        <v/>
      </c>
    </row>
    <row r="10" ht="15.5" customHeight="1" s="99">
      <c r="B10" t="inlineStr">
        <is>
          <t>Investment Income (3b)</t>
        </is>
      </c>
      <c r="C10" s="28">
        <f t="array" ref="C10">IFERROR(INDIRECT("Y"&amp;$C$4&amp;"!K10"),0)</f>
        <v/>
      </c>
      <c r="D10" s="100">
        <f t="array" ref="D10">IFERROR(INDIRECT("Y"&amp;$C$4&amp;"!P10"),0)</f>
        <v/>
      </c>
      <c r="E10" s="91">
        <f>C10-D10</f>
        <v/>
      </c>
      <c r="F10" s="91" t="n"/>
      <c r="H10" t="inlineStr">
        <is>
          <t>3b Dividends</t>
        </is>
      </c>
      <c r="I10" s="100">
        <f>IFERROR(INDEX(Pivot_Summary!$C7:$H7,MATCH(TEXT($C$4,"0"),Pivot_Summary!$C$4:$H$4,0)),0)</f>
        <v/>
      </c>
      <c r="J10" s="100">
        <f>IFERROR(INDEX(Pivot_Summary!$O7:$T7,MATCH($C$4,Pivot_Summary!$O$4:$T$4,0)),0)</f>
        <v/>
      </c>
      <c r="K10" s="100">
        <f>IFERROR(INDEX(Pivot_Summary!$I7:$N7,MATCH($C$4,Pivot_Summary!$I$4:$N$4,0)),0)</f>
        <v/>
      </c>
    </row>
    <row r="11" ht="15.5" customHeight="1" s="99">
      <c r="B11" t="inlineStr">
        <is>
          <t>Std/Itemized Ded (Line 12)</t>
        </is>
      </c>
      <c r="C11" s="28">
        <f t="array" ref="C11">IFERROR(INDIRECT("Y"&amp;$C$4&amp;"!K16"),0)</f>
        <v/>
      </c>
      <c r="D11" s="100">
        <f t="array" ref="D11">IFERROR(INDIRECT("Y"&amp;$C$4&amp;"!P16"),0)</f>
        <v/>
      </c>
      <c r="E11" s="91">
        <f>C11-D11</f>
        <v/>
      </c>
      <c r="F11" s="91" t="n"/>
      <c r="H11" t="inlineStr">
        <is>
          <t>7 Cap Gains</t>
        </is>
      </c>
      <c r="I11" s="100">
        <f>IFERROR(INDEX(Pivot_Summary!$C8:$H8,MATCH(TEXT($C$4,"0"),Pivot_Summary!$C$4:$H$4,0)),0)</f>
        <v/>
      </c>
      <c r="J11" s="100">
        <f>IFERROR(INDEX(Pivot_Summary!$O8:$T8,MATCH($C$4,Pivot_Summary!$O$4:$T$4,0)),0)</f>
        <v/>
      </c>
      <c r="K11" s="100">
        <f>IFERROR(INDEX(Pivot_Summary!$I8:$N8,MATCH($C$4,Pivot_Summary!$I$4:$N$4,0)),0)</f>
        <v/>
      </c>
    </row>
    <row r="12" ht="15.5" customHeight="1" s="99">
      <c r="B12" t="inlineStr">
        <is>
          <t>Qualified Dividends</t>
        </is>
      </c>
      <c r="C12" s="28">
        <f t="array" ref="C12">IFERROR(INDIRECT("Y"&amp;$C$4&amp;"!J30"),0)</f>
        <v/>
      </c>
      <c r="D12" s="100">
        <f t="array" ref="D12">IFERROR(INDIRECT("Y"&amp;$C$4&amp;"!K30"),0)</f>
        <v/>
      </c>
      <c r="E12" s="91">
        <f>C12-D12</f>
        <v/>
      </c>
      <c r="F12" s="91" t="n"/>
      <c r="H12" t="inlineStr">
        <is>
          <t>8 Business</t>
        </is>
      </c>
      <c r="I12" s="100">
        <f>IFERROR(INDEX(Pivot_Summary!$C9:$H9,MATCH(TEXT($C$4,"0"),Pivot_Summary!$C$4:$H$4,0)),0)</f>
        <v/>
      </c>
      <c r="J12" s="100">
        <f>IFERROR(INDEX(Pivot_Summary!$O9:$T9,MATCH($C$4,Pivot_Summary!$O$4:$T$4,0)),0)</f>
        <v/>
      </c>
      <c r="K12" s="100">
        <f>IFERROR(INDEX(Pivot_Summary!$I9:$N9,MATCH($C$4,Pivot_Summary!$I$4:$N$4,0)),0)</f>
        <v/>
      </c>
    </row>
    <row r="13" ht="15.5" customHeight="1" s="99">
      <c r="B13" t="inlineStr">
        <is>
          <t>Owner W-2 Wages</t>
        </is>
      </c>
      <c r="C13" s="28">
        <f t="array" ref="C13">IFERROR(INDIRECT("Y"&amp;$C$4&amp;"!J23"),0)</f>
        <v/>
      </c>
      <c r="D13" s="100">
        <f t="array" ref="D13">IFERROR(INDIRECT("Y"&amp;$C$4&amp;"!K23"),0)</f>
        <v/>
      </c>
      <c r="E13" s="91">
        <f>C13-D13</f>
        <v/>
      </c>
      <c r="F13" s="91" t="n"/>
    </row>
    <row r="14">
      <c r="H14" s="32" t="inlineStr">
        <is>
          <t>CHART DATA — Business by Treatment</t>
        </is>
      </c>
    </row>
    <row r="15" ht="15" customHeight="1" s="99" thickBot="1">
      <c r="B15" s="18" t="inlineStr">
        <is>
          <t>BUSINESS INCOME BREAKDOWN</t>
        </is>
      </c>
      <c r="C15" s="18" t="n"/>
      <c r="D15" s="18" t="inlineStr">
        <is>
          <t>Strategy Δ</t>
        </is>
      </c>
      <c r="E15" s="17" t="inlineStr">
        <is>
          <t>Effective</t>
        </is>
      </c>
      <c r="H15" s="25" t="inlineStr">
        <is>
          <t>Treatment</t>
        </is>
      </c>
      <c r="I15" s="25" t="inlineStr">
        <is>
          <t>Baseline</t>
        </is>
      </c>
      <c r="J15" s="32" t="inlineStr">
        <is>
          <t>Effective</t>
        </is>
      </c>
      <c r="K15" s="32" t="inlineStr">
        <is>
          <t>Strategy Δ</t>
        </is>
      </c>
    </row>
    <row r="16" ht="15.5" customHeight="1" s="99">
      <c r="B16" t="inlineStr">
        <is>
          <t>S-Corp K-1 Active</t>
        </is>
      </c>
      <c r="C16" s="28">
        <f>IFERROR(GETPIVOTDATA("Baseline_Amount",Visual_Pivot_BusinessIncome!$B$5,"Treatment_Profile","K1_SCorp_Active","Year",$C$4),0)</f>
        <v/>
      </c>
      <c r="D16" s="100">
        <f>IFERROR(SUMIFS(tblMaster_Inputs[Baseline_Amount],tblMaster_Inputs[Treatment_Profile],"K1_SCorp_Active",tblMaster_Inputs[Year],$C$4,tblMaster_Inputs[Activity_Type],"Strategy")+SUMIFS(tblMaster_Inputs[Baseline_Amount],tblMaster_Inputs[Treatment_Profile],"K1_SCorp_Passive",tblMaster_Inputs[Year],$C$4,tblMaster_Inputs[Activity_Type],"Strategy"),0)</f>
        <v/>
      </c>
      <c r="E16" s="100">
        <f>C16+D16</f>
        <v/>
      </c>
      <c r="H16" t="inlineStr">
        <is>
          <t>Treatment</t>
        </is>
      </c>
      <c r="I16" s="100" t="inlineStr">
        <is>
          <t>Baseline</t>
        </is>
      </c>
      <c r="J16" s="32" t="inlineStr">
        <is>
          <t>Effective</t>
        </is>
      </c>
      <c r="K16" s="32" t="inlineStr">
        <is>
          <t>Strategy Δ</t>
        </is>
      </c>
    </row>
    <row r="17" ht="15.5" customHeight="1" s="99">
      <c r="B17" t="inlineStr">
        <is>
          <t>PTP K-1 Passive</t>
        </is>
      </c>
      <c r="C17" s="28">
        <f>IFERROR(GETPIVOTDATA("Baseline_Amount",Visual_Pivot_BusinessIncome!$B$5,"Treatment_Profile","K1_PTP_Passive","Year",$C$4),0)</f>
        <v/>
      </c>
      <c r="D17" s="100">
        <f>IFERROR(SUMIFS(tblMaster_Inputs[Baseline_Amount],tblMaster_Inputs[Treatment_Profile],"K1_PTP_Passive",tblMaster_Inputs[Year],$C$4,tblMaster_Inputs[Activity_Type],"Strategy")+SUMIFS(tblMaster_Inputs[Baseline_Amount],tblMaster_Inputs[Treatment_Profile],"K1_PTP_Active",tblMaster_Inputs[Year],$C$4,tblMaster_Inputs[Activity_Type],"Strategy"),0)</f>
        <v/>
      </c>
      <c r="E17" s="100">
        <f>C17+D17</f>
        <v/>
      </c>
      <c r="H17" t="inlineStr">
        <is>
          <t>K1_SCorp_Active</t>
        </is>
      </c>
      <c r="I17" s="100">
        <f>IFERROR(INDEX(Pivot_Medium!$C12:$H12,MATCH(TEXT($C$4,"0"),Pivot_Medium!$C$4:$H$4,0)),0)</f>
        <v/>
      </c>
      <c r="J17" s="100">
        <f>IFERROR(INDEX(Pivot_Medium!$O12:$T12,MATCH($C$4,Pivot_Medium!$O$4:$T$4,0)),0)</f>
        <v/>
      </c>
      <c r="K17" s="100">
        <f>IFERROR(INDEX(Pivot_Medium!$I12:$N12,MATCH($C$4,Pivot_Medium!$I$4:$N$4,0)),0)</f>
        <v/>
      </c>
    </row>
    <row r="18" ht="15.5" customHeight="1" s="99">
      <c r="B18" t="inlineStr">
        <is>
          <t>Schedule E Rental</t>
        </is>
      </c>
      <c r="C18" s="28">
        <f>IFERROR(GETPIVOTDATA("Baseline_Amount",Visual_Pivot_BusinessIncome!$B$5,"Treatment_Profile","SchE_Rental","Year",$C$4),0)</f>
        <v/>
      </c>
      <c r="D18" s="100">
        <f>IFERROR(SUMIFS(tblMaster_Inputs[Baseline_Amount],tblMaster_Inputs[Treatment_Profile],"SchE_Rental",tblMaster_Inputs[Year],$C$4,tblMaster_Inputs[Activity_Type],"Strategy")+SUMIFS(tblMaster_Inputs[Baseline_Amount],tblMaster_Inputs[Treatment_Profile],"SchE_REPro",tblMaster_Inputs[Year],$C$4,tblMaster_Inputs[Activity_Type],"Strategy"),0)</f>
        <v/>
      </c>
      <c r="E18" s="100">
        <f>C18+D18</f>
        <v/>
      </c>
      <c r="H18" t="inlineStr">
        <is>
          <t>K1_PTP_Passive</t>
        </is>
      </c>
      <c r="I18" s="100">
        <f>IFERROR(INDEX(Pivot_Medium!$C11:$H11,MATCH(TEXT($C$4,"0"),Pivot_Medium!$C$4:$H$4,0)),0)</f>
        <v/>
      </c>
      <c r="J18" s="100">
        <f>IFERROR(INDEX(Pivot_Medium!$O11:$T11,MATCH($C$4,Pivot_Medium!$O$4:$T$4,0)),0)</f>
        <v/>
      </c>
      <c r="K18" s="100">
        <f>IFERROR(INDEX(Pivot_Medium!$I11:$N11,MATCH($C$4,Pivot_Medium!$I$4:$N$4,0)),0)</f>
        <v/>
      </c>
    </row>
    <row r="19" ht="15.5" customHeight="1" s="99">
      <c r="B19" s="30" t="inlineStr">
        <is>
          <t>Total Business Income</t>
        </is>
      </c>
      <c r="C19" s="31">
        <f>IFERROR(GETPIVOTDATA("Baseline_Amount",Visual_Pivot_BusinessIncome!$B$5,"Year",$C$4),0)</f>
        <v/>
      </c>
      <c r="D19" s="51">
        <f>IFERROR(SUMIFS(tblMaster_Inputs[Baseline_Amount],tblMaster_Inputs[Year],$C$4,tblMaster_Inputs[Activity_Type],"Strategy",tblMaster_Inputs[Bucket],"Business Income"),0)</f>
        <v/>
      </c>
      <c r="E19" s="51">
        <f>C19+D19</f>
        <v/>
      </c>
      <c r="H19" t="inlineStr">
        <is>
          <t>SchE_Rental</t>
        </is>
      </c>
      <c r="I19">
        <f>IFERROR(INDEX(Pivot_Medium!$C10:$H10,MATCH(TEXT($C$4,"0"),Pivot_Medium!$C$4:$H$4,0)),0)</f>
        <v/>
      </c>
      <c r="J19">
        <f>IFERROR(INDEX(Pivot_Medium!$O10:$T10,MATCH($C$4,Pivot_Medium!$O$4:$T$4,0)),0)</f>
        <v/>
      </c>
      <c r="K19" s="100">
        <f>IFERROR(INDEX(Pivot_Medium!$I10:$N10,MATCH($C$4,Pivot_Medium!$I$4:$N$4,0)),0)</f>
        <v/>
      </c>
    </row>
    <row r="37" ht="18.5" customHeight="1" s="99">
      <c r="B37" s="15" t="inlineStr">
        <is>
          <t>STRATEGY IMPACT SUMMARY</t>
        </is>
      </c>
    </row>
    <row r="38">
      <c r="B38" s="35" t="inlineStr">
        <is>
          <t>Strategy</t>
        </is>
      </c>
      <c r="C38" s="35" t="inlineStr">
        <is>
          <t>Jeff Ref</t>
        </is>
      </c>
      <c r="D38" s="35" t="inlineStr">
        <is>
          <t>Target Line</t>
        </is>
      </c>
      <c r="E38" s="35" t="inlineStr">
        <is>
          <t>Amount</t>
        </is>
      </c>
      <c r="F38" s="35" t="inlineStr">
        <is>
          <t>Status</t>
        </is>
      </c>
    </row>
    <row r="39">
      <c r="B39">
        <f t="array" ref="B39">IFERROR(INDIRECT("Y"&amp;$C$4&amp;"!B6"),"")</f>
        <v/>
      </c>
      <c r="C39">
        <f t="array" ref="C39">IFERROR(INDIRECT("Y"&amp;$C$4&amp;"!H6"),"")</f>
        <v/>
      </c>
      <c r="D39">
        <f t="array" ref="D39">IFERROR(INDIRECT("Y"&amp;$C$4&amp;"!C6"),"")</f>
        <v/>
      </c>
      <c r="E39" s="100">
        <f t="array" ref="E39">IFERROR(INDIRECT("Y"&amp;$C$4&amp;"!D6"),"")</f>
        <v/>
      </c>
      <c r="F39">
        <f t="array" ref="F39">IFERROR(INDIRECT("Y"&amp;$C$4&amp;"!E6"),"")</f>
        <v/>
      </c>
    </row>
    <row r="40">
      <c r="B40">
        <f t="array" ref="B40">IFERROR(INDIRECT("Y"&amp;$C$4&amp;"!B7"),"")</f>
        <v/>
      </c>
      <c r="C40">
        <f t="array" ref="C40">IFERROR(INDIRECT("Y"&amp;$C$4&amp;"!H7"),"")</f>
        <v/>
      </c>
      <c r="D40">
        <f t="array" ref="D40">IFERROR(INDIRECT("Y"&amp;$C$4&amp;"!C7"),"")</f>
        <v/>
      </c>
      <c r="E40" s="100">
        <f t="array" ref="E40">IFERROR(INDIRECT("Y"&amp;$C$4&amp;"!D7"),"")</f>
        <v/>
      </c>
      <c r="F40">
        <f t="array" ref="F40">IFERROR(INDIRECT("Y"&amp;$C$4&amp;"!E7"),"")</f>
        <v/>
      </c>
    </row>
    <row r="41">
      <c r="B41">
        <f t="array" ref="B41">IFERROR(INDIRECT("Y"&amp;$C$4&amp;"!B8"),"")</f>
        <v/>
      </c>
      <c r="C41">
        <f t="array" ref="C41">IFERROR(INDIRECT("Y"&amp;$C$4&amp;"!H8"),"")</f>
        <v/>
      </c>
      <c r="D41">
        <f t="array" ref="D41">IFERROR(INDIRECT("Y"&amp;$C$4&amp;"!C8"),"")</f>
        <v/>
      </c>
      <c r="E41" s="100">
        <f t="array" ref="E41">IFERROR(INDIRECT("Y"&amp;$C$4&amp;"!D8"),"")</f>
        <v/>
      </c>
      <c r="F41">
        <f t="array" ref="F41">IFERROR(INDIRECT("Y"&amp;$C$4&amp;"!E8"),"")</f>
        <v/>
      </c>
    </row>
    <row r="42">
      <c r="B42">
        <f t="array" ref="B42">IFERROR(INDIRECT("Y"&amp;$C$4&amp;"!B9"),"")</f>
        <v/>
      </c>
      <c r="C42">
        <f t="array" ref="C42">IFERROR(INDIRECT("Y"&amp;$C$4&amp;"!H9"),"")</f>
        <v/>
      </c>
      <c r="D42">
        <f t="array" ref="D42">IFERROR(INDIRECT("Y"&amp;$C$4&amp;"!C9"),"")</f>
        <v/>
      </c>
      <c r="E42" s="100">
        <f t="array" ref="E42">IFERROR(INDIRECT("Y"&amp;$C$4&amp;"!D9"),"")</f>
        <v/>
      </c>
      <c r="F42">
        <f t="array" ref="F42">IFERROR(INDIRECT("Y"&amp;$C$4&amp;"!E9"),"")</f>
        <v/>
      </c>
    </row>
    <row r="43">
      <c r="B43">
        <f t="array" ref="B43">IFERROR(INDIRECT("Y"&amp;$C$4&amp;"!B10"),"")</f>
        <v/>
      </c>
      <c r="C43">
        <f t="array" ref="C43">IFERROR(INDIRECT("Y"&amp;$C$4&amp;"!H10"),"")</f>
        <v/>
      </c>
      <c r="D43">
        <f t="array" ref="D43">IFERROR(INDIRECT("Y"&amp;$C$4&amp;"!C10"),"")</f>
        <v/>
      </c>
      <c r="E43" s="100">
        <f t="array" ref="E43">IFERROR(INDIRECT("Y"&amp;$C$4&amp;"!D10"),"")</f>
        <v/>
      </c>
      <c r="F43">
        <f t="array" ref="F43">IFERROR(INDIRECT("Y"&amp;$C$4&amp;"!E10"),"")</f>
        <v/>
      </c>
    </row>
    <row r="45" ht="15.5" customHeight="1" s="99">
      <c r="B45" s="49" t="inlineStr">
        <is>
          <t>TAX IMPACT</t>
        </is>
      </c>
      <c r="E45" s="17" t="inlineStr">
        <is>
          <t>Committed</t>
        </is>
      </c>
      <c r="F45" s="17" t="inlineStr">
        <is>
          <t>Net Impact</t>
        </is>
      </c>
    </row>
    <row r="46" ht="18.5" customHeight="1" s="99">
      <c r="B46" t="inlineStr">
        <is>
          <t>Baseline Tax</t>
        </is>
      </c>
      <c r="C46" s="101">
        <f t="array" ref="C46">IFERROR(INDIRECT("Y"&amp;$C$4&amp;"!J133"),0)</f>
        <v/>
      </c>
      <c r="E46" s="103">
        <f t="array" ref="E46">IFERROR(INDIRECT("Y"&amp;$C$4&amp;"!B28"),0)</f>
        <v/>
      </c>
      <c r="F46" s="104">
        <f t="array" ref="F46">IFERROR(INDIRECT("Y"&amp;$C$4&amp;"!D28"),0)</f>
        <v/>
      </c>
    </row>
    <row r="47">
      <c r="B47" t="inlineStr">
        <is>
          <t>Tax w/ Strategies</t>
        </is>
      </c>
      <c r="C47" s="101">
        <f t="array" ref="C47">IFERROR(INDIRECT("Y"&amp;$C$4&amp;"!K133"),0)</f>
        <v/>
      </c>
    </row>
    <row r="48" ht="18.5" customHeight="1" s="99">
      <c r="B48" t="inlineStr">
        <is>
          <t>Tax Savings ($)</t>
        </is>
      </c>
      <c r="C48" s="105">
        <f>C46-C47</f>
        <v/>
      </c>
    </row>
    <row r="49">
      <c r="B49" t="inlineStr">
        <is>
          <t>Eff. Rate Reduction</t>
        </is>
      </c>
      <c r="C49" s="102">
        <f t="array" ref="C49">IFERROR(INDIRECT("Y"&amp;$C$4&amp;"!J134"),0)-IFERROR(INDIRECT("Y"&amp;$C$4&amp;"!K134"),0)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workbookViewId="0">
      <selection activeCell="L53" sqref="L53"/>
    </sheetView>
  </sheetViews>
  <sheetFormatPr baseColWidth="8" defaultRowHeight="14.5"/>
  <cols>
    <col width="12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8"/>
    <col width="36" customWidth="1" style="99" min="9" max="9"/>
    <col width="16" customWidth="1" style="99" min="10" max="10"/>
    <col width="6.36328125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workbookViewId="0">
      <selection activeCell="L53" sqref="L53"/>
    </sheetView>
  </sheetViews>
  <sheetFormatPr baseColWidth="8" defaultRowHeight="14.5"/>
  <cols>
    <col width="12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8"/>
    <col width="36" customWidth="1" style="99" min="9" max="9"/>
    <col width="16" customWidth="1" style="99" min="10" max="10"/>
    <col width="6.36328125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73.1796875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7"/>
    <col width="11.6328125" customWidth="1" style="99" min="8" max="8"/>
    <col width="36" customWidth="1" style="99" min="9" max="9"/>
    <col width="16" customWidth="1" style="99" min="10" max="10"/>
    <col width="10.6328125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topLeftCell="B29" workbookViewId="0">
      <selection activeCell="L53" sqref="L53"/>
    </sheetView>
  </sheetViews>
  <sheetFormatPr baseColWidth="8" defaultRowHeight="14.5"/>
  <cols>
    <col width="12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8"/>
    <col width="36" customWidth="1" style="99" min="9" max="9"/>
    <col width="16" customWidth="1" style="99" min="10" max="10"/>
    <col width="6.36328125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workbookViewId="0">
      <selection activeCell="L53" sqref="L53"/>
    </sheetView>
  </sheetViews>
  <sheetFormatPr baseColWidth="8" defaultRowHeight="14.5"/>
  <cols>
    <col width="12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8"/>
    <col width="36" customWidth="1" style="99" min="9" max="9"/>
    <col width="16" customWidth="1" style="99" min="10" max="10"/>
    <col width="6.36328125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36"/>
  <sheetViews>
    <sheetView workbookViewId="0">
      <selection activeCell="L53" sqref="L53"/>
    </sheetView>
  </sheetViews>
  <sheetFormatPr baseColWidth="8" defaultRowHeight="14.5"/>
  <cols>
    <col width="12" customWidth="1" style="99" min="1" max="1"/>
    <col width="36" customWidth="1" style="99" min="2" max="2"/>
    <col width="12" customWidth="1" style="99" min="3" max="3"/>
    <col width="14" customWidth="1" style="99" min="4" max="5"/>
    <col width="32" customWidth="1" style="99" min="6" max="6"/>
    <col width="3" customWidth="1" style="99" min="7" max="8"/>
    <col width="36" customWidth="1" style="99" min="9" max="9"/>
    <col width="16" customWidth="1" style="99" min="10" max="10"/>
    <col width="6.36328125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</sheetData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4">
      <c r="A164" t="inlineStr"/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2">
      <c r="A172" t="inlineStr"/>
    </row>
    <row r="173">
      <c r="A173" t="inlineStr">
        <is>
          <t xml:space="preserve">    If Target.Row &lt; 4 Or Target.Cells.Count &gt; 1 Then Exit Sub</t>
        </is>
      </c>
    </row>
    <row r="174">
      <c r="A174" t="inlineStr"/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8">
      <c r="A178" t="inlineStr"/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2">
      <c r="A192" t="inlineStr"/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7">
      <c r="A197" t="inlineStr"/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0">
      <c r="A200" t="inlineStr"/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5">
      <c r="A205" t="inlineStr"/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4">
      <c r="A214" t="inlineStr"/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2026-05-19T14:42:51Z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
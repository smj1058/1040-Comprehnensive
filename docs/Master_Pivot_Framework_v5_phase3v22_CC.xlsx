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5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1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</fonts>
  <fills count="2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0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V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A1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1"/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4"/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4"/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1"/>
    <row r="42">
      <c r="B42" s="67" t="inlineStr">
        <is>
          <t>▸ NAVIGATION</t>
        </is>
      </c>
    </row>
    <row r="43"/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8"/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6"/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1"/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7"/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3"/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84"/>
    <row r="85"/>
    <row r="86"/>
    <row r="87"/>
    <row r="88"/>
    <row r="89"/>
    <row r="90"/>
    <row r="91"/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3"/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1"/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4"/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2"/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5"/>
    <row r="6"/>
    <row r="7">
      <c r="B7" s="124" t="inlineStr">
        <is>
          <t>SECTION 1 — HEADLINE SUMMARY</t>
        </is>
      </c>
    </row>
    <row r="8"/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1"/>
    <row r="12">
      <c r="B12" s="126" t="inlineStr">
        <is>
          <t>ANNUAL TAX SAVINGS</t>
        </is>
      </c>
      <c r="E12" s="127">
        <f>E9-E10</f>
        <v/>
      </c>
    </row>
    <row r="13"/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5"/>
    <row r="16"/>
    <row r="17">
      <c r="B17" s="124" t="inlineStr">
        <is>
          <t>SECTION 2 — INCOME WATERFALL</t>
        </is>
      </c>
    </row>
    <row r="18"/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3"/>
    <row r="34"/>
    <row r="35">
      <c r="B35" s="124" t="inlineStr">
        <is>
          <t>SECTION 3 — TAX COMPONENT SAVINGS</t>
        </is>
      </c>
    </row>
    <row r="36"/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5"/>
    <row r="46"/>
    <row r="47">
      <c r="B47" s="124" t="inlineStr">
        <is>
          <t>SECTION 4 — STRATEGY-BY-STRATEGY SAVINGS</t>
        </is>
      </c>
    </row>
    <row r="48"/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5"/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0"/>
    <row r="71"/>
    <row r="72">
      <c r="B72" s="124" t="inlineStr">
        <is>
          <t>SECTION 5 — TAKE-HOME CASH + WEALTH POSITION</t>
        </is>
      </c>
    </row>
    <row r="73"/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7"/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79"/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1"/>
    <row r="82"/>
    <row r="83">
      <c r="B83" s="124" t="inlineStr">
        <is>
          <t>SECTION 6 — IMPLEMENTATION GUIDE</t>
        </is>
      </c>
    </row>
    <row r="84"/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1"/>
    <row r="102">
      <c r="B102" s="115" t="inlineStr">
        <is>
          <t>Implementation guidance is auto-generated from strategy status. Refine per-strategy in real engagements.</t>
        </is>
      </c>
    </row>
    <row r="103"/>
    <row r="104"/>
    <row r="105">
      <c r="B105" s="124" t="inlineStr">
        <is>
          <t>SECTION 7 — OPEN ITEMS &amp; ASSUMPTIONS</t>
        </is>
      </c>
    </row>
    <row r="106"/>
    <row r="107">
      <c r="B107" s="113" t="inlineStr">
        <is>
          <t>Open items flagged from the Tax Strategy Questionnaire (when populated):</t>
        </is>
      </c>
    </row>
    <row r="108"/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5"/>
    <row r="126">
      <c r="B126" s="115" t="inlineStr">
        <is>
          <t>Items flagged "NO" or "#VALUE!" need preparer review before plan can be finalized.</t>
        </is>
      </c>
    </row>
    <row r="127"/>
    <row r="128"/>
    <row r="129">
      <c r="B129" s="113" t="inlineStr">
        <is>
          <t>Assumptions applied to this plan:</t>
        </is>
      </c>
    </row>
    <row r="130"/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1"/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4"/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6"/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19"/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1"/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4"/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Y2023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Y2024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3"/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4"/>
    <row r="35"/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7"/>
    <row r="48"/>
    <row r="49">
      <c r="I49" s="9" t="inlineStr">
        <is>
          <t>1z</t>
        </is>
      </c>
      <c r="L49" s="8">
        <f>HYPERLINK("#Master_Inputs!A1", "✏ open Master_Inputs to edit")</f>
        <v/>
      </c>
    </row>
    <row r="50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/>
    <row r="53"/>
    <row r="54"/>
    <row r="55"/>
    <row r="56"/>
    <row r="57"/>
    <row r="58"/>
    <row r="59"/>
    <row r="60"/>
    <row r="61"/>
    <row r="62"/>
    <row r="63"/>
    <row r="64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7"/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Y2025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Y2026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Y2027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MAX(0,J41)*0.5</f>
        <v/>
      </c>
      <c r="K119" s="100">
        <f>MAX(0,K41)*0.5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Y2028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A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A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A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A1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1"/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4"/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7"/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2"/>
    <row r="283"/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4"/>
    <row r="575"/>
    <row r="576">
      <c r="B576" s="13" t="inlineStr">
        <is>
          <t>tblTreatmentProfileMap — Treatment Profile → Tax Classification Mapping</t>
        </is>
      </c>
    </row>
    <row r="577"/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3"/>
    <row r="614"/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7"/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2"/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3"/>
    <row r="4">
      <c r="A4" t="inlineStr">
        <is>
          <t>SECTION A — THE WEALTH ARCHITECTURE PRINCIPLE</t>
        </is>
      </c>
    </row>
    <row r="5"/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8"/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1"/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4"/>
    <row r="15"/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8"/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5"/>
    <row r="26"/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6"/>
    <row r="37"/>
    <row r="38">
      <c r="A38" t="inlineStr">
        <is>
          <t>SECTION D — PRINCIPLES &amp; GUARDRAILS (Canon §9)</t>
        </is>
      </c>
    </row>
    <row r="39"/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3"/>
    <row r="54"/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8"/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69"/>
    <row r="70"/>
    <row r="71"/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5"/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1"/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4"/>
    <row r="5">
      <c r="B5" s="171" t="inlineStr">
        <is>
          <t>▸ SECTION A — STRATEGY CATALOG (aligned with year-sheet STR-IDs)</t>
        </is>
      </c>
    </row>
    <row r="6"/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7"/>
    <row r="28"/>
    <row r="29">
      <c r="B29" s="171" t="inlineStr">
        <is>
          <t>▸ SECTION B — BUCKET LEGEND</t>
        </is>
      </c>
    </row>
    <row r="30"/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4"/>
    <row r="35"/>
    <row r="36">
      <c r="B36" s="171" t="inlineStr">
        <is>
          <t>▸ SECTION C — SIGN CONVENTION</t>
        </is>
      </c>
    </row>
    <row r="37"/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1"/>
    <row r="42"/>
    <row r="43">
      <c r="B43" s="171" t="inlineStr">
        <is>
          <t>▸ SECTION D — STRATEGY BUILDER (live tool — pick + size a strategy)</t>
        </is>
      </c>
    </row>
    <row r="44"/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6"/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4"/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6"/>
    <row r="57"/>
    <row r="58">
      <c r="B58" s="187" t="inlineStr">
        <is>
          <t>▸ SECTION E — RECONCILIATION ITEMS (5 of 6 RESOLVED in v15)</t>
        </is>
      </c>
    </row>
    <row r="59"/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3"/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38"/>
    <row r="39"/>
    <row r="40">
      <c r="A40" t="inlineStr">
        <is>
          <t>SECTION B — YEAR-BY-YEAR REFERENCE DATA</t>
        </is>
      </c>
    </row>
    <row r="41"/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1"/>
    <row r="52"/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6"/>
    <row r="67"/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3"/>
    <row r="74"/>
    <row r="75"/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8"/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0"/>
    <row r="131"/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5"/>
    <row r="136">
      <c r="A136" t="inlineStr">
        <is>
          <t>1. PASSIVE ACTIVITY LOSS LIMITATIONS (IRC §469)</t>
        </is>
      </c>
    </row>
    <row r="137"/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3"/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0"/>
    <row r="151">
      <c r="A151" t="inlineStr">
        <is>
          <t>2. CAPITAL LOSS LIMITATIONS (IRC §1211)</t>
        </is>
      </c>
    </row>
    <row r="152"/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8"/>
    <row r="159">
      <c r="A159" t="inlineStr">
        <is>
          <t>3. NET OPERATING LOSS (NOL) CARRYFORWARDS (IRC §172)</t>
        </is>
      </c>
    </row>
    <row r="160"/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6"/>
    <row r="167">
      <c r="A167" t="inlineStr">
        <is>
          <t>4. PASSIVE LOSS TRACKING WORKSHEET</t>
        </is>
      </c>
    </row>
    <row r="168"/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2"/>
    <row r="173">
      <c r="A173" t="inlineStr">
        <is>
          <t>TOTALS:</t>
        </is>
      </c>
      <c r="D173" t="n">
        <v>-23000</v>
      </c>
      <c r="E173" t="n">
        <v>-25000</v>
      </c>
    </row>
    <row r="174"/>
    <row r="175">
      <c r="A175" t="inlineStr">
        <is>
          <t>5. CAPITAL LOSS TRACKING WORKSHEET</t>
        </is>
      </c>
    </row>
    <row r="176"/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0"/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4"/>
    <row r="185">
      <c r="A185" t="inlineStr">
        <is>
          <t>6. NET OPERATING LOSS (NOL) TRACKING</t>
        </is>
      </c>
    </row>
    <row r="186"/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3"/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0"/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4"/>
    <row r="15">
      <c r="A15" t="inlineStr">
        <is>
          <t>Note: Enter values manually. Wire to year sheet helpers/tax calc inputs as needed.</t>
        </is>
      </c>
    </row>
    <row r="16"/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19"/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2"/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1"/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2"/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4"/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8"/>
    <row r="69">
      <c r="A69" t="inlineStr">
        <is>
          <t>4. LIMITATION RULES REFERENCE</t>
        </is>
      </c>
    </row>
    <row r="70"/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1"/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4"/>
    <row r="5">
      <c r="B5" s="161" t="inlineStr">
        <is>
          <t>▸ SECTION A — PROPERTY MASTER LIST</t>
        </is>
      </c>
    </row>
    <row r="6"/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1"/>
    <row r="32"/>
    <row r="33">
      <c r="B33" s="161" t="inlineStr">
        <is>
          <t>▸ SECTION B — REPS MATERIAL PARTICIPATION (per Reg §1.469-5T)</t>
        </is>
      </c>
    </row>
    <row r="34"/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0"/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1"/>
    <row r="62"/>
    <row r="63">
      <c r="B63" s="161" t="inlineStr">
        <is>
          <t>▸ SECTION C — §1.469-4 GROUPING ELECTION TRACKER</t>
        </is>
      </c>
    </row>
    <row r="64"/>
    <row r="65">
      <c r="B65" s="168" t="inlineStr">
        <is>
          <t>If election made: attach written statement to first return where grouping is reflected. Cannot revoke without IRS consent.</t>
        </is>
      </c>
    </row>
    <row r="66"/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0"/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3"/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8"/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7"/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2"/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7"/>
    <row r="68"/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3"/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9"/>
    <row r="10"/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8"/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29"/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3"/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5"/>
    <row r="6"/>
    <row r="7"/>
    <row r="8"/>
    <row r="9"/>
    <row r="10"/>
    <row r="11"/>
    <row r="12">
      <c r="A12" t="inlineStr">
        <is>
          <t>HOW TO USE THIS SHEET</t>
        </is>
      </c>
    </row>
    <row r="13"/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19"/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3"/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0"/>
    <row r="21"/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3"/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8"/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8"/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3"/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2"/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7"/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1"/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58"/>
    <row r="59"/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3"/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4"/>
    <row r="85"/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89"/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4"/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8"/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1"/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5"/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09"/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3"/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5"/>
    <row r="116"/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0"/>
    <row r="121">
      <c r="A121" t="inlineStr">
        <is>
          <t>Copy this code into VBA Editor (Alt+F11)</t>
        </is>
      </c>
    </row>
    <row r="122"/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7"/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0"/>
    <row r="131"/>
    <row r="132">
      <c r="A132" t="inlineStr">
        <is>
          <t>SECTION 1: ThisWorkbook MODULE</t>
        </is>
      </c>
    </row>
    <row r="133"/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6"/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7"/>
    <row r="148"/>
    <row r="149">
      <c r="A149" t="inlineStr">
        <is>
          <t>SECTION 2: Master_Inputs SHEET MODULE</t>
        </is>
      </c>
    </row>
    <row r="150"/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3"/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7"/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4"/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2"/>
    <row r="173">
      <c r="A173" t="inlineStr">
        <is>
          <t xml:space="preserve">    If Target.Row &lt; 4 Or Target.Cells.Count &gt; 1 Then Exit Sub</t>
        </is>
      </c>
    </row>
    <row r="174"/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8"/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5"/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2"/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7"/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0"/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5"/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4"/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18"/>
    <row r="219"/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2"/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5"/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2"/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39"/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4"/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48"/>
    <row r="249"/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2"/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0"/>
    <row r="261"/>
    <row r="262">
      <c r="A262" s="171" t="inlineStr">
        <is>
          <t>▸ LAMBDA bodies (for reference/audit)</t>
        </is>
      </c>
    </row>
    <row r="263"/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5"/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7"/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69"/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1"/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3"/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5"/>
    <row r="276"/>
    <row r="277">
      <c r="A277" s="202" t="inlineStr">
        <is>
          <t>▸ fn_StrategyMarginal v2 — CAVEATS</t>
        </is>
      </c>
    </row>
    <row r="278"/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2026-05-19T17:49:38Z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
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5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Rate_FICA_Combined">0.153</definedName>
    <definedName name="Rate_NIIT">0.038</definedName>
    <definedName name="Rate_SE_Deduction">0.9235</definedName>
    <definedName name="Rate_SE_SS">0.124</definedName>
    <definedName name="Rate_SE_Medicare">0.029</definedName>
    <definedName name="Rate_QBI_W2_50pct">0.5</definedName>
    <definedName name="TAX_ORD">_xlfn.LAMBDA(_xlpm.ti,_xlpm.yr,_xlpm.fs,_xlfn.LET(_xlpm.r,MATCH(1,(tblBrackets_FIT[Year]=_xlpm.yr)*(tblBrackets_FIT[FilingStatus]=_xlpm.fs)*(tblBrackets_FIT[Lower]&lt;=_xlpm.ti)*(tblBrackets_FIT[Upper]&gt;_xlpm.ti),0),MAX(0,(_xlpm.ti-INDEX(tblBrackets_FIT[Lower],_xlpm.r))*INDEX(tblBrackets_FIT[Rate],_xlpm.r)+INDEX(tblBrackets_FIT[Add_To],_xlpm.r))))</definedName>
    <definedName name="TAX_CG">_xlfn.LAMBDA(_xlpm.cg,_xlpm.ti,_xlpm.yr,_xlpm.fs,_xlfn.LET(_xlpm.r,MATCH(1,(tblBrackets_LTCG[Year]=_xlpm.yr)*(tblBrackets_LTCG[FilingStatus]=_xlpm.fs)*(tblBrackets_LTCG[Lower]&lt;=_xlpm.ti)*(tblBrackets_LTCG[Upper]&gt;_xlpm.ti),0),_xlpm.cg*INDEX(tblBrackets_LTCG[Rate],_xlpm.r)))</definedName>
    <definedName name="TAX_NIIT">_xlfn.LAMBDA(_xlpm.nii,_xlpm.magi,_xlpm.fs,_xlpm.yr,_xlfn.LET(_xlpm.th,INDEX(tblThresholds[Value],MATCH(1,(tblThresholds[Item]="NIIT_Threshold")*(tblThresholds[Year]=_xlpm.yr)*(tblThresholds[FilingStatus]=_xlpm.fs),0)),MAX(0,MIN(_xlpm.nii,_xlpm.magi-_xlpm.th))*Rate_NIIT))</definedName>
    <definedName name="TAX_SE">_xlfn.LAMBDA(_xlpm.se,_xlpm.yr,_xlfn.LET(_xlpm.b,_xlpm.se*Rate_SE_Deduction,_xlpm.c,INDEX(tblThresholds[Value],MATCH(1,(tblThresholds[Item]="SS_Wage_Base")*(tblThresholds[Year]=_xlpm.yr),0)),MIN(_xlpm.b,_xlpm.c)*Rate_SE_SS+_xlpm.b*Rate_SE_Medicare))</definedName>
    <definedName name="STD_DED">_xlfn.LAMBDA(_xlpm.yr,_xlpm.fs,INDEX(tblStdDed[Amount],MATCH(1,(tblStdDed[Year]=_xlpm.yr)*(tblStdDed[FilingStatus]=_xlpm.fs),0)))</definedName>
    <definedName name="TAX_STATE">_xlfn.LAMBDA(_xlpm.ti,_xlpm.st,_xlpm.ti*_xlfn.XLOOKUP(_xlpm.st,tblStateRates[State],tblStateRates[Top_Marginal_Rate],0))</definedName>
    <definedName name="fn_StrategyMarginal">_xlfn.LAMBDA(_xlpm.tl,_xlpm.amt,_xlpm.cl,_xlpm.yr,_xlpm.fs,_xlpm.ti,_xlfn.LET(_xlpm.pd,-_xlpm.amt,_xlpm.pf,IF(OR(_xlpm.tl="—",_xlpm.tl=""),0,IF(_xlpm.tl="20",_xlpm.pd,IF(_xlpm.tl="7",TAX_CG(_xlpm.pd,_xlpm.ti+_xlpm.pd,_xlpm.yr,_xlpm.fs),TAX_ORD(_xlpm.ti+_xlpm.pd,_xlpm.yr,_xlpm.fs)-TAX_ORD(_xlpm.ti,_xlpm.yr,_xlpm.fs)))),_xlpm.pfica,IF(_xlpm.tl="1z",_xlpm.pd*Rate_FICA_Combined,0),_xlpm.hc,AND(_xlpm.cl&lt;&gt;"",_xlpm.cl&lt;&gt;0),_xlpm.cd,IF(_xlpm.hc,_xlpm.amt,0),_xlpm.cf,IF(NOT(_xlpm.hc),0,IF(_xlpm.cl="20",_xlpm.cd,IF(_xlpm.cl="7",TAX_CG(_xlpm.cd,_xlpm.ti+_xlpm.cd,_xlpm.yr,_xlpm.fs),TAX_ORD(_xlpm.ti+_xlpm.cd,_xlpm.yr,_xlpm.fs)-TAX_ORD(_xlpm.ti,_xlpm.yr,_xlpm.fs)))),_xlpm.cfica,IF(AND(_xlpm.hc,_xlpm.cl="1z"),_xlpm.cd*Rate_FICA_Combined,0),_xlpm.pf+_xlpm.pfica+_xlpm.cf+_xlpm.cfica))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1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</fonts>
  <fills count="2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0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V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RECONCILIATION ITEMS (5 of 6 RESOLVED in v15)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2026-05-19T17:51:48Z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
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Glossary" sheetId="25" state="visible" r:id="rId25"/>
    <sheet name="Carryovers" sheetId="26" state="visible" r:id="rId26"/>
    <sheet name="Questionnaire" sheetId="27" state="visible" r:id="rId27"/>
    <sheet name="Connections" sheetId="28" state="visible" r:id="rId28"/>
    <sheet name="Projection_History" sheetId="29" state="visible" r:id="rId29"/>
    <sheet name="Change_Log" sheetId="30" state="visible" r:id="rId30"/>
    <sheet name="Setup_Guide" sheetId="31" state="visible" r:id="rId31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</definedNames>
  <calcPr calcId="191029" fullCalcOnLoad="1" iterate="1"/>
  <pivotCaches>
    <pivotCache cacheId="10" r:id="rId32"/>
  </pivotCaches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</numFmts>
  <fonts count="65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</fonts>
  <fills count="21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9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pivotCacheDefinition" Target="/xl/pivotCache/pivotCacheDefinition1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1040 Line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Tax_Plan_Dashboard!$I$8:$I$12</f>
              <numCache>
                <formatCode>#,##0</formatCode>
                <ptCount val="5"/>
                <pt idx="0">
                  <v>100000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200000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Tax_Plan_Dashboard!$J$8:$J$12</f>
              <numCache>
                <formatCode>#,##0</formatCode>
                <ptCount val="5"/>
                <pt idx="0">
                  <v>75000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145000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Tax_Plan_Dashboard!$K$8:$K$12</f>
              <numCache>
                <formatCode>#,##0</formatCode>
                <ptCount val="5"/>
                <pt idx="0">
                  <v>-25000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-55000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90687"/>
        <axId val="710677727"/>
      </barChart>
      <catAx>
        <axId val="710690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77727"/>
        <crosses val="autoZero"/>
        <auto val="1"/>
        <lblAlgn val="ctr"/>
        <lblOffset val="100"/>
        <noMultiLvlLbl val="0"/>
      </catAx>
      <valAx>
        <axId val="71067772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90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Income by Treatment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Tax_Plan_Dashboard!$I$17:$I$19</f>
              <numCache>
                <formatCode>#,##0</formatCode>
                <ptCount val="3"/>
                <pt idx="0">
                  <v>200000</v>
                </pt>
                <pt idx="1">
                  <v>0</v>
                </pt>
                <pt idx="2">
                  <formatCode>General</formatCode>
                  <v>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Tax_Plan_Dashboard!$J$17:$J$19</f>
              <numCache>
                <formatCode>#,##0</formatCode>
                <ptCount val="3"/>
                <pt idx="0">
                  <v>225000</v>
                </pt>
                <pt idx="1">
                  <v>0</v>
                </pt>
                <pt idx="2">
                  <formatCode>General</formatCode>
                  <v>-80000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Tax_Plan_Dashboard!$K$17:$K$19</f>
              <numCache>
                <formatCode>#,##0</formatCode>
                <ptCount val="3"/>
                <pt idx="0">
                  <v>25000</v>
                </pt>
                <pt idx="1">
                  <v>0</v>
                </pt>
                <pt idx="2">
                  <v>-80000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78687"/>
        <axId val="710680607"/>
      </barChart>
      <catAx>
        <axId val="710678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80607"/>
        <crosses val="autoZero"/>
        <auto val="1"/>
        <lblAlgn val="ctr"/>
        <lblOffset val="100"/>
        <noMultiLvlLbl val="0"/>
      </catAx>
      <valAx>
        <axId val="71068060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78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19</row>
      <rowOff>139700</rowOff>
    </from>
    <to>
      <col>2</col>
      <colOff>1520825</colOff>
      <row>35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123825</colOff>
      <row>19</row>
      <rowOff>139700</rowOff>
    </from>
    <to>
      <col>5</col>
      <colOff>2159000</colOff>
      <row>35</row>
      <rowOff>38100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A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4"/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1"/>
    <row r="42">
      <c r="B42" s="67" t="inlineStr">
        <is>
          <t>▸ NAVIGATION</t>
        </is>
      </c>
    </row>
    <row r="43"/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8"/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6"/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1"/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7"/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3"/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84"/>
    <row r="85"/>
    <row r="86"/>
    <row r="87"/>
    <row r="88"/>
    <row r="89"/>
    <row r="90"/>
    <row r="91"/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K49"/>
  <sheetViews>
    <sheetView showGridLines="0" workbookViewId="0">
      <selection activeCell="I17" sqref="I17"/>
    </sheetView>
  </sheetViews>
  <sheetFormatPr baseColWidth="8" defaultRowHeight="14.5"/>
  <cols>
    <col width="3.6328125" customWidth="1" style="99" min="1" max="1"/>
    <col width="36.36328125" customWidth="1" style="99" min="2" max="2"/>
    <col width="21.81640625" customWidth="1" style="99" min="3" max="3"/>
    <col width="15.453125" customWidth="1" style="99" min="4" max="4"/>
    <col width="13.6328125" customWidth="1" style="99" min="5" max="5"/>
    <col width="30.90625" customWidth="1" style="99" min="6" max="6"/>
    <col width="5.453125" customWidth="1" style="99" min="7" max="7"/>
    <col width="20" customWidth="1" style="99" min="8" max="8"/>
    <col width="16.36328125" customWidth="1" style="99" min="9" max="9"/>
  </cols>
  <sheetData>
    <row r="2" ht="21" customHeight="1" s="99">
      <c r="B2" s="27" t="inlineStr">
        <is>
          <t>TAX PLAN DASHBOARD</t>
        </is>
      </c>
    </row>
    <row r="3">
      <c r="B3" s="16" t="inlineStr">
        <is>
          <t>Select year below. KPIs pull baseline from visual pivots via GETPIVOTDATA.</t>
        </is>
      </c>
    </row>
    <row r="4" ht="15.5" customHeight="1" s="99">
      <c r="B4" s="17" t="inlineStr">
        <is>
          <t>Dashboard Year:</t>
        </is>
      </c>
      <c r="C4" s="46" t="n">
        <v>2025</v>
      </c>
    </row>
    <row r="5" ht="15" customHeight="1" s="99" thickBot="1">
      <c r="B5" s="18" t="inlineStr">
        <is>
          <t>HEADLINE METRICS</t>
        </is>
      </c>
      <c r="C5" s="48" t="inlineStr">
        <is>
          <t>Baseline</t>
        </is>
      </c>
      <c r="D5" s="48" t="inlineStr">
        <is>
          <t>Eff w/ Strat</t>
        </is>
      </c>
      <c r="E5" s="80" t="inlineStr">
        <is>
          <t>Δ Savings</t>
        </is>
      </c>
      <c r="F5" s="80" t="n"/>
      <c r="H5" s="32" t="inlineStr">
        <is>
          <t>CHART DATA — Income by 1040 Line</t>
        </is>
      </c>
    </row>
    <row r="6" ht="15.5" customHeight="1" s="99">
      <c r="B6" s="30" t="inlineStr">
        <is>
          <t>Total Income</t>
        </is>
      </c>
      <c r="C6" s="31">
        <f t="array" ref="C6">IFERROR(INDIRECT("Y"&amp;$C$4&amp;"!K13"),0)</f>
        <v/>
      </c>
      <c r="D6" s="100">
        <f t="array" ref="D6">IFERROR(INDIRECT("Y"&amp;$C$4&amp;"!P13"),0)</f>
        <v/>
      </c>
      <c r="E6" s="91">
        <f>C6-D6</f>
        <v/>
      </c>
      <c r="F6" s="91" t="n"/>
      <c r="H6" s="25" t="inlineStr">
        <is>
          <t>1040 Line</t>
        </is>
      </c>
      <c r="I6" s="25" t="inlineStr">
        <is>
          <t>Baseline</t>
        </is>
      </c>
      <c r="J6" s="32" t="inlineStr">
        <is>
          <t>Effective</t>
        </is>
      </c>
      <c r="K6" s="32" t="inlineStr">
        <is>
          <t>Strategy Δ</t>
        </is>
      </c>
    </row>
    <row r="7" ht="15.5" customHeight="1" s="99">
      <c r="B7" t="inlineStr">
        <is>
          <t>Wages (Line 1z)</t>
        </is>
      </c>
      <c r="C7" s="28">
        <f t="array" ref="C7">IFERROR(INDIRECT("Y"&amp;$C$4&amp;"!K6"),0)</f>
        <v/>
      </c>
      <c r="D7" s="100">
        <f t="array" ref="D7">IFERROR(INDIRECT("Y"&amp;$C$4&amp;"!P6"),0)</f>
        <v/>
      </c>
      <c r="E7" s="91">
        <f>C7-D7</f>
        <v/>
      </c>
      <c r="F7" s="91" t="n"/>
      <c r="H7" t="inlineStr">
        <is>
          <t>1040 Line</t>
        </is>
      </c>
      <c r="I7" s="100" t="inlineStr">
        <is>
          <t>Baseline</t>
        </is>
      </c>
      <c r="J7" s="32" t="inlineStr">
        <is>
          <t>Effective</t>
        </is>
      </c>
      <c r="K7" s="32" t="inlineStr">
        <is>
          <t>Strategy Δ</t>
        </is>
      </c>
    </row>
    <row r="8" ht="15.5" customHeight="1" s="99">
      <c r="B8" t="inlineStr">
        <is>
          <t>Business Income (Line 8)</t>
        </is>
      </c>
      <c r="C8" s="28">
        <f t="array" ref="C8">IFERROR(INDIRECT("Y"&amp;$C$4&amp;"!K12"),0)</f>
        <v/>
      </c>
      <c r="D8" s="100">
        <f t="array" ref="D8">IFERROR(INDIRECT("Y"&amp;$C$4&amp;"!P12"),0)</f>
        <v/>
      </c>
      <c r="E8" s="91">
        <f>C8-D8</f>
        <v/>
      </c>
      <c r="F8" s="91" t="n"/>
      <c r="H8" t="inlineStr">
        <is>
          <t>1z Wages</t>
        </is>
      </c>
      <c r="I8" s="100">
        <f>IFERROR(INDEX(Pivot_Summary!$C5:$H5,MATCH(TEXT($C$4,"0"),Pivot_Summary!$C$4:$H$4,0)),0)</f>
        <v/>
      </c>
      <c r="J8" s="100">
        <f>IFERROR(INDEX(Pivot_Summary!$O5:$T5,MATCH($C$4,Pivot_Summary!$O$4:$T$4,0)),0)</f>
        <v/>
      </c>
      <c r="K8" s="100">
        <f>IFERROR(INDEX(Pivot_Summary!$I5:$N5,MATCH($C$4,Pivot_Summary!$I$4:$N$4,0)),0)</f>
        <v/>
      </c>
    </row>
    <row r="9" ht="15.5" customHeight="1" s="99">
      <c r="B9" t="inlineStr">
        <is>
          <t>Capital Gains (Line 7)</t>
        </is>
      </c>
      <c r="C9" s="28">
        <f t="array" ref="C9">IFERROR(INDIRECT("Y"&amp;$C$4&amp;"!K11"),0)</f>
        <v/>
      </c>
      <c r="D9" s="100">
        <f t="array" ref="D9">IFERROR(INDIRECT("Y"&amp;$C$4&amp;"!P11"),0)</f>
        <v/>
      </c>
      <c r="E9" s="91">
        <f>C9-D9</f>
        <v/>
      </c>
      <c r="F9" s="91" t="n"/>
      <c r="H9" t="inlineStr">
        <is>
          <t>2b Tax Interest</t>
        </is>
      </c>
      <c r="I9" s="100">
        <f>IFERROR(INDEX(Pivot_Summary!$C6:$H6,MATCH(TEXT($C$4,"0"),Pivot_Summary!$C$4:$H$4,0)),0)</f>
        <v/>
      </c>
      <c r="J9" s="100">
        <f>IFERROR(INDEX(Pivot_Summary!$O6:$T6,MATCH($C$4,Pivot_Summary!$O$4:$T$4,0)),0)</f>
        <v/>
      </c>
      <c r="K9" s="100">
        <f>IFERROR(INDEX(Pivot_Summary!$I6:$N6,MATCH($C$4,Pivot_Summary!$I$4:$N$4,0)),0)</f>
        <v/>
      </c>
    </row>
    <row r="10" ht="15.5" customHeight="1" s="99">
      <c r="B10" t="inlineStr">
        <is>
          <t>Investment Income (3b)</t>
        </is>
      </c>
      <c r="C10" s="28">
        <f t="array" ref="C10">IFERROR(INDIRECT("Y"&amp;$C$4&amp;"!K10"),0)</f>
        <v/>
      </c>
      <c r="D10" s="100">
        <f t="array" ref="D10">IFERROR(INDIRECT("Y"&amp;$C$4&amp;"!P10"),0)</f>
        <v/>
      </c>
      <c r="E10" s="91">
        <f>C10-D10</f>
        <v/>
      </c>
      <c r="F10" s="91" t="n"/>
      <c r="H10" t="inlineStr">
        <is>
          <t>3b Dividends</t>
        </is>
      </c>
      <c r="I10" s="100">
        <f>IFERROR(INDEX(Pivot_Summary!$C7:$H7,MATCH(TEXT($C$4,"0"),Pivot_Summary!$C$4:$H$4,0)),0)</f>
        <v/>
      </c>
      <c r="J10" s="100">
        <f>IFERROR(INDEX(Pivot_Summary!$O7:$T7,MATCH($C$4,Pivot_Summary!$O$4:$T$4,0)),0)</f>
        <v/>
      </c>
      <c r="K10" s="100">
        <f>IFERROR(INDEX(Pivot_Summary!$I7:$N7,MATCH($C$4,Pivot_Summary!$I$4:$N$4,0)),0)</f>
        <v/>
      </c>
    </row>
    <row r="11" ht="15.5" customHeight="1" s="99">
      <c r="B11" t="inlineStr">
        <is>
          <t>Std/Itemized Ded (Line 12)</t>
        </is>
      </c>
      <c r="C11" s="28">
        <f t="array" ref="C11">IFERROR(INDIRECT("Y"&amp;$C$4&amp;"!K16"),0)</f>
        <v/>
      </c>
      <c r="D11" s="100">
        <f t="array" ref="D11">IFERROR(INDIRECT("Y"&amp;$C$4&amp;"!P16"),0)</f>
        <v/>
      </c>
      <c r="E11" s="91">
        <f>C11-D11</f>
        <v/>
      </c>
      <c r="F11" s="91" t="n"/>
      <c r="H11" t="inlineStr">
        <is>
          <t>7 Cap Gains</t>
        </is>
      </c>
      <c r="I11" s="100">
        <f>IFERROR(INDEX(Pivot_Summary!$C8:$H8,MATCH(TEXT($C$4,"0"),Pivot_Summary!$C$4:$H$4,0)),0)</f>
        <v/>
      </c>
      <c r="J11" s="100">
        <f>IFERROR(INDEX(Pivot_Summary!$O8:$T8,MATCH($C$4,Pivot_Summary!$O$4:$T$4,0)),0)</f>
        <v/>
      </c>
      <c r="K11" s="100">
        <f>IFERROR(INDEX(Pivot_Summary!$I8:$N8,MATCH($C$4,Pivot_Summary!$I$4:$N$4,0)),0)</f>
        <v/>
      </c>
    </row>
    <row r="12" ht="15.5" customHeight="1" s="99">
      <c r="B12" t="inlineStr">
        <is>
          <t>Qualified Dividends</t>
        </is>
      </c>
      <c r="C12" s="28">
        <f t="array" ref="C12">IFERROR(INDIRECT("Y"&amp;$C$4&amp;"!J30"),0)</f>
        <v/>
      </c>
      <c r="D12" s="100">
        <f t="array" ref="D12">IFERROR(INDIRECT("Y"&amp;$C$4&amp;"!K30"),0)</f>
        <v/>
      </c>
      <c r="E12" s="91">
        <f>C12-D12</f>
        <v/>
      </c>
      <c r="F12" s="91" t="n"/>
      <c r="H12" t="inlineStr">
        <is>
          <t>8 Business</t>
        </is>
      </c>
      <c r="I12" s="100">
        <f>IFERROR(INDEX(Pivot_Summary!$C9:$H9,MATCH(TEXT($C$4,"0"),Pivot_Summary!$C$4:$H$4,0)),0)</f>
        <v/>
      </c>
      <c r="J12" s="100">
        <f>IFERROR(INDEX(Pivot_Summary!$O9:$T9,MATCH($C$4,Pivot_Summary!$O$4:$T$4,0)),0)</f>
        <v/>
      </c>
      <c r="K12" s="100">
        <f>IFERROR(INDEX(Pivot_Summary!$I9:$N9,MATCH($C$4,Pivot_Summary!$I$4:$N$4,0)),0)</f>
        <v/>
      </c>
    </row>
    <row r="13" ht="15.5" customHeight="1" s="99">
      <c r="B13" t="inlineStr">
        <is>
          <t>Owner W-2 Wages</t>
        </is>
      </c>
      <c r="C13" s="28">
        <f t="array" ref="C13">IFERROR(INDIRECT("Y"&amp;$C$4&amp;"!J23"),0)</f>
        <v/>
      </c>
      <c r="D13" s="100">
        <f t="array" ref="D13">IFERROR(INDIRECT("Y"&amp;$C$4&amp;"!K23"),0)</f>
        <v/>
      </c>
      <c r="E13" s="91">
        <f>C13-D13</f>
        <v/>
      </c>
      <c r="F13" s="91" t="n"/>
    </row>
    <row r="14">
      <c r="H14" s="32" t="inlineStr">
        <is>
          <t>CHART DATA — Business by Treatment</t>
        </is>
      </c>
    </row>
    <row r="15" ht="15" customHeight="1" s="99" thickBot="1">
      <c r="B15" s="18" t="inlineStr">
        <is>
          <t>BUSINESS INCOME BREAKDOWN</t>
        </is>
      </c>
      <c r="C15" s="18" t="n"/>
      <c r="D15" s="18" t="inlineStr">
        <is>
          <t>Strategy Δ</t>
        </is>
      </c>
      <c r="E15" s="17" t="inlineStr">
        <is>
          <t>Effective</t>
        </is>
      </c>
      <c r="H15" s="25" t="inlineStr">
        <is>
          <t>Treatment</t>
        </is>
      </c>
      <c r="I15" s="25" t="inlineStr">
        <is>
          <t>Baseline</t>
        </is>
      </c>
      <c r="J15" s="32" t="inlineStr">
        <is>
          <t>Effective</t>
        </is>
      </c>
      <c r="K15" s="32" t="inlineStr">
        <is>
          <t>Strategy Δ</t>
        </is>
      </c>
    </row>
    <row r="16" ht="15.5" customHeight="1" s="99">
      <c r="B16" t="inlineStr">
        <is>
          <t>S-Corp K-1 Active</t>
        </is>
      </c>
      <c r="C16" s="28">
        <f>IFERROR(GETPIVOTDATA("Baseline_Amount",Visual_Pivot_BusinessIncome!$B$5,"Treatment_Profile","K1_SCorp_Active","Year",$C$4),0)</f>
        <v/>
      </c>
      <c r="D16" s="100">
        <f>IFERROR(SUMIFS(tblMaster_Inputs[Baseline_Amount],tblMaster_Inputs[Treatment_Profile],"K1_SCorp_Active",tblMaster_Inputs[Year],$C$4,tblMaster_Inputs[Activity_Type],"Strategy")+SUMIFS(tblMaster_Inputs[Baseline_Amount],tblMaster_Inputs[Treatment_Profile],"K1_SCorp_Passive",tblMaster_Inputs[Year],$C$4,tblMaster_Inputs[Activity_Type],"Strategy"),0)</f>
        <v/>
      </c>
      <c r="E16" s="100">
        <f>C16+D16</f>
        <v/>
      </c>
      <c r="H16" t="inlineStr">
        <is>
          <t>Treatment</t>
        </is>
      </c>
      <c r="I16" s="100" t="inlineStr">
        <is>
          <t>Baseline</t>
        </is>
      </c>
      <c r="J16" s="32" t="inlineStr">
        <is>
          <t>Effective</t>
        </is>
      </c>
      <c r="K16" s="32" t="inlineStr">
        <is>
          <t>Strategy Δ</t>
        </is>
      </c>
    </row>
    <row r="17" ht="15.5" customHeight="1" s="99">
      <c r="B17" t="inlineStr">
        <is>
          <t>PTP K-1 Passive</t>
        </is>
      </c>
      <c r="C17" s="28">
        <f>IFERROR(GETPIVOTDATA("Baseline_Amount",Visual_Pivot_BusinessIncome!$B$5,"Treatment_Profile","K1_PTP_Passive","Year",$C$4),0)</f>
        <v/>
      </c>
      <c r="D17" s="100">
        <f>IFERROR(SUMIFS(tblMaster_Inputs[Baseline_Amount],tblMaster_Inputs[Treatment_Profile],"K1_PTP_Passive",tblMaster_Inputs[Year],$C$4,tblMaster_Inputs[Activity_Type],"Strategy")+SUMIFS(tblMaster_Inputs[Baseline_Amount],tblMaster_Inputs[Treatment_Profile],"K1_PTP_Active",tblMaster_Inputs[Year],$C$4,tblMaster_Inputs[Activity_Type],"Strategy"),0)</f>
        <v/>
      </c>
      <c r="E17" s="100">
        <f>C17+D17</f>
        <v/>
      </c>
      <c r="H17" t="inlineStr">
        <is>
          <t>K1_SCorp_Active</t>
        </is>
      </c>
      <c r="I17" s="100">
        <f>IFERROR(INDEX(Pivot_Medium!$C12:$H12,MATCH(TEXT($C$4,"0"),Pivot_Medium!$C$4:$H$4,0)),0)</f>
        <v/>
      </c>
      <c r="J17" s="100">
        <f>IFERROR(INDEX(Pivot_Medium!$O12:$T12,MATCH($C$4,Pivot_Medium!$O$4:$T$4,0)),0)</f>
        <v/>
      </c>
      <c r="K17" s="100">
        <f>IFERROR(INDEX(Pivot_Medium!$I12:$N12,MATCH($C$4,Pivot_Medium!$I$4:$N$4,0)),0)</f>
        <v/>
      </c>
    </row>
    <row r="18" ht="15.5" customHeight="1" s="99">
      <c r="B18" t="inlineStr">
        <is>
          <t>Schedule E Rental</t>
        </is>
      </c>
      <c r="C18" s="28">
        <f>IFERROR(GETPIVOTDATA("Baseline_Amount",Visual_Pivot_BusinessIncome!$B$5,"Treatment_Profile","SchE_Rental","Year",$C$4),0)</f>
        <v/>
      </c>
      <c r="D18" s="100">
        <f>IFERROR(SUMIFS(tblMaster_Inputs[Baseline_Amount],tblMaster_Inputs[Treatment_Profile],"SchE_Rental",tblMaster_Inputs[Year],$C$4,tblMaster_Inputs[Activity_Type],"Strategy")+SUMIFS(tblMaster_Inputs[Baseline_Amount],tblMaster_Inputs[Treatment_Profile],"SchE_REPro",tblMaster_Inputs[Year],$C$4,tblMaster_Inputs[Activity_Type],"Strategy"),0)</f>
        <v/>
      </c>
      <c r="E18" s="100">
        <f>C18+D18</f>
        <v/>
      </c>
      <c r="H18" t="inlineStr">
        <is>
          <t>K1_PTP_Passive</t>
        </is>
      </c>
      <c r="I18" s="100">
        <f>IFERROR(INDEX(Pivot_Medium!$C11:$H11,MATCH(TEXT($C$4,"0"),Pivot_Medium!$C$4:$H$4,0)),0)</f>
        <v/>
      </c>
      <c r="J18" s="100">
        <f>IFERROR(INDEX(Pivot_Medium!$O11:$T11,MATCH($C$4,Pivot_Medium!$O$4:$T$4,0)),0)</f>
        <v/>
      </c>
      <c r="K18" s="100">
        <f>IFERROR(INDEX(Pivot_Medium!$I11:$N11,MATCH($C$4,Pivot_Medium!$I$4:$N$4,0)),0)</f>
        <v/>
      </c>
    </row>
    <row r="19" ht="15.5" customHeight="1" s="99">
      <c r="B19" s="30" t="inlineStr">
        <is>
          <t>Total Business Income</t>
        </is>
      </c>
      <c r="C19" s="31">
        <f>IFERROR(GETPIVOTDATA("Baseline_Amount",Visual_Pivot_BusinessIncome!$B$5,"Year",$C$4),0)</f>
        <v/>
      </c>
      <c r="D19" s="51">
        <f>IFERROR(SUMIFS(tblMaster_Inputs[Baseline_Amount],tblMaster_Inputs[Year],$C$4,tblMaster_Inputs[Activity_Type],"Strategy",tblMaster_Inputs[Bucket],"Business Income"),0)</f>
        <v/>
      </c>
      <c r="E19" s="51">
        <f>C19+D19</f>
        <v/>
      </c>
      <c r="H19" t="inlineStr">
        <is>
          <t>SchE_Rental</t>
        </is>
      </c>
      <c r="I19">
        <f>IFERROR(INDEX(Pivot_Medium!$C10:$H10,MATCH(TEXT($C$4,"0"),Pivot_Medium!$C$4:$H$4,0)),0)</f>
        <v/>
      </c>
      <c r="J19">
        <f>IFERROR(INDEX(Pivot_Medium!$O10:$T10,MATCH($C$4,Pivot_Medium!$O$4:$T$4,0)),0)</f>
        <v/>
      </c>
      <c r="K19" s="100">
        <f>IFERROR(INDEX(Pivot_Medium!$I10:$N10,MATCH($C$4,Pivot_Medium!$I$4:$N$4,0)),0)</f>
        <v/>
      </c>
    </row>
    <row r="37" ht="18.5" customHeight="1" s="99">
      <c r="B37" s="15" t="inlineStr">
        <is>
          <t>STRATEGY IMPACT SUMMARY</t>
        </is>
      </c>
    </row>
    <row r="38">
      <c r="B38" s="35" t="inlineStr">
        <is>
          <t>Strategy</t>
        </is>
      </c>
      <c r="C38" s="35" t="inlineStr">
        <is>
          <t>Jeff Ref</t>
        </is>
      </c>
      <c r="D38" s="35" t="inlineStr">
        <is>
          <t>Target Line</t>
        </is>
      </c>
      <c r="E38" s="35" t="inlineStr">
        <is>
          <t>Amount</t>
        </is>
      </c>
      <c r="F38" s="35" t="inlineStr">
        <is>
          <t>Status</t>
        </is>
      </c>
    </row>
    <row r="39">
      <c r="B39">
        <f t="array" ref="B39">IFERROR(INDIRECT("Y"&amp;$C$4&amp;"!B6"),"")</f>
        <v/>
      </c>
      <c r="C39">
        <f t="array" ref="C39">IFERROR(INDIRECT("Y"&amp;$C$4&amp;"!H6"),"")</f>
        <v/>
      </c>
      <c r="D39">
        <f t="array" ref="D39">IFERROR(INDIRECT("Y"&amp;$C$4&amp;"!C6"),"")</f>
        <v/>
      </c>
      <c r="E39" s="100">
        <f t="array" ref="E39">IFERROR(INDIRECT("Y"&amp;$C$4&amp;"!D6"),"")</f>
        <v/>
      </c>
      <c r="F39">
        <f t="array" ref="F39">IFERROR(INDIRECT("Y"&amp;$C$4&amp;"!E6"),"")</f>
        <v/>
      </c>
    </row>
    <row r="40">
      <c r="B40">
        <f t="array" ref="B40">IFERROR(INDIRECT("Y"&amp;$C$4&amp;"!B7"),"")</f>
        <v/>
      </c>
      <c r="C40">
        <f t="array" ref="C40">IFERROR(INDIRECT("Y"&amp;$C$4&amp;"!H7"),"")</f>
        <v/>
      </c>
      <c r="D40">
        <f t="array" ref="D40">IFERROR(INDIRECT("Y"&amp;$C$4&amp;"!C7"),"")</f>
        <v/>
      </c>
      <c r="E40" s="100">
        <f t="array" ref="E40">IFERROR(INDIRECT("Y"&amp;$C$4&amp;"!D7"),"")</f>
        <v/>
      </c>
      <c r="F40">
        <f t="array" ref="F40">IFERROR(INDIRECT("Y"&amp;$C$4&amp;"!E7"),"")</f>
        <v/>
      </c>
    </row>
    <row r="41">
      <c r="B41">
        <f t="array" ref="B41">IFERROR(INDIRECT("Y"&amp;$C$4&amp;"!B8"),"")</f>
        <v/>
      </c>
      <c r="C41">
        <f t="array" ref="C41">IFERROR(INDIRECT("Y"&amp;$C$4&amp;"!H8"),"")</f>
        <v/>
      </c>
      <c r="D41">
        <f t="array" ref="D41">IFERROR(INDIRECT("Y"&amp;$C$4&amp;"!C8"),"")</f>
        <v/>
      </c>
      <c r="E41" s="100">
        <f t="array" ref="E41">IFERROR(INDIRECT("Y"&amp;$C$4&amp;"!D8"),"")</f>
        <v/>
      </c>
      <c r="F41">
        <f t="array" ref="F41">IFERROR(INDIRECT("Y"&amp;$C$4&amp;"!E8"),"")</f>
        <v/>
      </c>
    </row>
    <row r="42">
      <c r="B42">
        <f t="array" ref="B42">IFERROR(INDIRECT("Y"&amp;$C$4&amp;"!B9"),"")</f>
        <v/>
      </c>
      <c r="C42">
        <f t="array" ref="C42">IFERROR(INDIRECT("Y"&amp;$C$4&amp;"!H9"),"")</f>
        <v/>
      </c>
      <c r="D42">
        <f t="array" ref="D42">IFERROR(INDIRECT("Y"&amp;$C$4&amp;"!C9"),"")</f>
        <v/>
      </c>
      <c r="E42" s="100">
        <f t="array" ref="E42">IFERROR(INDIRECT("Y"&amp;$C$4&amp;"!D9"),"")</f>
        <v/>
      </c>
      <c r="F42">
        <f t="array" ref="F42">IFERROR(INDIRECT("Y"&amp;$C$4&amp;"!E9"),"")</f>
        <v/>
      </c>
    </row>
    <row r="43">
      <c r="B43">
        <f t="array" ref="B43">IFERROR(INDIRECT("Y"&amp;$C$4&amp;"!B10"),"")</f>
        <v/>
      </c>
      <c r="C43">
        <f t="array" ref="C43">IFERROR(INDIRECT("Y"&amp;$C$4&amp;"!H10"),"")</f>
        <v/>
      </c>
      <c r="D43">
        <f t="array" ref="D43">IFERROR(INDIRECT("Y"&amp;$C$4&amp;"!C10"),"")</f>
        <v/>
      </c>
      <c r="E43" s="100">
        <f t="array" ref="E43">IFERROR(INDIRECT("Y"&amp;$C$4&amp;"!D10"),"")</f>
        <v/>
      </c>
      <c r="F43">
        <f t="array" ref="F43">IFERROR(INDIRECT("Y"&amp;$C$4&amp;"!E10"),"")</f>
        <v/>
      </c>
    </row>
    <row r="45" ht="15.5" customHeight="1" s="99">
      <c r="B45" s="49" t="inlineStr">
        <is>
          <t>TAX IMPACT</t>
        </is>
      </c>
      <c r="E45" s="17" t="inlineStr">
        <is>
          <t>Committed</t>
        </is>
      </c>
      <c r="F45" s="17" t="inlineStr">
        <is>
          <t>Net Impact</t>
        </is>
      </c>
    </row>
    <row r="46" ht="18.5" customHeight="1" s="99">
      <c r="B46" t="inlineStr">
        <is>
          <t>Baseline Tax</t>
        </is>
      </c>
      <c r="C46" s="101">
        <f t="array" ref="C46">IFERROR(INDIRECT("Y"&amp;$C$4&amp;"!J133"),0)</f>
        <v/>
      </c>
      <c r="E46" s="103">
        <f t="array" ref="E46">IFERROR(INDIRECT("Y"&amp;$C$4&amp;"!B28"),0)</f>
        <v/>
      </c>
      <c r="F46" s="104">
        <f t="array" ref="F46">IFERROR(INDIRECT("Y"&amp;$C$4&amp;"!D28"),0)</f>
        <v/>
      </c>
    </row>
    <row r="47">
      <c r="B47" t="inlineStr">
        <is>
          <t>Tax w/ Strategies</t>
        </is>
      </c>
      <c r="C47" s="101">
        <f t="array" ref="C47">IFERROR(INDIRECT("Y"&amp;$C$4&amp;"!K133"),0)</f>
        <v/>
      </c>
    </row>
    <row r="48" ht="18.5" customHeight="1" s="99">
      <c r="B48" t="inlineStr">
        <is>
          <t>Tax Savings ($)</t>
        </is>
      </c>
      <c r="C48" s="105">
        <f>C46-C47</f>
        <v/>
      </c>
    </row>
    <row r="49">
      <c r="B49" t="inlineStr">
        <is>
          <t>Eff. Rate Reduction</t>
        </is>
      </c>
      <c r="C49" s="102">
        <f t="array" ref="C49">IFERROR(INDIRECT("Y"&amp;$C$4&amp;"!J134"),0)-IFERROR(INDIRECT("Y"&amp;$C$4&amp;"!K134"),0)</f>
        <v/>
      </c>
    </row>
  </sheetData>
  <dataValidations count="1">
    <dataValidation sqref="C4" showDropDown="0" showInputMessage="1" showErrorMessage="1" allowBlank="1" promptTitle="Dashboard Year" prompt="Select year to display" type="list">
      <formula1>"2023,2024,2025,2026,2027,2028"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2026-05-19T15:00:43Z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
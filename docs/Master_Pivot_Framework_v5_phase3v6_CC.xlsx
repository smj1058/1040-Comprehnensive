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Glossary" sheetId="25" state="visible" r:id="rId25"/>
    <sheet name="Carryovers" sheetId="26" state="visible" r:id="rId26"/>
    <sheet name="Questionnaire" sheetId="27" state="visible" r:id="rId27"/>
    <sheet name="Connections" sheetId="28" state="visible" r:id="rId28"/>
    <sheet name="Projection_History" sheetId="29" state="visible" r:id="rId29"/>
    <sheet name="Change_Log" sheetId="30" state="visible" r:id="rId30"/>
    <sheet name="Setup_Guide" sheetId="31" state="visible" r:id="rId31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</definedNames>
  <calcPr calcId="191029" fullCalcOnLoad="1" iterate="1"/>
  <pivotCaches>
    <pivotCache cacheId="10" r:id="rId32"/>
  </pivotCaches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</numFmts>
  <fonts count="71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</fonts>
  <fills count="23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2">
    <xf numFmtId="0" fontId="0" fillId="0" borderId="0"/>
    <xf numFmtId="0" fontId="9" fillId="0" borderId="0"/>
  </cellStyleXfs>
  <cellXfs count="15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dxfs count="68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pivotCacheDefinition" Target="/xl/pivotCache/pivotCacheDefinition1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S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S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</row>
  </sheetData>
  <dataValidations count="10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Multi-year practitioner view. Follows Active_Year on Control_Panel. Override the year selector below if needed.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43">
        <f>Active_Year</f>
        <v/>
      </c>
      <c r="D4" s="139" t="n"/>
      <c r="E4" s="139" t="n"/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IF(OR(I8="Committed",I8="Implemented"),-J8*0.32,0)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IF(OR(I9="Committed",I9="Implemented"),-J9*0.32,0)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IF(OR(I10="Committed",I10="Implemented"),-J10*0.32,0)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IF(OR(I11="Committed",I11="Implemented"),-J11*0.32,0)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IF(OR(I12="Committed",I12="Implemented"),-J12*0.32,0)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IF(OR(I13="Committed",I13="Implemented"),-J13*0.32,0)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IF(OR(I14="Committed",I14="Implemented"),-J14*0.32,0)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IF(OR(I15="Committed",I15="Implemented"),-J15*0.32,0)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IF(OR(I16="Committed",I16="Implemented"),-J16*0.32,0)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IF(OR(I17="Committed",I17="Implemented"),-J17*0.32,0)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IF(OR(I18="Committed",I18="Implemented"),-J18*0.32,0)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IF(OR(I19="Committed",I19="Implemented"),-J19*0.32,0)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IF(OR(I20="Committed",I20="Implemented"),-J20*0.32,0)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IF(OR(I21="Committed",I21="Implemented"),-J21*0.32,0)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IF(OR(I22="Committed",I22="Implemented"),-J22*0.32,0)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-Amount × 32% approx. Replace with KISS LAMBDA exact recalc when LAMBDAs install (Phase 3c).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inlineStr">
        <is>
          <t>State pass-through entity tax</t>
        </is>
      </c>
      <c r="G19" s="65" t="n"/>
      <c r="H19" s="65" t="n"/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4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12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12.7265625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</row>
    <row r="12">
      <c r="D12" t="inlineStr">
        <is>
          <t>Extraction - Tied</t>
        </is>
      </c>
      <c r="F12" t="inlineStr">
        <is>
          <t>12</t>
        </is>
      </c>
    </row>
    <row r="13">
      <c r="D13" t="inlineStr">
        <is>
          <t>System Calculated</t>
        </is>
      </c>
      <c r="F13" t="inlineStr">
        <is>
          <t>13</t>
        </is>
      </c>
    </row>
    <row r="17">
      <c r="A17" s="7" t="inlineStr">
        <is>
          <t>▸ PER-BUCKET TREATMENT_PROFILE LISTS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</row>
    <row r="24">
      <c r="A24" t="inlineStr">
        <is>
          <t>K1_PTP_Passive</t>
        </is>
      </c>
    </row>
    <row r="25">
      <c r="A25" t="inlineStr">
        <is>
          <t>K1_SCorp_Active</t>
        </is>
      </c>
    </row>
    <row r="26">
      <c r="A26" t="inlineStr">
        <is>
          <t>K1_SCorp_Passive</t>
        </is>
      </c>
    </row>
    <row r="27">
      <c r="A27" t="inlineStr">
        <is>
          <t>Trust_K1</t>
        </is>
      </c>
    </row>
    <row r="33">
      <c r="A33" s="7" t="inlineStr">
        <is>
          <t>▸ PER-BUCKET SOURCE_DOCUMENT LISTS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</row>
    <row r="39">
      <c r="A39" t="inlineStr">
        <is>
          <t>Sch E Workpaper</t>
        </is>
      </c>
      <c r="E39" t="inlineStr">
        <is>
          <t>SE Health Premium</t>
        </is>
      </c>
    </row>
    <row r="40">
      <c r="A40" t="inlineStr">
        <is>
          <t>Sch F Workpaper</t>
        </is>
      </c>
    </row>
    <row r="41">
      <c r="A41" t="inlineStr">
        <is>
          <t>PY Return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4.5"/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2026-05-19T15:08:04Z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
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Master_Strategies!$B7:$L27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76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</fonts>
  <fills count="23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2">
    <xf numFmtId="0" fontId="0" fillId="0" borderId="0"/>
    <xf numFmtId="0" fontId="9" fillId="0" borderId="0"/>
  </cellStyleXfs>
  <cellXfs count="18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MasterStrategies" displayName="tblMasterStrategies" ref="B7:L27" headerRowCount="1">
  <autoFilter ref="B7:L27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5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for all tax strategies. One row per impact — a strategy that touches N 1040 lines has N rows here. Year sheets currently reference this manually; future build will auto-populate.</t>
        </is>
      </c>
    </row>
    <row r="5">
      <c r="B5" s="171" t="inlineStr">
        <is>
          <t>▸ SECTION A — STRATEGY CATALOG (one row per impact)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test (RCReports/avg)</t>
        </is>
      </c>
      <c r="K8" s="172" t="inlineStr">
        <is>
          <t>Standard</t>
        </is>
      </c>
      <c r="L8" s="172" t="inlineStr">
        <is>
          <t>Reduce W-2 wages to reasonable comp; surplus moves to K-1 active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Entity Structuring</t>
        </is>
      </c>
      <c r="E10" s="172" t="inlineStr">
        <is>
          <t>Core</t>
        </is>
      </c>
      <c r="F10" s="172" t="inlineStr">
        <is>
          <t>#1</t>
        </is>
      </c>
      <c r="G10" s="172" t="inlineStr">
        <is>
          <t>—</t>
        </is>
      </c>
      <c r="H10" s="172" t="inlineStr">
        <is>
          <t>STRUCTURAL</t>
        </is>
      </c>
      <c r="I10" s="158" t="n">
        <v>0</v>
      </c>
      <c r="J10" s="172" t="inlineStr">
        <is>
          <t>Form 2553 timing / QBI grouping</t>
        </is>
      </c>
      <c r="K10" s="172" t="inlineStr">
        <is>
          <t>Verified</t>
        </is>
      </c>
      <c r="L10" s="172" t="inlineStr">
        <is>
          <t>Foundation. Enables wage opt + QBI. No direct $ impact on 1040 in year-of-election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401(k) Employee Deferral</t>
        </is>
      </c>
      <c r="E11" s="172" t="inlineStr">
        <is>
          <t>Core</t>
        </is>
      </c>
      <c r="F11" s="172" t="inlineStr">
        <is>
          <t>#3</t>
        </is>
      </c>
      <c r="G11" s="172" t="inlineStr">
        <is>
          <t>1z</t>
        </is>
      </c>
      <c r="H11" s="172" t="inlineStr">
        <is>
          <t>RETIREMENT</t>
        </is>
      </c>
      <c r="I11" s="158" t="n">
        <v>-1</v>
      </c>
      <c r="J11" s="172" t="inlineStr">
        <is>
          <t>$23K + $7.5K catch-up (2024)</t>
        </is>
      </c>
      <c r="K11" s="172" t="inlineStr">
        <is>
          <t>Standard</t>
        </is>
      </c>
      <c r="L11" s="172" t="inlineStr">
        <is>
          <t>Pre-tax 401(k) elective deferral reduces W-2 wages</t>
        </is>
      </c>
    </row>
    <row r="12">
      <c r="B12" s="172" t="inlineStr">
        <is>
          <t>STR-003</t>
        </is>
      </c>
      <c r="C12" s="158" t="n">
        <v>2</v>
      </c>
      <c r="D12" s="172" t="inlineStr">
        <is>
          <t>401(k) Employer Match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comp, $66K combined (2024)</t>
        </is>
      </c>
      <c r="K12" s="172" t="inlineStr">
        <is>
          <t>Standard</t>
        </is>
      </c>
      <c r="L12" s="172" t="inlineStr">
        <is>
          <t>Employer side reduces S-Corp K-1 income</t>
        </is>
      </c>
    </row>
    <row r="13">
      <c r="B13" s="172" t="inlineStr">
        <is>
          <t>STR-003</t>
        </is>
      </c>
      <c r="C13" s="158" t="n">
        <v>3</v>
      </c>
      <c r="D13" s="172" t="inlineStr">
        <is>
          <t>Traditional IRA</t>
        </is>
      </c>
      <c r="E13" s="172" t="inlineStr">
        <is>
          <t>Core</t>
        </is>
      </c>
      <c r="F13" s="172" t="inlineStr">
        <is>
          <t>#3</t>
        </is>
      </c>
      <c r="G13" s="172" t="inlineStr">
        <is>
          <t>10</t>
        </is>
      </c>
      <c r="H13" s="172" t="inlineStr">
        <is>
          <t>RETIREMENT</t>
        </is>
      </c>
      <c r="I13" s="158" t="n">
        <v>-1</v>
      </c>
      <c r="J13" s="172" t="inlineStr">
        <is>
          <t>$7K + $1K catch-up (2024); MAGI cap</t>
        </is>
      </c>
      <c r="K13" s="172" t="inlineStr">
        <is>
          <t>Standard</t>
        </is>
      </c>
      <c r="L13" s="172" t="inlineStr">
        <is>
          <t>Above-line deduction Line 20 (Sch 1 line 20)</t>
        </is>
      </c>
    </row>
    <row r="14">
      <c r="B14" s="172" t="inlineStr">
        <is>
          <t>STR-004</t>
        </is>
      </c>
      <c r="C14" s="158" t="n">
        <v>1</v>
      </c>
      <c r="D14" s="172" t="inlineStr">
        <is>
          <t>SEP-IRA</t>
        </is>
      </c>
      <c r="E14" s="172" t="inlineStr">
        <is>
          <t>Core</t>
        </is>
      </c>
      <c r="F14" s="172" t="inlineStr">
        <is>
          <t>#3</t>
        </is>
      </c>
      <c r="G14" s="172" t="inlineStr">
        <is>
          <t>8</t>
        </is>
      </c>
      <c r="H14" s="172" t="inlineStr">
        <is>
          <t>RETIREMENT</t>
        </is>
      </c>
      <c r="I14" s="158" t="n">
        <v>-1</v>
      </c>
      <c r="J14" s="172" t="inlineStr">
        <is>
          <t>25% of comp, $66K cap (2024)</t>
        </is>
      </c>
      <c r="K14" s="172" t="inlineStr">
        <is>
          <t>Standard</t>
        </is>
      </c>
      <c r="L14" s="172" t="inlineStr">
        <is>
          <t>Defaults to Line 8 (S-Corp owner context); change TargetLine→10 for sole-prop</t>
        </is>
      </c>
    </row>
    <row r="15">
      <c r="B15" s="172" t="inlineStr">
        <is>
          <t>STR-005</t>
        </is>
      </c>
      <c r="C15" s="158" t="n">
        <v>1</v>
      </c>
      <c r="D15" s="172" t="inlineStr">
        <is>
          <t>Cost Seg + Bonus Depr.</t>
        </is>
      </c>
      <c r="E15" s="172" t="inlineStr">
        <is>
          <t>Core</t>
        </is>
      </c>
      <c r="F15" s="172" t="inlineStr">
        <is>
          <t>#4</t>
        </is>
      </c>
      <c r="G15" s="172" t="inlineStr">
        <is>
          <t>8</t>
        </is>
      </c>
      <c r="H15" s="172" t="inlineStr">
        <is>
          <t>SchE_Rental</t>
        </is>
      </c>
      <c r="I15" s="158" t="n">
        <v>-1</v>
      </c>
      <c r="J15" s="172" t="inlineStr">
        <is>
          <t>25% Y1 accel of building basis (default)</t>
        </is>
      </c>
      <c r="K15" s="172" t="inlineStr">
        <is>
          <t>Verified</t>
        </is>
      </c>
      <c r="L15" s="172" t="inlineStr">
        <is>
          <t>Cost seg study reclassifies 5/7/15-yr property; bonus depr accelerates</t>
        </is>
      </c>
    </row>
    <row r="16">
      <c r="B16" s="172" t="inlineStr">
        <is>
          <t>STR-006</t>
        </is>
      </c>
      <c r="C16" s="158" t="n">
        <v>1</v>
      </c>
      <c r="D16" s="172" t="inlineStr">
        <is>
          <t>Augusta Rule (§280A)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AUGUSTA</t>
        </is>
      </c>
      <c r="I16" s="158" t="n">
        <v>-1</v>
      </c>
      <c r="J16" s="172" t="inlineStr">
        <is>
          <t>≤14 days/yr at FMV</t>
        </is>
      </c>
      <c r="K16" s="172" t="inlineStr">
        <is>
          <t>Standard</t>
        </is>
      </c>
      <c r="L16" s="172" t="inlineStr">
        <is>
          <t>S-Corp rents owner residence ≤14 days; deduction to business, tax-free to owner</t>
        </is>
      </c>
    </row>
    <row r="17">
      <c r="B17" s="172" t="inlineStr">
        <is>
          <t>STR-007</t>
        </is>
      </c>
      <c r="C17" s="158" t="n">
        <v>1</v>
      </c>
      <c r="D17" s="172" t="inlineStr">
        <is>
          <t>Accountable Plan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ACCT_PLAN</t>
        </is>
      </c>
      <c r="I17" s="158" t="n">
        <v>-1</v>
      </c>
      <c r="J17" s="172" t="inlineStr">
        <is>
          <t>Substantiated expenses only</t>
        </is>
      </c>
      <c r="K17" s="172" t="inlineStr">
        <is>
          <t>Standard</t>
        </is>
      </c>
      <c r="L17" s="172" t="inlineStr">
        <is>
          <t>Written plan reimburses owner-employee for business use of home/vehicle</t>
        </is>
      </c>
    </row>
    <row r="18">
      <c r="B18" s="172" t="inlineStr">
        <is>
          <t>STR-008</t>
        </is>
      </c>
      <c r="C18" s="158" t="n">
        <v>1</v>
      </c>
      <c r="D18" s="172" t="inlineStr">
        <is>
          <t>MERP / HRA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8</t>
        </is>
      </c>
      <c r="H18" s="172" t="inlineStr">
        <is>
          <t>MEDICAL_HRA</t>
        </is>
      </c>
      <c r="I18" s="158" t="n">
        <v>-1</v>
      </c>
      <c r="J18" s="172" t="inlineStr">
        <is>
          <t>Per §105/106 limits</t>
        </is>
      </c>
      <c r="K18" s="172" t="inlineStr">
        <is>
          <t>Verified</t>
        </is>
      </c>
      <c r="L18" s="172" t="inlineStr">
        <is>
          <t>Medical Expense Reimbursement Plan — deductible to S-Corp, tax-free to employee</t>
        </is>
      </c>
    </row>
    <row r="19">
      <c r="B19" s="172" t="inlineStr">
        <is>
          <t>STR-009</t>
        </is>
      </c>
      <c r="C19" s="158" t="n">
        <v>1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8</t>
        </is>
      </c>
      <c r="H19" s="172" t="inlineStr">
        <is>
          <t>CHILD_WAGES</t>
        </is>
      </c>
      <c r="I19" s="158" t="n">
        <v>-1</v>
      </c>
      <c r="J19" s="172" t="inlineStr">
        <is>
          <t>Reasonable wages for age/work</t>
        </is>
      </c>
      <c r="K19" s="172" t="inlineStr">
        <is>
          <t>Standard</t>
        </is>
      </c>
      <c r="L19" s="172" t="inlineStr">
        <is>
          <t>Wages deductible to business</t>
        </is>
      </c>
    </row>
    <row r="20">
      <c r="B20" s="172" t="inlineStr">
        <is>
          <t>STR-009</t>
        </is>
      </c>
      <c r="C20" s="158" t="n">
        <v>2</v>
      </c>
      <c r="D20" s="172" t="inlineStr">
        <is>
          <t>Hire Children</t>
        </is>
      </c>
      <c r="E20" s="172" t="inlineStr">
        <is>
          <t>Core</t>
        </is>
      </c>
      <c r="F20" s="172" t="inlineStr">
        <is>
          <t>#5 LHF</t>
        </is>
      </c>
      <c r="G20" s="172" t="inlineStr">
        <is>
          <t>1z</t>
        </is>
      </c>
      <c r="H20" s="172" t="inlineStr">
        <is>
          <t>CHILD_WAGES</t>
        </is>
      </c>
      <c r="I20" s="158" t="n">
        <v>1</v>
      </c>
      <c r="J20" s="172" t="inlineStr">
        <is>
          <t>Child's standard deduction = $14,600 (2024)</t>
        </is>
      </c>
      <c r="K20" s="172" t="inlineStr">
        <is>
          <t>Standard</t>
        </is>
      </c>
      <c r="L20" s="172" t="inlineStr">
        <is>
          <t>Wages reportable on child's return; up to std ded = 0 tax</t>
        </is>
      </c>
    </row>
    <row r="21">
      <c r="B21" s="172" t="inlineStr">
        <is>
          <t>STR-009</t>
        </is>
      </c>
      <c r="C21" s="158" t="n">
        <v>3</v>
      </c>
      <c r="D21" s="172" t="inlineStr">
        <is>
          <t>Hire Children</t>
        </is>
      </c>
      <c r="E21" s="172" t="inlineStr">
        <is>
          <t>Core</t>
        </is>
      </c>
      <c r="F21" s="172" t="inlineStr">
        <is>
          <t>#5 LHF</t>
        </is>
      </c>
      <c r="G21" s="172" t="inlineStr">
        <is>
          <t>—</t>
        </is>
      </c>
      <c r="H21" s="172" t="inlineStr">
        <is>
          <t>CHILD_ROTH</t>
        </is>
      </c>
      <c r="I21" s="158" t="n">
        <v>0</v>
      </c>
      <c r="J21" s="172" t="inlineStr">
        <is>
          <t>Up to lesser of earned income or $7K</t>
        </is>
      </c>
      <c r="K21" s="172" t="inlineStr">
        <is>
          <t>Standard</t>
        </is>
      </c>
      <c r="L21" s="172" t="inlineStr">
        <is>
          <t>Informational — child can fund Roth IRA with earned wages (no 1040 impact)</t>
        </is>
      </c>
    </row>
    <row r="22">
      <c r="B22" s="172" t="inlineStr">
        <is>
          <t>STR-010</t>
        </is>
      </c>
      <c r="C22" s="158" t="n">
        <v>1</v>
      </c>
      <c r="D22" s="172" t="inlineStr">
        <is>
          <t>Entity Restructure</t>
        </is>
      </c>
      <c r="E22" s="172" t="inlineStr">
        <is>
          <t>Advanced</t>
        </is>
      </c>
      <c r="F22" s="172" t="inlineStr">
        <is>
          <t>#1</t>
        </is>
      </c>
      <c r="G22" s="172" t="inlineStr">
        <is>
          <t>—</t>
        </is>
      </c>
      <c r="H22" s="172" t="inlineStr">
        <is>
          <t>STRUCTURAL</t>
        </is>
      </c>
      <c r="I22" s="158" t="n">
        <v>0</v>
      </c>
      <c r="J22" s="172" t="inlineStr">
        <is>
          <t>Case-by-case</t>
        </is>
      </c>
      <c r="K22" s="172" t="inlineStr">
        <is>
          <t>Confirmed</t>
        </is>
      </c>
      <c r="L22" s="172" t="inlineStr">
        <is>
          <t>HoldCo over OpCo, F-reorg, etc. Foundation move</t>
        </is>
      </c>
    </row>
    <row r="23">
      <c r="B23" s="172" t="inlineStr">
        <is>
          <t>STR-011</t>
        </is>
      </c>
      <c r="C23" s="158" t="n">
        <v>1</v>
      </c>
      <c r="D23" s="172" t="inlineStr">
        <is>
          <t>PTET Election</t>
        </is>
      </c>
      <c r="E23" s="172" t="inlineStr">
        <is>
          <t>Supp.</t>
        </is>
      </c>
      <c r="F23" s="172" t="inlineStr">
        <is>
          <t>B1</t>
        </is>
      </c>
      <c r="G23" s="172" t="inlineStr">
        <is>
          <t>8</t>
        </is>
      </c>
      <c r="H23" s="172" t="inlineStr">
        <is>
          <t>PTET</t>
        </is>
      </c>
      <c r="I23" s="158" t="n">
        <v>-1</v>
      </c>
      <c r="J23" s="172" t="inlineStr">
        <is>
          <t>100% of state tax via entity</t>
        </is>
      </c>
      <c r="K23" s="172" t="inlineStr">
        <is>
          <t>Verified</t>
        </is>
      </c>
      <c r="L23" s="172" t="inlineStr">
        <is>
          <t>Pass-Through Entity Tax — entity pays state, federal deduction at entity level</t>
        </is>
      </c>
    </row>
    <row r="24">
      <c r="B24" s="172" t="inlineStr">
        <is>
          <t>STR-012</t>
        </is>
      </c>
      <c r="C24" s="158" t="n">
        <v>1</v>
      </c>
      <c r="D24" s="172" t="inlineStr">
        <is>
          <t>Tax Loss Harvesting</t>
        </is>
      </c>
      <c r="E24" s="172" t="inlineStr">
        <is>
          <t>Supp.</t>
        </is>
      </c>
      <c r="F24" s="172" t="inlineStr">
        <is>
          <t>B2</t>
        </is>
      </c>
      <c r="G24" s="172" t="inlineStr">
        <is>
          <t>7</t>
        </is>
      </c>
      <c r="H24" s="172" t="inlineStr">
        <is>
          <t>CG_HARVEST</t>
        </is>
      </c>
      <c r="I24" s="158" t="n">
        <v>-1</v>
      </c>
      <c r="J24" s="172" t="inlineStr">
        <is>
          <t>$3K ord loss; CL carryforward</t>
        </is>
      </c>
      <c r="K24" s="172" t="inlineStr">
        <is>
          <t>Standard</t>
        </is>
      </c>
      <c r="L24" s="172" t="inlineStr">
        <is>
          <t>Realize losses to offset realized gains; wash-sale 30-day rule</t>
        </is>
      </c>
    </row>
    <row r="25">
      <c r="B25" s="172" t="inlineStr">
        <is>
          <t>STR-013</t>
        </is>
      </c>
      <c r="C25" s="158" t="n">
        <v>1</v>
      </c>
      <c r="D25" s="172" t="inlineStr">
        <is>
          <t>R&amp;D Tax Credit</t>
        </is>
      </c>
      <c r="E25" s="172" t="inlineStr">
        <is>
          <t>Advanced</t>
        </is>
      </c>
      <c r="F25" s="172" t="inlineStr">
        <is>
          <t>—</t>
        </is>
      </c>
      <c r="G25" s="172" t="inlineStr">
        <is>
          <t>20</t>
        </is>
      </c>
      <c r="H25" s="172" t="inlineStr">
        <is>
          <t>CREDIT_RD</t>
        </is>
      </c>
      <c r="I25" s="158" t="n">
        <v>-1</v>
      </c>
      <c r="J25" s="172" t="inlineStr">
        <is>
          <t>Qualifying research expenses</t>
        </is>
      </c>
      <c r="K25" s="172" t="inlineStr">
        <is>
          <t>Verified</t>
        </is>
      </c>
      <c r="L25" s="172" t="inlineStr">
        <is>
          <t>Section 41 credit — offsets tax on Line 20 (was Line 13 in older 1040)</t>
        </is>
      </c>
    </row>
    <row r="26">
      <c r="B26" s="172" t="inlineStr">
        <is>
          <t>STR-014</t>
        </is>
      </c>
      <c r="C26" s="158" t="n">
        <v>1</v>
      </c>
      <c r="D26" s="172" t="inlineStr">
        <is>
          <t>Roth Conversion</t>
        </is>
      </c>
      <c r="E26" s="172" t="inlineStr">
        <is>
          <t>Supp.</t>
        </is>
      </c>
      <c r="F26" s="172" t="inlineStr">
        <is>
          <t>B4</t>
        </is>
      </c>
      <c r="G26" s="172" t="inlineStr">
        <is>
          <t>4b</t>
        </is>
      </c>
      <c r="H26" s="172" t="inlineStr">
        <is>
          <t>ROTH_CONV</t>
        </is>
      </c>
      <c r="I26" s="158" t="n">
        <v>1</v>
      </c>
      <c r="J26" s="172" t="inlineStr">
        <is>
          <t>Bracket-management strategy</t>
        </is>
      </c>
      <c r="K26" s="172" t="inlineStr">
        <is>
          <t>Standard</t>
        </is>
      </c>
      <c r="L26" s="172" t="inlineStr">
        <is>
          <t>Move trad IRA dollars to Roth; current-year income hit for future tax-free growth</t>
        </is>
      </c>
    </row>
    <row r="27">
      <c r="B27" s="172" t="inlineStr">
        <is>
          <t>STR-015</t>
        </is>
      </c>
      <c r="C27" s="158" t="n">
        <v>1</v>
      </c>
      <c r="D27" s="172" t="inlineStr">
        <is>
          <t>Donor-Advised Fund</t>
        </is>
      </c>
      <c r="E27" s="172" t="inlineStr">
        <is>
          <t>Supp.</t>
        </is>
      </c>
      <c r="F27" s="172" t="inlineStr">
        <is>
          <t>B5</t>
        </is>
      </c>
      <c r="G27" s="172" t="inlineStr">
        <is>
          <t>12a</t>
        </is>
      </c>
      <c r="H27" s="172" t="inlineStr">
        <is>
          <t>CHARITY_DAF</t>
        </is>
      </c>
      <c r="I27" s="158" t="n">
        <v>-1</v>
      </c>
      <c r="J27" s="172" t="inlineStr">
        <is>
          <t>30%/60% of AGI limits</t>
        </is>
      </c>
      <c r="K27" s="172" t="inlineStr">
        <is>
          <t>Standard</t>
        </is>
      </c>
      <c r="L27" s="172" t="inlineStr">
        <is>
          <t>Bunch multiple years of giving into one DAF contribution</t>
        </is>
      </c>
    </row>
    <row r="30">
      <c r="B30" s="171" t="inlineStr">
        <is>
          <t>▸ SECTION B — BUCKET LEGEND</t>
        </is>
      </c>
    </row>
    <row r="32">
      <c r="B32" s="173" t="inlineStr">
        <is>
          <t>Core</t>
        </is>
      </c>
      <c r="C32" s="172" t="inlineStr">
        <is>
          <t>Bucket A — 5 dependency-ordered foundational strategies. Entity → Wage → Retirement → Bonus Depr → LHF</t>
        </is>
      </c>
    </row>
    <row r="33">
      <c r="B33" s="173" t="inlineStr">
        <is>
          <t>Supp.</t>
        </is>
      </c>
      <c r="C33" s="172" t="inlineStr">
        <is>
          <t>Bucket B — 7 supplemental strategies (B1-B7). PTET, TaxLoss, IncShift, Roth, DAF, 1031, OppZone</t>
        </is>
      </c>
    </row>
    <row r="34">
      <c r="B34" s="173" t="inlineStr">
        <is>
          <t>Advanced</t>
        </is>
      </c>
      <c r="C34" s="172" t="inlineStr">
        <is>
          <t>Bucket C — case-by-case heavy machinery. Entity restructure, R&amp;D credit, conservation easements</t>
        </is>
      </c>
    </row>
    <row r="37">
      <c r="B37" s="171" t="inlineStr">
        <is>
          <t>▸ SECTION C — SIGN CONVENTION</t>
        </is>
      </c>
    </row>
    <row r="39">
      <c r="B39" s="174" t="inlineStr">
        <is>
          <t>-1</t>
        </is>
      </c>
      <c r="C39" s="175" t="inlineStr">
        <is>
          <t>REDUCES target line</t>
        </is>
      </c>
      <c r="D39" s="176" t="inlineStr">
        <is>
          <t>e.g., 401(k) employee deferral reduces W-2 wages (Line 1z by -$X)</t>
        </is>
      </c>
    </row>
    <row r="40">
      <c r="B40" s="174" t="inlineStr">
        <is>
          <t>+1</t>
        </is>
      </c>
      <c r="C40" s="175" t="inlineStr">
        <is>
          <t>INCREASES target line</t>
        </is>
      </c>
      <c r="D40" s="176" t="inlineStr">
        <is>
          <t>e.g., S-Corp wage reduction shifts dollars to K-1 (Line 8 by +$X)</t>
        </is>
      </c>
    </row>
    <row r="41">
      <c r="B41" s="174" t="inlineStr">
        <is>
          <t>0</t>
        </is>
      </c>
      <c r="C41" s="175" t="inlineStr">
        <is>
          <t>NO 1040 IMPACT (info)</t>
        </is>
      </c>
      <c r="D41" s="176" t="inlineStr">
        <is>
          <t>e.g., entity structure or Roth-via-child wages — tracked but no direct line move</t>
        </is>
      </c>
    </row>
    <row r="44">
      <c r="B44" s="171" t="inlineStr">
        <is>
          <t>▸ SECTION D — STRATEGY BUILDER (live tool — pick + size a strategy)</t>
        </is>
      </c>
    </row>
    <row r="46">
      <c r="B46" s="177" t="inlineStr">
        <is>
          <t>Strategy:</t>
        </is>
      </c>
      <c r="C46" s="178" t="inlineStr">
        <is>
          <t>STR-001</t>
        </is>
      </c>
      <c r="D46" s="177" t="inlineStr">
        <is>
          <t>Amount:</t>
        </is>
      </c>
      <c r="E46" s="179" t="n">
        <v>25000</v>
      </c>
      <c r="F46" s="177" t="inlineStr">
        <is>
          <t>For Year:</t>
        </is>
      </c>
      <c r="G46" s="178">
        <f>Active_Year</f>
        <v/>
      </c>
      <c r="H46" s="177" t="inlineStr">
        <is>
          <t>Status:</t>
        </is>
      </c>
      <c r="I46" s="178" t="inlineStr">
        <is>
          <t>Proposed</t>
        </is>
      </c>
      <c r="J46" s="177" t="inlineStr">
        <is>
          <t>Cap check:</t>
        </is>
      </c>
      <c r="K46" s="180">
        <f>VLOOKUP($C$46,$B$8:$L$27,9,FALSE)</f>
        <v/>
      </c>
    </row>
    <row r="48">
      <c r="B48" s="181" t="inlineStr">
        <is>
          <t>▾ All impacts for the selected strategy (paste these rows into Y[year] sheet)</t>
        </is>
      </c>
    </row>
    <row r="49">
      <c r="B49" s="145" t="inlineStr">
        <is>
          <t>#</t>
        </is>
      </c>
      <c r="C49" s="145" t="inlineStr">
        <is>
          <t>Strategy_ID</t>
        </is>
      </c>
      <c r="D49" s="145" t="inlineStr">
        <is>
          <t>Strategy_Name</t>
        </is>
      </c>
      <c r="E49" s="145" t="inlineStr">
        <is>
          <t>TargetLine</t>
        </is>
      </c>
      <c r="F49" s="145" t="inlineStr">
        <is>
          <t>HelperTreatment</t>
        </is>
      </c>
      <c r="G49" s="145" t="inlineStr">
        <is>
          <t>Sign</t>
        </is>
      </c>
      <c r="H49" s="145" t="inlineStr">
        <is>
          <t>Amount (signed)</t>
        </is>
      </c>
      <c r="I49" s="145" t="inlineStr">
        <is>
          <t>Status</t>
        </is>
      </c>
      <c r="J49" s="145" t="inlineStr">
        <is>
          <t>Cap_Rule</t>
        </is>
      </c>
      <c r="K49" s="145" t="inlineStr">
        <is>
          <t>Description</t>
        </is>
      </c>
    </row>
    <row r="50">
      <c r="B50" s="173" t="n">
        <v>1</v>
      </c>
      <c r="C50" s="158">
        <f>IFERROR(INDEX($B$8:$L$27,MATCH(1,($B$8:$B$27=$C$46)*($C$8:$C$27=1),0),1),"")</f>
        <v/>
      </c>
      <c r="D50" s="172">
        <f>IFERROR(INDEX($B$8:$L$27,MATCH(1,($B$8:$B$27=$C$46)*($C$8:$C$27=1),0),3),"")</f>
        <v/>
      </c>
      <c r="E50" s="158">
        <f>IFERROR(INDEX($B$8:$L$27,MATCH(1,($B$8:$B$27=$C$46)*($C$8:$C$27=1),0),6),"")</f>
        <v/>
      </c>
      <c r="F50" s="158">
        <f>IFERROR(INDEX($B$8:$L$27,MATCH(1,($B$8:$B$27=$C$46)*($C$8:$C$27=1),0),7),"")</f>
        <v/>
      </c>
      <c r="G50" s="158">
        <f>IFERROR(INDEX($B$8:$L$27,MATCH(1,($B$8:$B$27=$C$46)*($C$8:$C$27=1),0),8),"")</f>
        <v/>
      </c>
      <c r="H50" s="182">
        <f>IFERROR(IF(IFERROR(INDEX($B$8:$L$27,MATCH(1,($B$8:$B$27=$C$46)*($C$8:$C$27=1),0),8),""),$E$46*IFERROR(INDEX($B$8:$L$27,MATCH(1,($B$8:$B$27=$C$46)*($C$8:$C$27=1),0),8),"")),"")</f>
        <v/>
      </c>
      <c r="I50" s="158">
        <f>IF(IFERROR(INDEX($B$8:$L$27,MATCH(1,($B$8:$B$27=$C$46)*($C$8:$C$27=1),0),1),"")="","",$I$46)</f>
        <v/>
      </c>
      <c r="J50" s="183">
        <f>IFERROR(INDEX($B$8:$L$27,MATCH(1,($B$8:$B$27=$C$46)*($C$8:$C$27=1),0),9),"")</f>
        <v/>
      </c>
      <c r="K50" s="176">
        <f>IFERROR(INDEX($B$8:$L$27,MATCH(1,($B$8:$B$27=$C$46)*($C$8:$C$27=1),0),11),"")</f>
        <v/>
      </c>
    </row>
    <row r="51">
      <c r="B51" s="173" t="n">
        <v>2</v>
      </c>
      <c r="C51" s="158">
        <f>IFERROR(INDEX($B$8:$L$27,MATCH(1,($B$8:$B$27=$C$46)*($C$8:$C$27=2),0),1),"")</f>
        <v/>
      </c>
      <c r="D51" s="172">
        <f>IFERROR(INDEX($B$8:$L$27,MATCH(1,($B$8:$B$27=$C$46)*($C$8:$C$27=2),0),3),"")</f>
        <v/>
      </c>
      <c r="E51" s="158">
        <f>IFERROR(INDEX($B$8:$L$27,MATCH(1,($B$8:$B$27=$C$46)*($C$8:$C$27=2),0),6),"")</f>
        <v/>
      </c>
      <c r="F51" s="158">
        <f>IFERROR(INDEX($B$8:$L$27,MATCH(1,($B$8:$B$27=$C$46)*($C$8:$C$27=2),0),7),"")</f>
        <v/>
      </c>
      <c r="G51" s="158">
        <f>IFERROR(INDEX($B$8:$L$27,MATCH(1,($B$8:$B$27=$C$46)*($C$8:$C$27=2),0),8),"")</f>
        <v/>
      </c>
      <c r="H51" s="182">
        <f>IFERROR(IF(IFERROR(INDEX($B$8:$L$27,MATCH(1,($B$8:$B$27=$C$46)*($C$8:$C$27=2),0),8),""),$E$46*IFERROR(INDEX($B$8:$L$27,MATCH(1,($B$8:$B$27=$C$46)*($C$8:$C$27=2),0),8),"")),"")</f>
        <v/>
      </c>
      <c r="I51" s="158">
        <f>IF(IFERROR(INDEX($B$8:$L$27,MATCH(1,($B$8:$B$27=$C$46)*($C$8:$C$27=2),0),1),"")="","",$I$46)</f>
        <v/>
      </c>
      <c r="J51" s="183">
        <f>IFERROR(INDEX($B$8:$L$27,MATCH(1,($B$8:$B$27=$C$46)*($C$8:$C$27=2),0),9),"")</f>
        <v/>
      </c>
      <c r="K51" s="176">
        <f>IFERROR(INDEX($B$8:$L$27,MATCH(1,($B$8:$B$27=$C$46)*($C$8:$C$27=2),0),11),"")</f>
        <v/>
      </c>
    </row>
    <row r="52">
      <c r="B52" s="173" t="n">
        <v>3</v>
      </c>
      <c r="C52" s="158">
        <f>IFERROR(INDEX($B$8:$L$27,MATCH(1,($B$8:$B$27=$C$46)*($C$8:$C$27=3),0),1),"")</f>
        <v/>
      </c>
      <c r="D52" s="172">
        <f>IFERROR(INDEX($B$8:$L$27,MATCH(1,($B$8:$B$27=$C$46)*($C$8:$C$27=3),0),3),"")</f>
        <v/>
      </c>
      <c r="E52" s="158">
        <f>IFERROR(INDEX($B$8:$L$27,MATCH(1,($B$8:$B$27=$C$46)*($C$8:$C$27=3),0),6),"")</f>
        <v/>
      </c>
      <c r="F52" s="158">
        <f>IFERROR(INDEX($B$8:$L$27,MATCH(1,($B$8:$B$27=$C$46)*($C$8:$C$27=3),0),7),"")</f>
        <v/>
      </c>
      <c r="G52" s="158">
        <f>IFERROR(INDEX($B$8:$L$27,MATCH(1,($B$8:$B$27=$C$46)*($C$8:$C$27=3),0),8),"")</f>
        <v/>
      </c>
      <c r="H52" s="182">
        <f>IFERROR(IF(IFERROR(INDEX($B$8:$L$27,MATCH(1,($B$8:$B$27=$C$46)*($C$8:$C$27=3),0),8),""),$E$46*IFERROR(INDEX($B$8:$L$27,MATCH(1,($B$8:$B$27=$C$46)*($C$8:$C$27=3),0),8),"")),"")</f>
        <v/>
      </c>
      <c r="I52" s="158">
        <f>IF(IFERROR(INDEX($B$8:$L$27,MATCH(1,($B$8:$B$27=$C$46)*($C$8:$C$27=3),0),1),"")="","",$I$46)</f>
        <v/>
      </c>
      <c r="J52" s="183">
        <f>IFERROR(INDEX($B$8:$L$27,MATCH(1,($B$8:$B$27=$C$46)*($C$8:$C$27=3),0),9),"")</f>
        <v/>
      </c>
      <c r="K52" s="176">
        <f>IFERROR(INDEX($B$8:$L$27,MATCH(1,($B$8:$B$27=$C$46)*($C$8:$C$27=3),0),11),"")</f>
        <v/>
      </c>
    </row>
    <row r="53">
      <c r="B53" s="173" t="n">
        <v>4</v>
      </c>
      <c r="C53" s="158">
        <f>IFERROR(INDEX($B$8:$L$27,MATCH(1,($B$8:$B$27=$C$46)*($C$8:$C$27=4),0),1),"")</f>
        <v/>
      </c>
      <c r="D53" s="172">
        <f>IFERROR(INDEX($B$8:$L$27,MATCH(1,($B$8:$B$27=$C$46)*($C$8:$C$27=4),0),3),"")</f>
        <v/>
      </c>
      <c r="E53" s="158">
        <f>IFERROR(INDEX($B$8:$L$27,MATCH(1,($B$8:$B$27=$C$46)*($C$8:$C$27=4),0),6),"")</f>
        <v/>
      </c>
      <c r="F53" s="158">
        <f>IFERROR(INDEX($B$8:$L$27,MATCH(1,($B$8:$B$27=$C$46)*($C$8:$C$27=4),0),7),"")</f>
        <v/>
      </c>
      <c r="G53" s="158">
        <f>IFERROR(INDEX($B$8:$L$27,MATCH(1,($B$8:$B$27=$C$46)*($C$8:$C$27=4),0),8),"")</f>
        <v/>
      </c>
      <c r="H53" s="182">
        <f>IFERROR(IF(IFERROR(INDEX($B$8:$L$27,MATCH(1,($B$8:$B$27=$C$46)*($C$8:$C$27=4),0),8),""),$E$46*IFERROR(INDEX($B$8:$L$27,MATCH(1,($B$8:$B$27=$C$46)*($C$8:$C$27=4),0),8),"")),"")</f>
        <v/>
      </c>
      <c r="I53" s="158">
        <f>IF(IFERROR(INDEX($B$8:$L$27,MATCH(1,($B$8:$B$27=$C$46)*($C$8:$C$27=4),0),1),"")="","",$I$46)</f>
        <v/>
      </c>
      <c r="J53" s="183">
        <f>IFERROR(INDEX($B$8:$L$27,MATCH(1,($B$8:$B$27=$C$46)*($C$8:$C$27=4),0),9),"")</f>
        <v/>
      </c>
      <c r="K53" s="176">
        <f>IFERROR(INDEX($B$8:$L$27,MATCH(1,($B$8:$B$27=$C$46)*($C$8:$C$27=4),0),11),"")</f>
        <v/>
      </c>
    </row>
    <row r="54">
      <c r="B54" s="173" t="n">
        <v>5</v>
      </c>
      <c r="C54" s="158">
        <f>IFERROR(INDEX($B$8:$L$27,MATCH(1,($B$8:$B$27=$C$46)*($C$8:$C$27=5),0),1),"")</f>
        <v/>
      </c>
      <c r="D54" s="172">
        <f>IFERROR(INDEX($B$8:$L$27,MATCH(1,($B$8:$B$27=$C$46)*($C$8:$C$27=5),0),3),"")</f>
        <v/>
      </c>
      <c r="E54" s="158">
        <f>IFERROR(INDEX($B$8:$L$27,MATCH(1,($B$8:$B$27=$C$46)*($C$8:$C$27=5),0),6),"")</f>
        <v/>
      </c>
      <c r="F54" s="158">
        <f>IFERROR(INDEX($B$8:$L$27,MATCH(1,($B$8:$B$27=$C$46)*($C$8:$C$27=5),0),7),"")</f>
        <v/>
      </c>
      <c r="G54" s="158">
        <f>IFERROR(INDEX($B$8:$L$27,MATCH(1,($B$8:$B$27=$C$46)*($C$8:$C$27=5),0),8),"")</f>
        <v/>
      </c>
      <c r="H54" s="182">
        <f>IFERROR(IF(IFERROR(INDEX($B$8:$L$27,MATCH(1,($B$8:$B$27=$C$46)*($C$8:$C$27=5),0),8),""),$E$46*IFERROR(INDEX($B$8:$L$27,MATCH(1,($B$8:$B$27=$C$46)*($C$8:$C$27=5),0),8),"")),"")</f>
        <v/>
      </c>
      <c r="I54" s="158">
        <f>IF(IFERROR(INDEX($B$8:$L$27,MATCH(1,($B$8:$B$27=$C$46)*($C$8:$C$27=5),0),1),"")="","",$I$46)</f>
        <v/>
      </c>
      <c r="J54" s="183">
        <f>IFERROR(INDEX($B$8:$L$27,MATCH(1,($B$8:$B$27=$C$46)*($C$8:$C$27=5),0),9),"")</f>
        <v/>
      </c>
      <c r="K54" s="176">
        <f>IFERROR(INDEX($B$8:$L$27,MATCH(1,($B$8:$B$27=$C$46)*($C$8:$C$27=5),0),11),"")</f>
        <v/>
      </c>
    </row>
    <row r="56" ht="30" customHeight="1" s="99">
      <c r="B56" s="184" t="inlineStr">
        <is>
          <t>Tip: change C46, E46, I46 above to size a different strategy. Blank rows mean the strategy has fewer impacts than the slot. Paste signed amounts into Y[year]!A6:F20 columns matching: Name → B, TargetLine → C, HelperTreatment (none today), Amount → D, Status → E.</t>
        </is>
      </c>
    </row>
    <row r="59">
      <c r="B59" s="171" t="inlineStr">
        <is>
          <t>▸ SECTION E — HOW TO USE THIS CATALOG</t>
        </is>
      </c>
    </row>
    <row r="61" ht="30" customHeight="1" s="99">
      <c r="B61" s="185" t="inlineStr">
        <is>
          <t>Today (Strategy Builder above):</t>
        </is>
      </c>
      <c r="C61" s="186" t="inlineStr">
        <is>
          <t>Pick STR-ID + Amount + Status above. Impact rows spill below with signed amounts. Copy to a year sheet.</t>
        </is>
      </c>
    </row>
    <row r="62" ht="30" customHeight="1" s="99">
      <c r="B62" s="185" t="inlineStr">
        <is>
          <t>Today (search):</t>
        </is>
      </c>
      <c r="C62" s="186" t="inlineStr">
        <is>
          <t>Filter the catalog table by Strategy_ID to see every strategy's impacts.</t>
        </is>
      </c>
    </row>
    <row r="63" ht="30" customHeight="1" s="99">
      <c r="B63" s="185" t="inlineStr">
        <is>
          <t>Today (validator on year sheets):</t>
        </is>
      </c>
      <c r="C63" s="186" t="inlineStr">
        <is>
          <t>Each year sheet now has columns M-O at the right showing what the catalog says about the strategy you typed. If it doesn't match, the catalog probably needs updating.</t>
        </is>
      </c>
    </row>
    <row r="64" ht="30" customHeight="1" s="99">
      <c r="B64" s="185" t="inlineStr">
        <is>
          <t>Next phase (auto-populate):</t>
        </is>
      </c>
      <c r="C64" s="186" t="inlineStr">
        <is>
          <t>Year sheet picks STR-ID from dropdown → FILTER returns impacts and amounts auto-spill into rows 6-20. Cap_Rule auto-enforces. Plan_Maturity blocks below-threshold commits.</t>
        </is>
      </c>
    </row>
    <row r="65" ht="30" customHeight="1" s="99">
      <c r="B65" s="185" t="inlineStr">
        <is>
          <t>Adding a new strategy:</t>
        </is>
      </c>
      <c r="C65" s="186" t="inlineStr">
        <is>
          <t>Add rows here first. Each impact = one row. Assign next available STR-NNN. Update Framework_Ref to reference it.</t>
        </is>
      </c>
    </row>
  </sheetData>
  <mergeCells count="23">
    <mergeCell ref="C61:L61"/>
    <mergeCell ref="B59:L59"/>
    <mergeCell ref="D41:L41"/>
    <mergeCell ref="C32:L32"/>
    <mergeCell ref="K54:L54"/>
    <mergeCell ref="B56:L56"/>
    <mergeCell ref="K51:L51"/>
    <mergeCell ref="B48:L48"/>
    <mergeCell ref="K50:L50"/>
    <mergeCell ref="C34:L34"/>
    <mergeCell ref="D39:L39"/>
    <mergeCell ref="C62:L62"/>
    <mergeCell ref="C33:L33"/>
    <mergeCell ref="K52:L52"/>
    <mergeCell ref="B44:L44"/>
    <mergeCell ref="C64:L64"/>
    <mergeCell ref="B37:L37"/>
    <mergeCell ref="C63:L63"/>
    <mergeCell ref="C65:L65"/>
    <mergeCell ref="K53:L53"/>
    <mergeCell ref="B30:L30"/>
    <mergeCell ref="B5:L5"/>
    <mergeCell ref="D40:L40"/>
  </mergeCells>
  <dataValidations count="2">
    <dataValidation sqref="C46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6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2026-05-19T15:19:56Z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
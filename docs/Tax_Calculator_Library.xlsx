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lculator" sheetId="2" state="visible" r:id="rId2"/>
    <sheet name="Setup_Guide" sheetId="3" state="visible" r:id="rId3"/>
    <sheet name="Tax_Ref" sheetId="4" state="visible" r:id="rId4"/>
    <sheet name="Master_Strategies" sheetId="5" state="visible" r:id="rId5"/>
  </sheets>
  <definedNames>
    <definedName name="Rate_FICA_Combined">0.153</definedName>
    <definedName name="Rate_NIIT">0.038</definedName>
    <definedName name="Rate_SE_Deduction">0.9235</definedName>
    <definedName name="Rate_SE_SS">0.124</definedName>
    <definedName name="Rate_SE_Medicare">0.029</definedName>
    <definedName name="TAX_ORD">_xlfn.LAMBDA(ti,yr,fs,_xlfn.LET(r,MATCH(1,(tblBrackets_FIT[Year]=yr)*(tblBrackets_FIT[FilingStatus]=fs)*(tblBrackets_FIT[Lower]&lt;=ti)*(tblBrackets_FIT[Upper]&gt;ti),0),MAX(0,(ti-INDEX(tblBrackets_FIT[Lower],r))*INDEX(tblBrackets_FIT[Rate],r)+INDEX(tblBrackets_FIT[Add_To],r))))</definedName>
    <definedName name="TAX_CG">_xlfn.LAMBDA(cg,ti,yr,fs,_xlfn.LET(r,MATCH(1,(tblBrackets_LTCG[Year]=yr)*(tblBrackets_LTCG[FilingStatus]=fs)*(tblBrackets_LTCG[Lower]&lt;=ti)*(tblBrackets_LTCG[Upper]&gt;ti),0),cg*INDEX(tblBrackets_LTCG[Rate],r)))</definedName>
    <definedName name="TAX_NIIT">_xlfn.LAMBDA(nii,magi,fs,yr,_xlfn.LET(th,INDEX(tblThresholds[Value],MATCH(1,(tblThresholds[Item]="NIIT_Threshold")*(tblThresholds[Year]=yr)*(tblThresholds[FilingStatus]=fs),0)),MAX(0,MIN(nii,magi-th))*Rate_NIIT))</definedName>
    <definedName name="TAX_SE">_xlfn.LAMBDA(se,yr,_xlfn.LET(b,se*Rate_SE_Deduction,c,INDEX(tblThresholds[Value],MATCH(1,(tblThresholds[Item]="SS_Wage_Base")*(tblThresholds[Year]=yr),0)),MIN(b,c)*Rate_SE_SS+b*Rate_SE_Medicare))</definedName>
    <definedName name="STD_DED">_xlfn.LAMBDA(yr,fs,INDEX(tblStdDed[Amount],MATCH(1,(tblStdDed[Year]=yr)*(tblStdDed[FilingStatus]=fs),0)))</definedName>
    <definedName name="TAX_STATE">_xlfn.LAMBDA(ti,st,ti*_xlfn.XLOOKUP(st,tblStateRates[State],tblStateRates[Top_Marginal_Rate],0))</definedName>
    <definedName name="fn_StrategyMarginal">_xlfn.LAMBDA(tl,amt,cl,yr,fs,ti,_xlfn.LET(pd,-amt,pf,IF(OR(tl="—",tl=""),0,IF(tl="20",pd,IF(tl="7",TAX_CG(pd,ti+pd,yr,fs),TAX_ORD(ti+pd,yr,fs)-TAX_ORD(ti,yr,fs)))),pfica,IF(tl="1z",pd*Rate_FICA_Combined,0),hc,AND(cl&lt;&gt;"",cl&lt;&gt;0),cd,IF(hc,amt,0),cf,IF(NOT(hc),0,IF(cl="20",cd,IF(cl="7",TAX_CG(cd,ti+cd,yr,fs),TAX_ORD(ti+cd,yr,fs)-TAX_ORD(ti,yr,fs)))),cfica,IF(AND(hc,cl="1z"),cd*Rate_FICA_Combined,0),pf+pfica+cf+cfica))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&quot;$&quot;#,##0;(&quot;$&quot;#,##0);&quot;-&quot;"/>
  </numFmts>
  <fonts count="27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color rgb="007F7F7F"/>
      <sz val="10"/>
    </font>
    <font>
      <name val="Calibri"/>
      <b val="1"/>
      <color rgb="001F4E79"/>
      <sz val="12"/>
    </font>
    <font>
      <name val="Calibri"/>
      <sz val="10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7F7F7F"/>
      <sz val="9"/>
    </font>
    <font>
      <name val="Calibri"/>
      <b val="1"/>
      <color rgb="00FFFFFF"/>
      <sz val="10"/>
    </font>
    <font>
      <name val="Calibri"/>
      <i val="1"/>
      <color rgb="003F3F3F"/>
      <sz val="9"/>
    </font>
    <font>
      <name val="Calibri"/>
      <b val="1"/>
      <sz val="10"/>
    </font>
    <font>
      <name val="Calibri"/>
      <b val="1"/>
      <color rgb="001F4E79"/>
      <sz val="11"/>
    </font>
    <font>
      <name val="Calibri"/>
      <i val="1"/>
      <color rgb="00C00000"/>
      <sz val="9"/>
    </font>
    <font>
      <name val="Calibri"/>
      <i val="1"/>
      <color rgb="003F3F3F"/>
      <sz val="10"/>
    </font>
    <font>
      <name val="Calibri"/>
      <b val="1"/>
      <color rgb="001F4E79"/>
      <sz val="10"/>
    </font>
    <font>
      <name val="Calibri"/>
      <i val="1"/>
      <sz val="9"/>
    </font>
    <font>
      <name val="Calibri"/>
      <b val="1"/>
      <color rgb="00C00000"/>
      <sz val="9"/>
    </font>
    <font>
      <b val="1"/>
    </font>
    <font>
      <b val="1"/>
      <sz val="12"/>
    </font>
    <font>
      <b val="1"/>
      <color rgb="001F4E79"/>
      <sz val="12"/>
    </font>
    <font>
      <color rgb="001F4E79"/>
    </font>
    <font>
      <name val="Consolas"/>
      <sz val="9"/>
    </font>
    <font>
      <name val="Consolas"/>
      <color rgb="001F4E79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1" fontId="15" fillId="4" borderId="2" applyAlignment="1" pivotButton="0" quotePrefix="0" xfId="0">
      <alignment horizontal="center" vertical="center"/>
    </xf>
    <xf numFmtId="49" fontId="15" fillId="4" borderId="2" applyAlignment="1" pivotButton="0" quotePrefix="0" xfId="0">
      <alignment horizontal="center" vertical="center"/>
    </xf>
    <xf numFmtId="164" fontId="15" fillId="4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/>
    </xf>
    <xf numFmtId="164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165" fontId="24" fillId="0" borderId="2" applyAlignment="1" pivotButton="0" quotePrefix="0" xfId="0">
      <alignment horizontal="right" vertical="center"/>
    </xf>
    <xf numFmtId="0" fontId="22" fillId="0" borderId="0" applyAlignment="1" pivotButton="0" quotePrefix="0" xfId="0">
      <alignment horizontal="right" vertical="center"/>
    </xf>
    <xf numFmtId="165" fontId="23" fillId="7" borderId="2" applyAlignment="1" pivotButton="0" quotePrefix="0" xfId="0">
      <alignment horizontal="right" vertical="center"/>
    </xf>
    <xf numFmtId="0" fontId="15" fillId="0" borderId="0" pivotButton="0" quotePrefix="0" xfId="0"/>
    <xf numFmtId="0" fontId="25" fillId="0" borderId="0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8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" fontId="7" fillId="0" borderId="1" pivotButton="0" quotePrefix="0" xfId="0"/>
    <xf numFmtId="3" fontId="0" fillId="0" borderId="0" pivotButton="0" quotePrefix="0" xfId="0"/>
    <xf numFmtId="3" fontId="9" fillId="0" borderId="0" pivotButton="0" quotePrefix="0" xfId="0"/>
    <xf numFmtId="3" fontId="7" fillId="0" borderId="1" pivotButton="0" quotePrefix="0" xfId="0"/>
    <xf numFmtId="0" fontId="9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11" fillId="0" borderId="0" pivotButton="0" quotePrefix="0" xfId="0"/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0" fontId="14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5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right" vertical="center"/>
    </xf>
    <xf numFmtId="0" fontId="15" fillId="4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7" fillId="0" borderId="0" pivotButton="0" quotePrefix="0" xfId="0"/>
    <xf numFmtId="166" fontId="18" fillId="0" borderId="2" applyAlignment="1" pivotButton="0" quotePrefix="0" xfId="0">
      <alignment horizontal="right" vertical="center"/>
    </xf>
    <xf numFmtId="0" fontId="19" fillId="0" borderId="2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20" fillId="6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Brackets_FIT" displayName="tblBrackets_FIT" ref="B8:G176" headerRowCount="1">
  <autoFilter ref="B8:G176"/>
  <tableColumns count="6">
    <tableColumn id="2" name="Year"/>
    <tableColumn id="3" name="FilingStatus"/>
    <tableColumn id="4" name="Lower"/>
    <tableColumn id="5" name="Upper"/>
    <tableColumn id="6" name="Rate"/>
    <tableColumn id="7" name="Add_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StdDed" displayName="tblStdDed" ref="B181:D205" headerRowCount="1">
  <autoFilter ref="B181:D205"/>
  <tableColumns count="3">
    <tableColumn id="2" name="Year"/>
    <tableColumn id="3" name="FilingStatus"/>
    <tableColumn id="4" name="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Brackets_LTCG" displayName="tblBrackets_LTCG" ref="B209:F281" headerRowCount="1">
  <autoFilter ref="B209:F281"/>
  <tableColumns count="5">
    <tableColumn id="2" name="Year"/>
    <tableColumn id="3" name="FilingStatus"/>
    <tableColumn id="4" name="Lower"/>
    <tableColumn id="5" name="Upper"/>
    <tableColumn id="6" name="R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Thresholds" displayName="tblThresholds" ref="B285:E573" headerRowCount="1">
  <autoFilter ref="B285:E573"/>
  <tableColumns count="4">
    <tableColumn id="2" name="Year"/>
    <tableColumn id="3" name="FilingStatus"/>
    <tableColumn id="4" name="Item"/>
    <tableColumn id="5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TreatmentProfileMap" displayName="tblTreatmentProfileMap" ref="B578:J612" headerRowCount="1">
  <autoFilter ref="B578:J612"/>
  <tableColumns count="9">
    <tableColumn id="2" name="Profile"/>
    <tableColumn id="3" name="Bucket"/>
    <tableColumn id="4" name="SE_Subject"/>
    <tableColumn id="5" name="NIIT_Class"/>
    <tableColumn id="6" name="QBI_Eligible"/>
    <tableColumn id="7" name="Primary_Line"/>
    <tableColumn id="8" name="Helper_Treatment"/>
    <tableColumn id="9" name="Consider_Prompt"/>
    <tableColumn id="10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StateRates" displayName="tblStateRates" ref="B618:F669" headerRowCount="1">
  <autoFilter ref="B618:F669"/>
  <tableColumns count="5">
    <tableColumn id="2" name="State"/>
    <tableColumn id="3" name="Top_Marginal_Rate"/>
    <tableColumn id="4" name="Has_PTET"/>
    <tableColumn id="5" name="PTET_Rate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MasterStrategies" displayName="tblMasterStrategies" ref="B7:L26" headerRowCount="1">
  <autoFilter ref="B7:L26"/>
  <tableColumns count="11">
    <tableColumn id="2" name="Strategy_ID"/>
    <tableColumn id="3" name="Impact_Num"/>
    <tableColumn id="4" name="Strategy_Name"/>
    <tableColumn id="5" name="Bucket"/>
    <tableColumn id="6" name="Framework_Ref"/>
    <tableColumn id="7" name="TargetLine"/>
    <tableColumn id="8" name="HelperTreatment"/>
    <tableColumn id="9" name="Sign"/>
    <tableColumn id="10" name="Cap_Rule"/>
    <tableColumn id="11" name="Plan_Maturity_Min"/>
    <tableColumn id="1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 ht="26" customHeight="1">
      <c r="B2" s="1" t="inlineStr">
        <is>
          <t>TAX CALCULATOR LIBRARY</t>
        </is>
      </c>
    </row>
    <row r="3">
      <c r="B3" s="2" t="inlineStr">
        <is>
          <t>Standalone reference + LAMBDA function library for U.S. federal &amp; state tax calculations (2023-2028).</t>
        </is>
      </c>
    </row>
    <row r="5">
      <c r="B5" s="3" t="inlineStr">
        <is>
          <t>▸ WHAT THIS IS</t>
        </is>
      </c>
    </row>
    <row r="6" ht="60" customHeight="1">
      <c r="B6" s="4" t="inlineStr">
        <is>
          <t>Portable single-file tax calculator. Includes bracket tables for ordinary income, LTCG, NIIT thresholds, SS wage base, std deduction, and state top marginal rates + PTET eligibility. Wraps them in LAMBDA functions you call from any cell.</t>
        </is>
      </c>
    </row>
    <row r="8">
      <c r="B8" s="3" t="inlineStr">
        <is>
          <t>▸ USE STANDALONE</t>
        </is>
      </c>
    </row>
    <row r="9" ht="60" customHeight="1">
      <c r="B9" s="4" t="inlineStr">
        <is>
          <t>Open in Excel 365 / 2021+. Go to the Calculator tab — type into yellow inputs and watch results compute via LAMBDAs. Or call =TAX_ORD(100000, 2025, "MFJ") in any cell.</t>
        </is>
      </c>
    </row>
    <row r="11">
      <c r="B11" s="3" t="inlineStr">
        <is>
          <t>▸ USE FROM ANOTHER WORKBOOK</t>
        </is>
      </c>
    </row>
    <row r="12" ht="60" customHeight="1">
      <c r="B12" s="4" t="inlineStr">
        <is>
          <t>Recommended: copy the 7 named LAMBDAs from this workbook's Name Manager into yours. Required tables (tblBrackets_FIT, tblBrackets_LTCG, tblStdDed, tblThresholds, tblStateRates) must exist in the destination with matching column names.</t>
        </is>
      </c>
    </row>
    <row r="14">
      <c r="B14" s="3" t="inlineStr">
        <is>
          <t>▸ LAMBDAs INCLUDED</t>
        </is>
      </c>
    </row>
    <row r="15" ht="60" customHeight="1">
      <c r="B15" s="4" t="inlineStr">
        <is>
          <t>STD_DED(year, fs)
TAX_ORD(taxable_income, year, fs)
TAX_CG(cg, taxable_income, year, fs)
TAX_NIIT(nii, magi, fs, year)
TAX_SE(net_se_earnings, year)
TAX_STATE(taxable_income, state)
fn_StrategyMarginal(target_line, amount, counter_line, year, fs, ti)</t>
        </is>
      </c>
    </row>
    <row r="17">
      <c r="B17" s="3" t="inlineStr">
        <is>
          <t>▸ KNOWLEDGE BASE INCLUDED</t>
        </is>
      </c>
    </row>
    <row r="18" ht="60" customHeight="1">
      <c r="B18" s="4" t="inlineStr">
        <is>
          <t>tblBrackets_FIT, tblBrackets_LTCG, tblStdDed, tblThresholds, tblStateRates, tblMasterStrategies</t>
        </is>
      </c>
    </row>
    <row r="20">
      <c r="B20" s="3" t="inlineStr">
        <is>
          <t>▸ DEPENDENCIES</t>
        </is>
      </c>
    </row>
    <row r="21" ht="60" customHeight="1">
      <c r="B21" s="4" t="inlineStr">
        <is>
          <t>Excel 365 or Excel 2021+ (LAMBDA, LET, XLOOKUP, INDEX/MATCH array support).</t>
        </is>
      </c>
    </row>
    <row r="23">
      <c r="B23" s="3" t="inlineStr">
        <is>
          <t>▸ IF LAMBDAS SHOW #NAME?</t>
        </is>
      </c>
    </row>
    <row r="24" ht="60" customHeight="1">
      <c r="B24" s="4" t="inlineStr">
        <is>
          <t>openpyxl may not store LAMBDA syntax exactly the way Excel wants. Go to Setup_Guide sheet, copy each LAMBDA body, paste into Name Manager (Ctrl+F3 → New → paste body including leading "="). Excel will write proper internal syntax.</t>
        </is>
      </c>
    </row>
  </sheetData>
  <mergeCells count="7">
    <mergeCell ref="B18:H18"/>
    <mergeCell ref="B9:H9"/>
    <mergeCell ref="B21:H21"/>
    <mergeCell ref="B12:H12"/>
    <mergeCell ref="B6:H6"/>
    <mergeCell ref="B24:H24"/>
    <mergeCell ref="B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2" ht="26" customHeight="1">
      <c r="B2" s="1" t="inlineStr">
        <is>
          <t>TAX CALCULATOR — Live</t>
        </is>
      </c>
    </row>
    <row r="3">
      <c r="B3" s="2" t="inlineStr">
        <is>
          <t>Type values in the yellow cells. LAMBDA functions compute results below.</t>
        </is>
      </c>
    </row>
    <row r="5">
      <c r="B5" s="5" t="inlineStr">
        <is>
          <t>▸ INPUTS</t>
        </is>
      </c>
    </row>
    <row r="7">
      <c r="B7" s="6" t="inlineStr">
        <is>
          <t>Year</t>
        </is>
      </c>
      <c r="C7" s="7" t="n">
        <v>2025</v>
      </c>
    </row>
    <row r="8">
      <c r="B8" s="6" t="inlineStr">
        <is>
          <t>Filing Status</t>
        </is>
      </c>
      <c r="C8" s="8" t="inlineStr">
        <is>
          <t>MFJ</t>
        </is>
      </c>
    </row>
    <row r="9">
      <c r="B9" s="6" t="inlineStr">
        <is>
          <t>State</t>
        </is>
      </c>
      <c r="C9" s="8" t="inlineStr">
        <is>
          <t>UT</t>
        </is>
      </c>
    </row>
    <row r="10">
      <c r="B10" s="6" t="inlineStr">
        <is>
          <t>Wages (1z)</t>
        </is>
      </c>
      <c r="C10" s="9" t="n">
        <v>100000</v>
      </c>
    </row>
    <row r="11">
      <c r="B11" s="6" t="inlineStr">
        <is>
          <t>Business Income (8)</t>
        </is>
      </c>
      <c r="C11" s="9" t="n">
        <v>150000</v>
      </c>
    </row>
    <row r="12">
      <c r="B12" s="6" t="inlineStr">
        <is>
          <t>Capital Gains (7)</t>
        </is>
      </c>
      <c r="C12" s="9" t="n">
        <v>50000</v>
      </c>
    </row>
    <row r="13">
      <c r="B13" s="6" t="inlineStr">
        <is>
          <t>Investment Income (NIIT-base)</t>
        </is>
      </c>
      <c r="C13" s="9" t="n">
        <v>30000</v>
      </c>
    </row>
    <row r="14">
      <c r="B14" s="6" t="inlineStr">
        <is>
          <t>SE Net Earnings</t>
        </is>
      </c>
      <c r="C14" s="9" t="n">
        <v>0</v>
      </c>
    </row>
    <row r="16">
      <c r="B16" s="10" t="inlineStr">
        <is>
          <t>Total Income</t>
        </is>
      </c>
      <c r="C16" s="11">
        <f>C10+C11+C12+C13</f>
        <v/>
      </c>
    </row>
    <row r="17">
      <c r="B17" s="10" t="inlineStr">
        <is>
          <t>Std Deduction</t>
        </is>
      </c>
      <c r="C17" s="11">
        <f>STD_DED(C7,C8)</f>
        <v/>
      </c>
      <c r="D17" s="2" t="inlineStr">
        <is>
          <t>← via LAMBDA</t>
        </is>
      </c>
    </row>
    <row r="18">
      <c r="B18" s="10" t="inlineStr">
        <is>
          <t>Taxable Income</t>
        </is>
      </c>
      <c r="C18" s="11">
        <f>MAX(0,C16-C17)</f>
        <v/>
      </c>
    </row>
    <row r="20">
      <c r="B20" s="5" t="inlineStr">
        <is>
          <t>▸ TAX RESULTS (via LAMBDAs)</t>
        </is>
      </c>
    </row>
    <row r="22">
      <c r="B22" s="12" t="inlineStr">
        <is>
          <t>Federal Ordinary Tax</t>
        </is>
      </c>
      <c r="C22" s="13">
        <f>TAX_ORD(C18,C7,C8)</f>
        <v/>
      </c>
    </row>
    <row r="23">
      <c r="B23" s="12" t="inlineStr">
        <is>
          <t>Federal Capital Gains Tax</t>
        </is>
      </c>
      <c r="C23" s="13">
        <f>TAX_CG(C12,C18,C7,C8)</f>
        <v/>
      </c>
    </row>
    <row r="24">
      <c r="B24" s="12" t="inlineStr">
        <is>
          <t>Federal NIIT</t>
        </is>
      </c>
      <c r="C24" s="13">
        <f>TAX_NIIT(C13,C16,C8,C7)</f>
        <v/>
      </c>
    </row>
    <row r="25">
      <c r="B25" s="12" t="inlineStr">
        <is>
          <t>Self-Employment Tax</t>
        </is>
      </c>
      <c r="C25" s="13">
        <f>TAX_SE(C14,C7)</f>
        <v/>
      </c>
    </row>
    <row r="26">
      <c r="B26" s="12" t="inlineStr">
        <is>
          <t>State Tax</t>
        </is>
      </c>
      <c r="C26" s="13">
        <f>TAX_STATE(C18,C9)</f>
        <v/>
      </c>
    </row>
    <row r="27">
      <c r="B27" s="14" t="inlineStr">
        <is>
          <t>TOTAL TAX</t>
        </is>
      </c>
      <c r="C27" s="15">
        <f>SUM(C22:C26)</f>
        <v/>
      </c>
    </row>
  </sheetData>
  <mergeCells count="2">
    <mergeCell ref="B20:F20"/>
    <mergeCell ref="B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F7F7F"/>
    <outlinePr summaryBelow="1" summaryRight="1"/>
    <pageSetUpPr/>
  </sheetPr>
  <dimension ref="B2:G3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6" customHeight="1">
      <c r="B2" s="1" t="inlineStr">
        <is>
          <t>SETUP GUIDE — LAMBDA paste bodies</t>
        </is>
      </c>
    </row>
    <row r="3">
      <c r="B3" s="2" t="inlineStr">
        <is>
          <t>If the LAMBDAs show #NAME?, paste each body below into Name Manager (Ctrl+F3 → New). When YOU paste, Excel writes proper internal syntax (including _xlpm. parameter markers).</t>
        </is>
      </c>
    </row>
    <row r="5">
      <c r="B5" s="16" t="inlineStr">
        <is>
          <t>STD_DED</t>
        </is>
      </c>
    </row>
    <row r="6" ht="110" customHeight="1">
      <c r="B6" s="17">
        <f>LAMBDA(yr, fs,
  INDEX(tblStdDed[Amount],
    MATCH(1, (tblStdDed[Year]=yr)*(tblStdDed[FilingStatus]=fs), 0)))</f>
        <v/>
      </c>
    </row>
    <row r="8">
      <c r="B8" s="16" t="inlineStr">
        <is>
          <t>TAX_ORD</t>
        </is>
      </c>
    </row>
    <row r="9" ht="110" customHeight="1">
      <c r="B9" s="17">
        <f>LAMBDA(ti, yr, fs,
  LET(
    r, MATCH(1, (tblBrackets_FIT[Year]=yr) * (tblBrackets_FIT[FilingStatus]=fs)
              * (tblBrackets_FIT[Lower]&lt;=ti) * (tblBrackets_FIT[Upper]&gt;ti), 0),
    MAX(0, (ti - INDEX(tblBrackets_FIT[Lower], r)) * INDEX(tblBrackets_FIT[Rate], r)
           + INDEX(tblBrackets_FIT[Add_To], r))))</f>
        <v/>
      </c>
    </row>
    <row r="11">
      <c r="B11" s="16" t="inlineStr">
        <is>
          <t>TAX_CG</t>
        </is>
      </c>
    </row>
    <row r="12" ht="110" customHeight="1">
      <c r="B12" s="17">
        <f>LAMBDA(cg, ti, yr, fs,
  LET(
    r, MATCH(1, (tblBrackets_LTCG[Year]=yr) * (tblBrackets_LTCG[FilingStatus]=fs)
              * (tblBrackets_LTCG[Lower]&lt;=ti) * (tblBrackets_LTCG[Upper]&gt;ti), 0),
    cg * INDEX(tblBrackets_LTCG[Rate], r)))</f>
        <v/>
      </c>
    </row>
    <row r="14">
      <c r="B14" s="16" t="inlineStr">
        <is>
          <t>TAX_NIIT</t>
        </is>
      </c>
    </row>
    <row r="15" ht="110" customHeight="1">
      <c r="B15" s="17">
        <f>LAMBDA(nii, magi, fs, yr,
  LET(
    th, INDEX(tblThresholds[Value],
          MATCH(1, (tblThresholds[Item]="NIIT_Threshold") * (tblThresholds[Year]=yr)
                 * (tblThresholds[FilingStatus]=fs), 0)),
    MAX(0, MIN(nii, magi - th)) * 0.038))</f>
        <v/>
      </c>
    </row>
    <row r="17">
      <c r="B17" s="16" t="inlineStr">
        <is>
          <t>TAX_SE</t>
        </is>
      </c>
    </row>
    <row r="18" ht="110" customHeight="1">
      <c r="B18" s="17">
        <f>LAMBDA(se, yr,
  LET(
    b, se * 0.9235,
    c, INDEX(tblThresholds[Value],
         MATCH(1, (tblThresholds[Item]="SS_Wage_Base") * (tblThresholds[Year]=yr), 0)),
    MIN(b, c) * 0.124 + b * 0.029))</f>
        <v/>
      </c>
    </row>
    <row r="20">
      <c r="B20" s="16" t="inlineStr">
        <is>
          <t>TAX_STATE</t>
        </is>
      </c>
    </row>
    <row r="21" ht="110" customHeight="1">
      <c r="B21" s="17">
        <f>LAMBDA(ti, st,
  ti * XLOOKUP(st, tblStateRates[State], tblStateRates[Top_Marginal_Rate], 0))</f>
        <v/>
      </c>
    </row>
    <row r="23">
      <c r="B23" s="16" t="inlineStr">
        <is>
          <t>fn_StrategyMarginal</t>
        </is>
      </c>
    </row>
    <row r="24" ht="110" customHeight="1">
      <c r="B24" s="17">
        <f>LAMBDA(tl, amt, cl, yr, fs, ti,
  LET(
    pd, -amt,
    pf, IF(OR(tl="—", tl=""), 0,
        IF(tl="20", pd,
        IF(tl="7", TAX_CG(pd, ti+pd, yr, fs),
          TAX_ORD(ti+pd, yr, fs) - TAX_ORD(ti, yr, fs)))),
    pfica, IF(tl="1z", pd*0.153, 0),
    hc, AND(cl&lt;&gt;"", cl&lt;&gt;0),
    cd, IF(hc, amt, 0),
    cf, IF(NOT(hc), 0,
        IF(cl="20", cd,
        IF(cl="7", TAX_CG(cd, ti+cd, yr, fs),
          TAX_ORD(ti+cd, yr, fs) - TAX_ORD(ti, yr, fs)))),
    cfica, IF(AND(hc, cl="1z"), cd*0.153, 0),
    pf + pfica + cf + cfica))</f>
        <v/>
      </c>
    </row>
    <row r="26">
      <c r="B26" s="5" t="inlineStr">
        <is>
          <t>▸ TEST CALLS</t>
        </is>
      </c>
    </row>
    <row r="28">
      <c r="B28" s="18" t="inlineStr">
        <is>
          <t>Call</t>
        </is>
      </c>
      <c r="C28" s="18" t="inlineStr">
        <is>
          <t>Expected</t>
        </is>
      </c>
    </row>
    <row r="29">
      <c r="B29" s="19">
        <f>STD_DED(2025,"MFJ")</f>
        <v/>
      </c>
      <c r="C29" s="20" t="inlineStr">
        <is>
          <t>31,500</t>
        </is>
      </c>
    </row>
    <row r="30">
      <c r="B30" s="19">
        <f>TAX_ORD(100000,2025,"MFJ")</f>
        <v/>
      </c>
      <c r="C30" s="20" t="inlineStr">
        <is>
          <t>11,828</t>
        </is>
      </c>
    </row>
    <row r="31">
      <c r="B31" s="19">
        <f>TAX_CG(50000,200000,2025,"MFJ")</f>
        <v/>
      </c>
      <c r="C31" s="20" t="inlineStr">
        <is>
          <t>7,500</t>
        </is>
      </c>
    </row>
    <row r="32">
      <c r="B32" s="19">
        <f>TAX_NIIT(50000,300000,"MFJ",2025)</f>
        <v/>
      </c>
      <c r="C32" s="20" t="inlineStr">
        <is>
          <t>1,900</t>
        </is>
      </c>
    </row>
    <row r="33">
      <c r="B33" s="19">
        <f>TAX_SE(100000,2025)</f>
        <v/>
      </c>
      <c r="C33" s="20" t="inlineStr">
        <is>
          <t>14,130</t>
        </is>
      </c>
    </row>
    <row r="34">
      <c r="B34" s="19">
        <f>TAX_STATE(200000,"UT")</f>
        <v/>
      </c>
      <c r="C34" s="20" t="inlineStr">
        <is>
          <t>9,300</t>
        </is>
      </c>
    </row>
    <row r="35">
      <c r="B35" s="19">
        <f>fn_StrategyMarginal("1z",-25000,8,2025,"MFJ",200000)</f>
        <v/>
      </c>
      <c r="C35" s="20" t="inlineStr">
        <is>
          <t>~3,825</t>
        </is>
      </c>
    </row>
  </sheetData>
  <mergeCells count="8">
    <mergeCell ref="B24:G24"/>
    <mergeCell ref="B9:G9"/>
    <mergeCell ref="B26:G26"/>
    <mergeCell ref="B18:G18"/>
    <mergeCell ref="B12:G12"/>
    <mergeCell ref="B21:G21"/>
    <mergeCell ref="B15:G15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J669"/>
  <sheetViews>
    <sheetView workbookViewId="0">
      <selection activeCell="A1" sqref="A1"/>
    </sheetView>
  </sheetViews>
  <sheetFormatPr baseColWidth="8" defaultRowHeight="15"/>
  <cols>
    <col width="3.6328125" customWidth="1" min="1" max="1"/>
    <col width="10.90625" customWidth="1" min="2" max="2"/>
    <col width="16.36328125" customWidth="1" min="3" max="3"/>
    <col width="18.1796875" customWidth="1" min="4" max="4"/>
    <col width="50" customWidth="1" min="6" max="6"/>
    <col width="18.1796875" customWidth="1" min="7" max="7"/>
    <col width="10.36328125" customWidth="1" min="8" max="8"/>
  </cols>
  <sheetData>
    <row r="1"/>
    <row r="2">
      <c r="B2" s="21" t="inlineStr">
        <is>
          <t>TAX REFERENCE — IRS Rate Tables</t>
        </is>
      </c>
    </row>
    <row r="3">
      <c r="B3" s="22" t="inlineStr">
        <is>
          <t>Structured tables for bracket lookups. Add new year rows when IRS publishes inflation adjustments.</t>
        </is>
      </c>
    </row>
    <row r="4"/>
    <row r="5">
      <c r="B5" s="23" t="inlineStr">
        <is>
          <t>tblBrackets_FIT — Progressive Ordinary Income Brackets (2023–2028)</t>
        </is>
      </c>
    </row>
    <row r="6">
      <c r="B6" s="24" t="inlineStr">
        <is>
          <t>2027–2028 are projected (= 2026 values). Update when IRS publishes. 2025 std deduction updated per OBBBA.</t>
        </is>
      </c>
    </row>
    <row r="7"/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5" t="n">
        <v>2023</v>
      </c>
      <c r="C9" s="26" t="inlineStr">
        <is>
          <t>MFJ</t>
        </is>
      </c>
      <c r="D9" s="11" t="n">
        <v>0</v>
      </c>
      <c r="E9" s="11" t="n">
        <v>22000</v>
      </c>
      <c r="F9" s="27" t="n">
        <v>0.1</v>
      </c>
      <c r="G9" s="28" t="n">
        <v>0</v>
      </c>
    </row>
    <row r="10">
      <c r="B10" s="25" t="n">
        <v>2023</v>
      </c>
      <c r="C10" s="26" t="inlineStr">
        <is>
          <t>MFJ</t>
        </is>
      </c>
      <c r="D10" s="11" t="n">
        <v>22000</v>
      </c>
      <c r="E10" s="11" t="n">
        <v>89450</v>
      </c>
      <c r="F10" s="27" t="n">
        <v>0.12</v>
      </c>
      <c r="G10" s="28" t="n">
        <v>2200</v>
      </c>
    </row>
    <row r="11">
      <c r="B11" s="25" t="n">
        <v>2023</v>
      </c>
      <c r="C11" s="26" t="inlineStr">
        <is>
          <t>MFJ</t>
        </is>
      </c>
      <c r="D11" s="11" t="n">
        <v>89450</v>
      </c>
      <c r="E11" s="11" t="n">
        <v>190750</v>
      </c>
      <c r="F11" s="27" t="n">
        <v>0.22</v>
      </c>
      <c r="G11" s="28" t="n">
        <v>10294</v>
      </c>
    </row>
    <row r="12">
      <c r="B12" s="25" t="n">
        <v>2023</v>
      </c>
      <c r="C12" s="26" t="inlineStr">
        <is>
          <t>MFJ</t>
        </is>
      </c>
      <c r="D12" s="11" t="n">
        <v>190750</v>
      </c>
      <c r="E12" s="11" t="n">
        <v>364200</v>
      </c>
      <c r="F12" s="27" t="n">
        <v>0.24</v>
      </c>
      <c r="G12" s="28" t="n">
        <v>32580</v>
      </c>
    </row>
    <row r="13">
      <c r="B13" s="25" t="n">
        <v>2023</v>
      </c>
      <c r="C13" s="26" t="inlineStr">
        <is>
          <t>MFJ</t>
        </is>
      </c>
      <c r="D13" s="11" t="n">
        <v>364200</v>
      </c>
      <c r="E13" s="11" t="n">
        <v>462500</v>
      </c>
      <c r="F13" s="27" t="n">
        <v>0.32</v>
      </c>
      <c r="G13" s="28" t="n">
        <v>74208</v>
      </c>
    </row>
    <row r="14">
      <c r="B14" s="25" t="n">
        <v>2023</v>
      </c>
      <c r="C14" s="26" t="inlineStr">
        <is>
          <t>MFJ</t>
        </is>
      </c>
      <c r="D14" s="11" t="n">
        <v>462500</v>
      </c>
      <c r="E14" s="11" t="n">
        <v>693750</v>
      </c>
      <c r="F14" s="27" t="n">
        <v>0.35</v>
      </c>
      <c r="G14" s="28" t="n">
        <v>105664</v>
      </c>
    </row>
    <row r="15">
      <c r="B15" s="25" t="n">
        <v>2023</v>
      </c>
      <c r="C15" s="26" t="inlineStr">
        <is>
          <t>MFJ</t>
        </is>
      </c>
      <c r="D15" s="11" t="n">
        <v>693750</v>
      </c>
      <c r="E15" s="11" t="n">
        <v>9999999</v>
      </c>
      <c r="F15" s="27" t="n">
        <v>0.37</v>
      </c>
      <c r="G15" s="28" t="n">
        <v>186601.5</v>
      </c>
    </row>
    <row r="16">
      <c r="B16" s="25" t="n">
        <v>2023</v>
      </c>
      <c r="C16" s="26" t="inlineStr">
        <is>
          <t>Single</t>
        </is>
      </c>
      <c r="D16" s="11" t="n">
        <v>0</v>
      </c>
      <c r="E16" s="11" t="n">
        <v>11000</v>
      </c>
      <c r="F16" s="27" t="n">
        <v>0.1</v>
      </c>
      <c r="G16" s="28" t="n">
        <v>0</v>
      </c>
    </row>
    <row r="17">
      <c r="B17" s="25" t="n">
        <v>2023</v>
      </c>
      <c r="C17" s="26" t="inlineStr">
        <is>
          <t>Single</t>
        </is>
      </c>
      <c r="D17" s="11" t="n">
        <v>11000</v>
      </c>
      <c r="E17" s="11" t="n">
        <v>44725</v>
      </c>
      <c r="F17" s="27" t="n">
        <v>0.12</v>
      </c>
      <c r="G17" s="28" t="n">
        <v>1100</v>
      </c>
    </row>
    <row r="18">
      <c r="B18" s="25" t="n">
        <v>2023</v>
      </c>
      <c r="C18" s="26" t="inlineStr">
        <is>
          <t>Single</t>
        </is>
      </c>
      <c r="D18" s="11" t="n">
        <v>44725</v>
      </c>
      <c r="E18" s="11" t="n">
        <v>95375</v>
      </c>
      <c r="F18" s="27" t="n">
        <v>0.22</v>
      </c>
      <c r="G18" s="28" t="n">
        <v>5147</v>
      </c>
    </row>
    <row r="19">
      <c r="B19" s="25" t="n">
        <v>2023</v>
      </c>
      <c r="C19" s="26" t="inlineStr">
        <is>
          <t>Single</t>
        </is>
      </c>
      <c r="D19" s="11" t="n">
        <v>95375</v>
      </c>
      <c r="E19" s="11" t="n">
        <v>182100</v>
      </c>
      <c r="F19" s="27" t="n">
        <v>0.24</v>
      </c>
      <c r="G19" s="28" t="n">
        <v>16290</v>
      </c>
    </row>
    <row r="20">
      <c r="B20" s="25" t="n">
        <v>2023</v>
      </c>
      <c r="C20" s="26" t="inlineStr">
        <is>
          <t>Single</t>
        </is>
      </c>
      <c r="D20" s="11" t="n">
        <v>182100</v>
      </c>
      <c r="E20" s="11" t="n">
        <v>231250</v>
      </c>
      <c r="F20" s="27" t="n">
        <v>0.32</v>
      </c>
      <c r="G20" s="28" t="n">
        <v>37104</v>
      </c>
    </row>
    <row r="21">
      <c r="B21" s="25" t="n">
        <v>2023</v>
      </c>
      <c r="C21" s="26" t="inlineStr">
        <is>
          <t>Single</t>
        </is>
      </c>
      <c r="D21" s="11" t="n">
        <v>231250</v>
      </c>
      <c r="E21" s="11" t="n">
        <v>578125</v>
      </c>
      <c r="F21" s="27" t="n">
        <v>0.35</v>
      </c>
      <c r="G21" s="28" t="n">
        <v>52832</v>
      </c>
    </row>
    <row r="22">
      <c r="B22" s="25" t="n">
        <v>2023</v>
      </c>
      <c r="C22" s="26" t="inlineStr">
        <is>
          <t>Single</t>
        </is>
      </c>
      <c r="D22" s="11" t="n">
        <v>578125</v>
      </c>
      <c r="E22" s="11" t="n">
        <v>9999999</v>
      </c>
      <c r="F22" s="27" t="n">
        <v>0.37</v>
      </c>
      <c r="G22" s="28" t="n">
        <v>174238.25</v>
      </c>
    </row>
    <row r="23">
      <c r="B23" s="25" t="n">
        <v>2024</v>
      </c>
      <c r="C23" s="26" t="inlineStr">
        <is>
          <t>MFJ</t>
        </is>
      </c>
      <c r="D23" s="11" t="n">
        <v>0</v>
      </c>
      <c r="E23" s="11" t="n">
        <v>23200</v>
      </c>
      <c r="F23" s="27" t="n">
        <v>0.1</v>
      </c>
      <c r="G23" s="28" t="n">
        <v>0</v>
      </c>
    </row>
    <row r="24">
      <c r="B24" s="25" t="n">
        <v>2024</v>
      </c>
      <c r="C24" s="26" t="inlineStr">
        <is>
          <t>MFJ</t>
        </is>
      </c>
      <c r="D24" s="11" t="n">
        <v>23200</v>
      </c>
      <c r="E24" s="11" t="n">
        <v>94300</v>
      </c>
      <c r="F24" s="27" t="n">
        <v>0.12</v>
      </c>
      <c r="G24" s="28" t="n">
        <v>2320</v>
      </c>
    </row>
    <row r="25">
      <c r="B25" s="25" t="n">
        <v>2024</v>
      </c>
      <c r="C25" s="26" t="inlineStr">
        <is>
          <t>MFJ</t>
        </is>
      </c>
      <c r="D25" s="11" t="n">
        <v>94300</v>
      </c>
      <c r="E25" s="11" t="n">
        <v>201050</v>
      </c>
      <c r="F25" s="27" t="n">
        <v>0.22</v>
      </c>
      <c r="G25" s="28" t="n">
        <v>10852</v>
      </c>
    </row>
    <row r="26">
      <c r="B26" s="25" t="n">
        <v>2024</v>
      </c>
      <c r="C26" s="26" t="inlineStr">
        <is>
          <t>MFJ</t>
        </is>
      </c>
      <c r="D26" s="11" t="n">
        <v>201050</v>
      </c>
      <c r="E26" s="11" t="n">
        <v>383900</v>
      </c>
      <c r="F26" s="27" t="n">
        <v>0.24</v>
      </c>
      <c r="G26" s="28" t="n">
        <v>34337</v>
      </c>
    </row>
    <row r="27">
      <c r="B27" s="25" t="n">
        <v>2024</v>
      </c>
      <c r="C27" s="26" t="inlineStr">
        <is>
          <t>MFJ</t>
        </is>
      </c>
      <c r="D27" s="11" t="n">
        <v>383900</v>
      </c>
      <c r="E27" s="11" t="n">
        <v>487450</v>
      </c>
      <c r="F27" s="27" t="n">
        <v>0.32</v>
      </c>
      <c r="G27" s="28" t="n">
        <v>78221</v>
      </c>
    </row>
    <row r="28">
      <c r="B28" s="25" t="n">
        <v>2024</v>
      </c>
      <c r="C28" s="26" t="inlineStr">
        <is>
          <t>MFJ</t>
        </is>
      </c>
      <c r="D28" s="11" t="n">
        <v>487450</v>
      </c>
      <c r="E28" s="11" t="n">
        <v>731200</v>
      </c>
      <c r="F28" s="27" t="n">
        <v>0.35</v>
      </c>
      <c r="G28" s="28" t="n">
        <v>111357</v>
      </c>
    </row>
    <row r="29">
      <c r="B29" s="25" t="n">
        <v>2024</v>
      </c>
      <c r="C29" s="26" t="inlineStr">
        <is>
          <t>MFJ</t>
        </is>
      </c>
      <c r="D29" s="11" t="n">
        <v>731200</v>
      </c>
      <c r="E29" s="11" t="n">
        <v>9999999</v>
      </c>
      <c r="F29" s="27" t="n">
        <v>0.37</v>
      </c>
      <c r="G29" s="28" t="n">
        <v>196669.5</v>
      </c>
    </row>
    <row r="30">
      <c r="B30" s="25" t="n">
        <v>2024</v>
      </c>
      <c r="C30" s="26" t="inlineStr">
        <is>
          <t>Single</t>
        </is>
      </c>
      <c r="D30" s="11" t="n">
        <v>0</v>
      </c>
      <c r="E30" s="11" t="n">
        <v>11600</v>
      </c>
      <c r="F30" s="27" t="n">
        <v>0.1</v>
      </c>
      <c r="G30" s="28" t="n">
        <v>0</v>
      </c>
    </row>
    <row r="31">
      <c r="B31" s="25" t="n">
        <v>2024</v>
      </c>
      <c r="C31" s="26" t="inlineStr">
        <is>
          <t>Single</t>
        </is>
      </c>
      <c r="D31" s="11" t="n">
        <v>11600</v>
      </c>
      <c r="E31" s="11" t="n">
        <v>47150</v>
      </c>
      <c r="F31" s="27" t="n">
        <v>0.12</v>
      </c>
      <c r="G31" s="28" t="n">
        <v>1160</v>
      </c>
    </row>
    <row r="32">
      <c r="B32" s="25" t="n">
        <v>2024</v>
      </c>
      <c r="C32" s="26" t="inlineStr">
        <is>
          <t>Single</t>
        </is>
      </c>
      <c r="D32" s="11" t="n">
        <v>47150</v>
      </c>
      <c r="E32" s="11" t="n">
        <v>100525</v>
      </c>
      <c r="F32" s="27" t="n">
        <v>0.22</v>
      </c>
      <c r="G32" s="28" t="n">
        <v>5426</v>
      </c>
    </row>
    <row r="33">
      <c r="B33" s="25" t="n">
        <v>2024</v>
      </c>
      <c r="C33" s="26" t="inlineStr">
        <is>
          <t>Single</t>
        </is>
      </c>
      <c r="D33" s="11" t="n">
        <v>100525</v>
      </c>
      <c r="E33" s="11" t="n">
        <v>191950</v>
      </c>
      <c r="F33" s="27" t="n">
        <v>0.24</v>
      </c>
      <c r="G33" s="28" t="n">
        <v>17168.5</v>
      </c>
    </row>
    <row r="34">
      <c r="B34" s="25" t="n">
        <v>2024</v>
      </c>
      <c r="C34" s="26" t="inlineStr">
        <is>
          <t>Single</t>
        </is>
      </c>
      <c r="D34" s="11" t="n">
        <v>191950</v>
      </c>
      <c r="E34" s="11" t="n">
        <v>243725</v>
      </c>
      <c r="F34" s="27" t="n">
        <v>0.32</v>
      </c>
      <c r="G34" s="28" t="n">
        <v>39110.5</v>
      </c>
    </row>
    <row r="35">
      <c r="B35" s="25" t="n">
        <v>2024</v>
      </c>
      <c r="C35" s="26" t="inlineStr">
        <is>
          <t>Single</t>
        </is>
      </c>
      <c r="D35" s="11" t="n">
        <v>243725</v>
      </c>
      <c r="E35" s="11" t="n">
        <v>609350</v>
      </c>
      <c r="F35" s="27" t="n">
        <v>0.35</v>
      </c>
      <c r="G35" s="28" t="n">
        <v>55678.5</v>
      </c>
    </row>
    <row r="36">
      <c r="B36" s="25" t="n">
        <v>2024</v>
      </c>
      <c r="C36" s="26" t="inlineStr">
        <is>
          <t>Single</t>
        </is>
      </c>
      <c r="D36" s="11" t="n">
        <v>609350</v>
      </c>
      <c r="E36" s="11" t="n">
        <v>9999999</v>
      </c>
      <c r="F36" s="27" t="n">
        <v>0.37</v>
      </c>
      <c r="G36" s="28" t="n">
        <v>183647.25</v>
      </c>
    </row>
    <row r="37">
      <c r="B37" s="25" t="n">
        <v>2025</v>
      </c>
      <c r="C37" s="26" t="inlineStr">
        <is>
          <t>MFJ</t>
        </is>
      </c>
      <c r="D37" s="11" t="n">
        <v>0</v>
      </c>
      <c r="E37" s="11" t="n">
        <v>23850</v>
      </c>
      <c r="F37" s="27" t="n">
        <v>0.1</v>
      </c>
      <c r="G37" s="28" t="n">
        <v>0</v>
      </c>
    </row>
    <row r="38">
      <c r="B38" s="29" t="n">
        <v>2025</v>
      </c>
      <c r="C38" s="26" t="inlineStr">
        <is>
          <t>MFJ</t>
        </is>
      </c>
      <c r="D38" s="11" t="n">
        <v>23850</v>
      </c>
      <c r="E38" s="11" t="n">
        <v>96950</v>
      </c>
      <c r="F38" s="27" t="n">
        <v>0.12</v>
      </c>
      <c r="G38" s="28" t="n">
        <v>2385</v>
      </c>
    </row>
    <row r="39">
      <c r="B39" s="25" t="n">
        <v>2025</v>
      </c>
      <c r="C39" s="26" t="inlineStr">
        <is>
          <t>MFJ</t>
        </is>
      </c>
      <c r="D39" s="11" t="n">
        <v>96950</v>
      </c>
      <c r="E39" s="11" t="n">
        <v>206700</v>
      </c>
      <c r="F39" s="27" t="n">
        <v>0.22</v>
      </c>
      <c r="G39" s="28" t="n">
        <v>11157</v>
      </c>
    </row>
    <row r="40">
      <c r="B40" s="25" t="n">
        <v>2025</v>
      </c>
      <c r="C40" s="26" t="inlineStr">
        <is>
          <t>MFJ</t>
        </is>
      </c>
      <c r="D40" s="11" t="n">
        <v>206700</v>
      </c>
      <c r="E40" s="11" t="n">
        <v>394600</v>
      </c>
      <c r="F40" s="27" t="n">
        <v>0.24</v>
      </c>
      <c r="G40" s="28" t="n">
        <v>35302</v>
      </c>
    </row>
    <row r="41">
      <c r="B41" s="25" t="n">
        <v>2025</v>
      </c>
      <c r="C41" s="26" t="inlineStr">
        <is>
          <t>MFJ</t>
        </is>
      </c>
      <c r="D41" s="11" t="n">
        <v>394600</v>
      </c>
      <c r="E41" s="11" t="n">
        <v>501050</v>
      </c>
      <c r="F41" s="27" t="n">
        <v>0.32</v>
      </c>
      <c r="G41" s="28" t="n">
        <v>80398</v>
      </c>
    </row>
    <row r="42">
      <c r="B42" s="25" t="n">
        <v>2025</v>
      </c>
      <c r="C42" s="26" t="inlineStr">
        <is>
          <t>MFJ</t>
        </is>
      </c>
      <c r="D42" s="11" t="n">
        <v>501050</v>
      </c>
      <c r="E42" s="11" t="n">
        <v>751600</v>
      </c>
      <c r="F42" s="27" t="n">
        <v>0.35</v>
      </c>
      <c r="G42" s="28" t="n">
        <v>114462</v>
      </c>
    </row>
    <row r="43">
      <c r="B43" s="25" t="n">
        <v>2025</v>
      </c>
      <c r="C43" s="26" t="inlineStr">
        <is>
          <t>MFJ</t>
        </is>
      </c>
      <c r="D43" s="11" t="n">
        <v>751600</v>
      </c>
      <c r="E43" s="11" t="n">
        <v>9999999</v>
      </c>
      <c r="F43" s="27" t="n">
        <v>0.37</v>
      </c>
      <c r="G43" s="28" t="n">
        <v>202154.5</v>
      </c>
    </row>
    <row r="44">
      <c r="B44" s="25" t="n">
        <v>2025</v>
      </c>
      <c r="C44" s="26" t="inlineStr">
        <is>
          <t>Single</t>
        </is>
      </c>
      <c r="D44" s="11" t="n">
        <v>0</v>
      </c>
      <c r="E44" s="11" t="n">
        <v>11925</v>
      </c>
      <c r="F44" s="27" t="n">
        <v>0.1</v>
      </c>
      <c r="G44" s="28" t="n">
        <v>0</v>
      </c>
    </row>
    <row r="45">
      <c r="B45" s="25" t="n">
        <v>2025</v>
      </c>
      <c r="C45" s="26" t="inlineStr">
        <is>
          <t>Single</t>
        </is>
      </c>
      <c r="D45" s="11" t="n">
        <v>11925</v>
      </c>
      <c r="E45" s="11" t="n">
        <v>48475</v>
      </c>
      <c r="F45" s="27" t="n">
        <v>0.12</v>
      </c>
      <c r="G45" s="28" t="n">
        <v>1192.5</v>
      </c>
    </row>
    <row r="46">
      <c r="B46" s="25" t="n">
        <v>2025</v>
      </c>
      <c r="C46" s="26" t="inlineStr">
        <is>
          <t>Single</t>
        </is>
      </c>
      <c r="D46" s="11" t="n">
        <v>48475</v>
      </c>
      <c r="E46" s="11" t="n">
        <v>103350</v>
      </c>
      <c r="F46" s="27" t="n">
        <v>0.22</v>
      </c>
      <c r="G46" s="28" t="n">
        <v>5578.5</v>
      </c>
    </row>
    <row r="47">
      <c r="B47" s="25" t="n">
        <v>2025</v>
      </c>
      <c r="C47" s="26" t="inlineStr">
        <is>
          <t>Single</t>
        </is>
      </c>
      <c r="D47" s="11" t="n">
        <v>103350</v>
      </c>
      <c r="E47" s="11" t="n">
        <v>197300</v>
      </c>
      <c r="F47" s="27" t="n">
        <v>0.24</v>
      </c>
      <c r="G47" s="28" t="n">
        <v>17651</v>
      </c>
    </row>
    <row r="48">
      <c r="B48" s="25" t="n">
        <v>2025</v>
      </c>
      <c r="C48" s="26" t="inlineStr">
        <is>
          <t>Single</t>
        </is>
      </c>
      <c r="D48" s="11" t="n">
        <v>197300</v>
      </c>
      <c r="E48" s="11" t="n">
        <v>250525</v>
      </c>
      <c r="F48" s="27" t="n">
        <v>0.32</v>
      </c>
      <c r="G48" s="28" t="n">
        <v>40199</v>
      </c>
    </row>
    <row r="49">
      <c r="B49" s="25" t="n">
        <v>2025</v>
      </c>
      <c r="C49" s="26" t="inlineStr">
        <is>
          <t>Single</t>
        </is>
      </c>
      <c r="D49" s="11" t="n">
        <v>250525</v>
      </c>
      <c r="E49" s="11" t="n">
        <v>626350</v>
      </c>
      <c r="F49" s="27" t="n">
        <v>0.35</v>
      </c>
      <c r="G49" s="28" t="n">
        <v>57231</v>
      </c>
    </row>
    <row r="50">
      <c r="B50" s="25" t="n">
        <v>2025</v>
      </c>
      <c r="C50" s="26" t="inlineStr">
        <is>
          <t>Single</t>
        </is>
      </c>
      <c r="D50" s="11" t="n">
        <v>626350</v>
      </c>
      <c r="E50" s="11" t="n">
        <v>9999999</v>
      </c>
      <c r="F50" s="27" t="n">
        <v>0.37</v>
      </c>
      <c r="G50" s="28" t="n">
        <v>188769.75</v>
      </c>
    </row>
    <row r="51">
      <c r="B51" s="25" t="n">
        <v>2026</v>
      </c>
      <c r="C51" s="26" t="inlineStr">
        <is>
          <t>MFJ</t>
        </is>
      </c>
      <c r="D51" s="11" t="n">
        <v>0</v>
      </c>
      <c r="E51" s="11" t="n">
        <v>23850</v>
      </c>
      <c r="F51" s="27" t="n">
        <v>0.1</v>
      </c>
      <c r="G51" s="28" t="n">
        <v>0</v>
      </c>
    </row>
    <row r="52">
      <c r="B52" s="25" t="n">
        <v>2026</v>
      </c>
      <c r="C52" s="26" t="inlineStr">
        <is>
          <t>MFJ</t>
        </is>
      </c>
      <c r="D52" s="11" t="n">
        <v>23850</v>
      </c>
      <c r="E52" s="11" t="n">
        <v>96950</v>
      </c>
      <c r="F52" s="27" t="n">
        <v>0.12</v>
      </c>
      <c r="G52" s="28" t="n">
        <v>2385</v>
      </c>
    </row>
    <row r="53">
      <c r="B53" s="25" t="n">
        <v>2026</v>
      </c>
      <c r="C53" s="26" t="inlineStr">
        <is>
          <t>MFJ</t>
        </is>
      </c>
      <c r="D53" s="11" t="n">
        <v>96950</v>
      </c>
      <c r="E53" s="11" t="n">
        <v>206700</v>
      </c>
      <c r="F53" s="27" t="n">
        <v>0.22</v>
      </c>
      <c r="G53" s="28" t="n">
        <v>11157</v>
      </c>
    </row>
    <row r="54">
      <c r="B54" s="25" t="n">
        <v>2026</v>
      </c>
      <c r="C54" s="26" t="inlineStr">
        <is>
          <t>MFJ</t>
        </is>
      </c>
      <c r="D54" s="11" t="n">
        <v>206700</v>
      </c>
      <c r="E54" s="11" t="n">
        <v>394600</v>
      </c>
      <c r="F54" s="27" t="n">
        <v>0.24</v>
      </c>
      <c r="G54" s="28" t="n">
        <v>35302</v>
      </c>
    </row>
    <row r="55">
      <c r="B55" s="25" t="n">
        <v>2026</v>
      </c>
      <c r="C55" s="26" t="inlineStr">
        <is>
          <t>MFJ</t>
        </is>
      </c>
      <c r="D55" s="11" t="n">
        <v>394600</v>
      </c>
      <c r="E55" s="11" t="n">
        <v>501050</v>
      </c>
      <c r="F55" s="27" t="n">
        <v>0.32</v>
      </c>
      <c r="G55" s="28" t="n">
        <v>80398</v>
      </c>
    </row>
    <row r="56">
      <c r="B56" s="25" t="n">
        <v>2026</v>
      </c>
      <c r="C56" s="26" t="inlineStr">
        <is>
          <t>MFJ</t>
        </is>
      </c>
      <c r="D56" s="11" t="n">
        <v>501050</v>
      </c>
      <c r="E56" s="11" t="n">
        <v>751600</v>
      </c>
      <c r="F56" s="27" t="n">
        <v>0.35</v>
      </c>
      <c r="G56" s="28" t="n">
        <v>114462</v>
      </c>
    </row>
    <row r="57">
      <c r="B57" s="25" t="n">
        <v>2026</v>
      </c>
      <c r="C57" s="26" t="inlineStr">
        <is>
          <t>MFJ</t>
        </is>
      </c>
      <c r="D57" s="11" t="n">
        <v>751600</v>
      </c>
      <c r="E57" s="11" t="n">
        <v>9999999</v>
      </c>
      <c r="F57" s="27" t="n">
        <v>0.37</v>
      </c>
      <c r="G57" s="28" t="n">
        <v>202154.5</v>
      </c>
    </row>
    <row r="58">
      <c r="B58" s="25" t="n">
        <v>2026</v>
      </c>
      <c r="C58" s="26" t="inlineStr">
        <is>
          <t>Single</t>
        </is>
      </c>
      <c r="D58" s="11" t="n">
        <v>0</v>
      </c>
      <c r="E58" s="11" t="n">
        <v>11925</v>
      </c>
      <c r="F58" s="27" t="n">
        <v>0.1</v>
      </c>
      <c r="G58" s="28" t="n">
        <v>0</v>
      </c>
    </row>
    <row r="59">
      <c r="B59" s="25" t="n">
        <v>2026</v>
      </c>
      <c r="C59" s="26" t="inlineStr">
        <is>
          <t>Single</t>
        </is>
      </c>
      <c r="D59" s="11" t="n">
        <v>11925</v>
      </c>
      <c r="E59" s="11" t="n">
        <v>48475</v>
      </c>
      <c r="F59" s="27" t="n">
        <v>0.12</v>
      </c>
      <c r="G59" s="28" t="n">
        <v>1192.5</v>
      </c>
    </row>
    <row r="60">
      <c r="B60" s="25" t="n">
        <v>2026</v>
      </c>
      <c r="C60" s="26" t="inlineStr">
        <is>
          <t>Single</t>
        </is>
      </c>
      <c r="D60" s="11" t="n">
        <v>48475</v>
      </c>
      <c r="E60" s="11" t="n">
        <v>103350</v>
      </c>
      <c r="F60" s="27" t="n">
        <v>0.22</v>
      </c>
      <c r="G60" s="28" t="n">
        <v>5578.5</v>
      </c>
    </row>
    <row r="61">
      <c r="B61" s="25" t="n">
        <v>2026</v>
      </c>
      <c r="C61" s="26" t="inlineStr">
        <is>
          <t>Single</t>
        </is>
      </c>
      <c r="D61" s="11" t="n">
        <v>103350</v>
      </c>
      <c r="E61" s="11" t="n">
        <v>197300</v>
      </c>
      <c r="F61" s="27" t="n">
        <v>0.24</v>
      </c>
      <c r="G61" s="28" t="n">
        <v>17651</v>
      </c>
    </row>
    <row r="62">
      <c r="B62" s="25" t="n">
        <v>2026</v>
      </c>
      <c r="C62" s="26" t="inlineStr">
        <is>
          <t>Single</t>
        </is>
      </c>
      <c r="D62" s="11" t="n">
        <v>197300</v>
      </c>
      <c r="E62" s="11" t="n">
        <v>250525</v>
      </c>
      <c r="F62" s="27" t="n">
        <v>0.32</v>
      </c>
      <c r="G62" s="28" t="n">
        <v>40199</v>
      </c>
    </row>
    <row r="63">
      <c r="B63" s="25" t="n">
        <v>2026</v>
      </c>
      <c r="C63" s="26" t="inlineStr">
        <is>
          <t>Single</t>
        </is>
      </c>
      <c r="D63" s="11" t="n">
        <v>250525</v>
      </c>
      <c r="E63" s="11" t="n">
        <v>626350</v>
      </c>
      <c r="F63" s="27" t="n">
        <v>0.35</v>
      </c>
      <c r="G63" s="28" t="n">
        <v>57231</v>
      </c>
    </row>
    <row r="64">
      <c r="B64" s="25" t="n">
        <v>2026</v>
      </c>
      <c r="C64" s="26" t="inlineStr">
        <is>
          <t>Single</t>
        </is>
      </c>
      <c r="D64" s="11" t="n">
        <v>626350</v>
      </c>
      <c r="E64" s="11" t="n">
        <v>9999999</v>
      </c>
      <c r="F64" s="27" t="n">
        <v>0.37</v>
      </c>
      <c r="G64" s="28" t="n">
        <v>188769.75</v>
      </c>
    </row>
    <row r="65">
      <c r="B65" s="25" t="n">
        <v>2027</v>
      </c>
      <c r="C65" s="26" t="inlineStr">
        <is>
          <t>MFJ</t>
        </is>
      </c>
      <c r="D65" s="11" t="n">
        <v>0</v>
      </c>
      <c r="E65" s="11" t="n">
        <v>23850</v>
      </c>
      <c r="F65" s="27" t="n">
        <v>0.1</v>
      </c>
      <c r="G65" s="28" t="n">
        <v>0</v>
      </c>
    </row>
    <row r="66">
      <c r="B66" s="25" t="n">
        <v>2027</v>
      </c>
      <c r="C66" s="26" t="inlineStr">
        <is>
          <t>MFJ</t>
        </is>
      </c>
      <c r="D66" s="11" t="n">
        <v>23850</v>
      </c>
      <c r="E66" s="11" t="n">
        <v>96950</v>
      </c>
      <c r="F66" s="27" t="n">
        <v>0.12</v>
      </c>
      <c r="G66" s="28" t="n">
        <v>2385</v>
      </c>
    </row>
    <row r="67">
      <c r="B67" s="25" t="n">
        <v>2027</v>
      </c>
      <c r="C67" s="26" t="inlineStr">
        <is>
          <t>MFJ</t>
        </is>
      </c>
      <c r="D67" s="11" t="n">
        <v>96950</v>
      </c>
      <c r="E67" s="11" t="n">
        <v>206700</v>
      </c>
      <c r="F67" s="27" t="n">
        <v>0.22</v>
      </c>
      <c r="G67" s="28" t="n">
        <v>11157</v>
      </c>
    </row>
    <row r="68">
      <c r="B68" s="25" t="n">
        <v>2027</v>
      </c>
      <c r="C68" s="26" t="inlineStr">
        <is>
          <t>MFJ</t>
        </is>
      </c>
      <c r="D68" s="11" t="n">
        <v>206700</v>
      </c>
      <c r="E68" s="11" t="n">
        <v>394600</v>
      </c>
      <c r="F68" s="27" t="n">
        <v>0.24</v>
      </c>
      <c r="G68" s="28" t="n">
        <v>35302</v>
      </c>
    </row>
    <row r="69">
      <c r="B69" s="25" t="n">
        <v>2027</v>
      </c>
      <c r="C69" s="26" t="inlineStr">
        <is>
          <t>MFJ</t>
        </is>
      </c>
      <c r="D69" s="11" t="n">
        <v>394600</v>
      </c>
      <c r="E69" s="11" t="n">
        <v>501050</v>
      </c>
      <c r="F69" s="27" t="n">
        <v>0.32</v>
      </c>
      <c r="G69" s="28" t="n">
        <v>80398</v>
      </c>
    </row>
    <row r="70">
      <c r="B70" s="25" t="n">
        <v>2027</v>
      </c>
      <c r="C70" s="26" t="inlineStr">
        <is>
          <t>MFJ</t>
        </is>
      </c>
      <c r="D70" s="11" t="n">
        <v>501050</v>
      </c>
      <c r="E70" s="11" t="n">
        <v>751600</v>
      </c>
      <c r="F70" s="27" t="n">
        <v>0.35</v>
      </c>
      <c r="G70" s="28" t="n">
        <v>114462</v>
      </c>
    </row>
    <row r="71">
      <c r="B71" s="25" t="n">
        <v>2027</v>
      </c>
      <c r="C71" s="26" t="inlineStr">
        <is>
          <t>MFJ</t>
        </is>
      </c>
      <c r="D71" s="11" t="n">
        <v>751600</v>
      </c>
      <c r="E71" s="11" t="n">
        <v>9999999</v>
      </c>
      <c r="F71" s="27" t="n">
        <v>0.37</v>
      </c>
      <c r="G71" s="28" t="n">
        <v>202154.5</v>
      </c>
    </row>
    <row r="72">
      <c r="B72" s="25" t="n">
        <v>2027</v>
      </c>
      <c r="C72" s="26" t="inlineStr">
        <is>
          <t>Single</t>
        </is>
      </c>
      <c r="D72" s="11" t="n">
        <v>0</v>
      </c>
      <c r="E72" s="11" t="n">
        <v>11925</v>
      </c>
      <c r="F72" s="27" t="n">
        <v>0.1</v>
      </c>
      <c r="G72" s="28" t="n">
        <v>0</v>
      </c>
    </row>
    <row r="73">
      <c r="B73" s="25" t="n">
        <v>2027</v>
      </c>
      <c r="C73" s="26" t="inlineStr">
        <is>
          <t>Single</t>
        </is>
      </c>
      <c r="D73" s="11" t="n">
        <v>11925</v>
      </c>
      <c r="E73" s="11" t="n">
        <v>48475</v>
      </c>
      <c r="F73" s="27" t="n">
        <v>0.12</v>
      </c>
      <c r="G73" s="28" t="n">
        <v>1192.5</v>
      </c>
    </row>
    <row r="74">
      <c r="B74" s="25" t="n">
        <v>2027</v>
      </c>
      <c r="C74" s="26" t="inlineStr">
        <is>
          <t>Single</t>
        </is>
      </c>
      <c r="D74" s="11" t="n">
        <v>48475</v>
      </c>
      <c r="E74" s="11" t="n">
        <v>103350</v>
      </c>
      <c r="F74" s="27" t="n">
        <v>0.22</v>
      </c>
      <c r="G74" s="28" t="n">
        <v>5578.5</v>
      </c>
    </row>
    <row r="75">
      <c r="B75" s="25" t="n">
        <v>2027</v>
      </c>
      <c r="C75" s="26" t="inlineStr">
        <is>
          <t>Single</t>
        </is>
      </c>
      <c r="D75" s="11" t="n">
        <v>103350</v>
      </c>
      <c r="E75" s="11" t="n">
        <v>197300</v>
      </c>
      <c r="F75" s="27" t="n">
        <v>0.24</v>
      </c>
      <c r="G75" s="28" t="n">
        <v>17651</v>
      </c>
    </row>
    <row r="76">
      <c r="B76" s="25" t="n">
        <v>2027</v>
      </c>
      <c r="C76" s="26" t="inlineStr">
        <is>
          <t>Single</t>
        </is>
      </c>
      <c r="D76" s="11" t="n">
        <v>197300</v>
      </c>
      <c r="E76" s="11" t="n">
        <v>250525</v>
      </c>
      <c r="F76" s="27" t="n">
        <v>0.32</v>
      </c>
      <c r="G76" s="28" t="n">
        <v>40199</v>
      </c>
    </row>
    <row r="77">
      <c r="B77" s="25" t="n">
        <v>2027</v>
      </c>
      <c r="C77" s="26" t="inlineStr">
        <is>
          <t>Single</t>
        </is>
      </c>
      <c r="D77" s="11" t="n">
        <v>250525</v>
      </c>
      <c r="E77" s="11" t="n">
        <v>626350</v>
      </c>
      <c r="F77" s="27" t="n">
        <v>0.35</v>
      </c>
      <c r="G77" s="28" t="n">
        <v>57231</v>
      </c>
    </row>
    <row r="78">
      <c r="B78" s="25" t="n">
        <v>2027</v>
      </c>
      <c r="C78" s="26" t="inlineStr">
        <is>
          <t>Single</t>
        </is>
      </c>
      <c r="D78" s="11" t="n">
        <v>626350</v>
      </c>
      <c r="E78" s="11" t="n">
        <v>9999999</v>
      </c>
      <c r="F78" s="27" t="n">
        <v>0.37</v>
      </c>
      <c r="G78" s="28" t="n">
        <v>188769.75</v>
      </c>
    </row>
    <row r="79">
      <c r="B79" s="25" t="n">
        <v>2028</v>
      </c>
      <c r="C79" s="26" t="inlineStr">
        <is>
          <t>MFJ</t>
        </is>
      </c>
      <c r="D79" s="11" t="n">
        <v>0</v>
      </c>
      <c r="E79" s="11" t="n">
        <v>23850</v>
      </c>
      <c r="F79" s="27" t="n">
        <v>0.1</v>
      </c>
      <c r="G79" s="28" t="n">
        <v>0</v>
      </c>
    </row>
    <row r="80">
      <c r="B80" s="25" t="n">
        <v>2028</v>
      </c>
      <c r="C80" s="26" t="inlineStr">
        <is>
          <t>MFJ</t>
        </is>
      </c>
      <c r="D80" s="11" t="n">
        <v>23850</v>
      </c>
      <c r="E80" s="11" t="n">
        <v>96950</v>
      </c>
      <c r="F80" s="27" t="n">
        <v>0.12</v>
      </c>
      <c r="G80" s="28" t="n">
        <v>2385</v>
      </c>
    </row>
    <row r="81">
      <c r="B81" s="25" t="n">
        <v>2028</v>
      </c>
      <c r="C81" s="26" t="inlineStr">
        <is>
          <t>MFJ</t>
        </is>
      </c>
      <c r="D81" s="11" t="n">
        <v>96950</v>
      </c>
      <c r="E81" s="11" t="n">
        <v>206700</v>
      </c>
      <c r="F81" s="27" t="n">
        <v>0.22</v>
      </c>
      <c r="G81" s="28" t="n">
        <v>11157</v>
      </c>
    </row>
    <row r="82">
      <c r="B82" s="25" t="n">
        <v>2028</v>
      </c>
      <c r="C82" s="26" t="inlineStr">
        <is>
          <t>MFJ</t>
        </is>
      </c>
      <c r="D82" s="11" t="n">
        <v>206700</v>
      </c>
      <c r="E82" s="11" t="n">
        <v>394600</v>
      </c>
      <c r="F82" s="27" t="n">
        <v>0.24</v>
      </c>
      <c r="G82" s="28" t="n">
        <v>35302</v>
      </c>
    </row>
    <row r="83">
      <c r="B83" s="25" t="n">
        <v>2028</v>
      </c>
      <c r="C83" s="26" t="inlineStr">
        <is>
          <t>MFJ</t>
        </is>
      </c>
      <c r="D83" s="11" t="n">
        <v>394600</v>
      </c>
      <c r="E83" s="11" t="n">
        <v>501050</v>
      </c>
      <c r="F83" s="27" t="n">
        <v>0.32</v>
      </c>
      <c r="G83" s="28" t="n">
        <v>80398</v>
      </c>
    </row>
    <row r="84">
      <c r="B84" s="25" t="n">
        <v>2028</v>
      </c>
      <c r="C84" s="26" t="inlineStr">
        <is>
          <t>MFJ</t>
        </is>
      </c>
      <c r="D84" s="11" t="n">
        <v>501050</v>
      </c>
      <c r="E84" s="11" t="n">
        <v>751600</v>
      </c>
      <c r="F84" s="27" t="n">
        <v>0.35</v>
      </c>
      <c r="G84" s="28" t="n">
        <v>114462</v>
      </c>
    </row>
    <row r="85">
      <c r="B85" s="25" t="n">
        <v>2028</v>
      </c>
      <c r="C85" s="26" t="inlineStr">
        <is>
          <t>MFJ</t>
        </is>
      </c>
      <c r="D85" s="11" t="n">
        <v>751600</v>
      </c>
      <c r="E85" s="11" t="n">
        <v>9999999</v>
      </c>
      <c r="F85" s="27" t="n">
        <v>0.37</v>
      </c>
      <c r="G85" s="28" t="n">
        <v>202154.5</v>
      </c>
    </row>
    <row r="86">
      <c r="B86" s="25" t="n">
        <v>2028</v>
      </c>
      <c r="C86" s="26" t="inlineStr">
        <is>
          <t>Single</t>
        </is>
      </c>
      <c r="D86" s="11" t="n">
        <v>0</v>
      </c>
      <c r="E86" s="11" t="n">
        <v>11925</v>
      </c>
      <c r="F86" s="27" t="n">
        <v>0.1</v>
      </c>
      <c r="G86" s="28" t="n">
        <v>0</v>
      </c>
    </row>
    <row r="87">
      <c r="B87" s="25" t="n">
        <v>2028</v>
      </c>
      <c r="C87" s="26" t="inlineStr">
        <is>
          <t>Single</t>
        </is>
      </c>
      <c r="D87" s="11" t="n">
        <v>11925</v>
      </c>
      <c r="E87" s="11" t="n">
        <v>48475</v>
      </c>
      <c r="F87" s="27" t="n">
        <v>0.12</v>
      </c>
      <c r="G87" s="28" t="n">
        <v>1192.5</v>
      </c>
    </row>
    <row r="88">
      <c r="B88" s="25" t="n">
        <v>2028</v>
      </c>
      <c r="C88" s="26" t="inlineStr">
        <is>
          <t>Single</t>
        </is>
      </c>
      <c r="D88" s="11" t="n">
        <v>48475</v>
      </c>
      <c r="E88" s="11" t="n">
        <v>103350</v>
      </c>
      <c r="F88" s="27" t="n">
        <v>0.22</v>
      </c>
      <c r="G88" s="28" t="n">
        <v>5578.5</v>
      </c>
    </row>
    <row r="89">
      <c r="B89" s="25" t="n">
        <v>2028</v>
      </c>
      <c r="C89" s="26" t="inlineStr">
        <is>
          <t>Single</t>
        </is>
      </c>
      <c r="D89" s="11" t="n">
        <v>103350</v>
      </c>
      <c r="E89" s="11" t="n">
        <v>197300</v>
      </c>
      <c r="F89" s="27" t="n">
        <v>0.24</v>
      </c>
      <c r="G89" s="28" t="n">
        <v>17651</v>
      </c>
    </row>
    <row r="90">
      <c r="B90" s="25" t="n">
        <v>2028</v>
      </c>
      <c r="C90" s="26" t="inlineStr">
        <is>
          <t>Single</t>
        </is>
      </c>
      <c r="D90" s="11" t="n">
        <v>197300</v>
      </c>
      <c r="E90" s="11" t="n">
        <v>250525</v>
      </c>
      <c r="F90" s="27" t="n">
        <v>0.32</v>
      </c>
      <c r="G90" s="28" t="n">
        <v>40199</v>
      </c>
    </row>
    <row r="91">
      <c r="B91" s="25" t="n">
        <v>2028</v>
      </c>
      <c r="C91" s="26" t="inlineStr">
        <is>
          <t>Single</t>
        </is>
      </c>
      <c r="D91" s="11" t="n">
        <v>250525</v>
      </c>
      <c r="E91" s="11" t="n">
        <v>626350</v>
      </c>
      <c r="F91" s="27" t="n">
        <v>0.35</v>
      </c>
      <c r="G91" s="28" t="n">
        <v>57231</v>
      </c>
    </row>
    <row r="92">
      <c r="B92" s="25" t="n">
        <v>2028</v>
      </c>
      <c r="C92" s="26" t="inlineStr">
        <is>
          <t>Single</t>
        </is>
      </c>
      <c r="D92" s="11" t="n">
        <v>626350</v>
      </c>
      <c r="E92" s="11" t="n">
        <v>9999999</v>
      </c>
      <c r="F92" s="27" t="n">
        <v>0.37</v>
      </c>
      <c r="G92" s="28" t="n">
        <v>188769.75</v>
      </c>
    </row>
    <row r="93">
      <c r="B93" s="25" t="n">
        <v>2023</v>
      </c>
      <c r="C93" s="26" t="inlineStr">
        <is>
          <t>HOH</t>
        </is>
      </c>
      <c r="D93" s="11" t="n">
        <v>0</v>
      </c>
      <c r="E93" s="11" t="n">
        <v>17000</v>
      </c>
      <c r="F93" s="27" t="n">
        <v>0.1</v>
      </c>
      <c r="G93" s="28" t="n">
        <v>0</v>
      </c>
    </row>
    <row r="94">
      <c r="B94" s="25" t="n">
        <v>2023</v>
      </c>
      <c r="C94" s="26" t="inlineStr">
        <is>
          <t>HOH</t>
        </is>
      </c>
      <c r="D94" s="11" t="n">
        <v>17000</v>
      </c>
      <c r="E94" s="11" t="n">
        <v>64850</v>
      </c>
      <c r="F94" s="27" t="n">
        <v>0.12</v>
      </c>
      <c r="G94" s="28" t="n">
        <v>1700</v>
      </c>
    </row>
    <row r="95">
      <c r="B95" s="25" t="n">
        <v>2023</v>
      </c>
      <c r="C95" s="26" t="inlineStr">
        <is>
          <t>HOH</t>
        </is>
      </c>
      <c r="D95" s="11" t="n">
        <v>64850</v>
      </c>
      <c r="E95" s="11" t="n">
        <v>103350</v>
      </c>
      <c r="F95" s="27" t="n">
        <v>0.22</v>
      </c>
      <c r="G95" s="28" t="n">
        <v>7442</v>
      </c>
    </row>
    <row r="96">
      <c r="B96" s="25" t="n">
        <v>2023</v>
      </c>
      <c r="C96" s="26" t="inlineStr">
        <is>
          <t>HOH</t>
        </is>
      </c>
      <c r="D96" s="11" t="n">
        <v>103350</v>
      </c>
      <c r="E96" s="11" t="n">
        <v>197300</v>
      </c>
      <c r="F96" s="27" t="n">
        <v>0.24</v>
      </c>
      <c r="G96" s="28" t="n">
        <v>14902</v>
      </c>
    </row>
    <row r="97">
      <c r="B97" s="25" t="n">
        <v>2023</v>
      </c>
      <c r="C97" s="26" t="inlineStr">
        <is>
          <t>HOH</t>
        </is>
      </c>
      <c r="D97" s="11" t="n">
        <v>197300</v>
      </c>
      <c r="E97" s="11" t="n">
        <v>250500</v>
      </c>
      <c r="F97" s="27" t="n">
        <v>0.32</v>
      </c>
      <c r="G97" s="28" t="n">
        <v>37450</v>
      </c>
    </row>
    <row r="98">
      <c r="B98" s="25" t="n">
        <v>2023</v>
      </c>
      <c r="C98" s="26" t="inlineStr">
        <is>
          <t>HOH</t>
        </is>
      </c>
      <c r="D98" s="11" t="n">
        <v>250500</v>
      </c>
      <c r="E98" s="11" t="n">
        <v>626350</v>
      </c>
      <c r="F98" s="27" t="n">
        <v>0.35</v>
      </c>
      <c r="G98" s="28" t="n">
        <v>54474</v>
      </c>
    </row>
    <row r="99">
      <c r="B99" s="25" t="n">
        <v>2023</v>
      </c>
      <c r="C99" s="26" t="inlineStr">
        <is>
          <t>HOH</t>
        </is>
      </c>
      <c r="D99" s="11" t="n">
        <v>626350</v>
      </c>
      <c r="E99" s="11" t="n">
        <v>9999999</v>
      </c>
      <c r="F99" s="27" t="n">
        <v>0.37</v>
      </c>
      <c r="G99" s="28" t="n">
        <v>185921.5</v>
      </c>
    </row>
    <row r="100">
      <c r="B100" s="25" t="n">
        <v>2023</v>
      </c>
      <c r="C100" s="26" t="inlineStr">
        <is>
          <t>MFS</t>
        </is>
      </c>
      <c r="D100" s="11" t="n">
        <v>0</v>
      </c>
      <c r="E100" s="11" t="n">
        <v>11925</v>
      </c>
      <c r="F100" s="27" t="n">
        <v>0.1</v>
      </c>
      <c r="G100" s="28" t="n">
        <v>0</v>
      </c>
    </row>
    <row r="101">
      <c r="B101" s="25" t="n">
        <v>2023</v>
      </c>
      <c r="C101" s="26" t="inlineStr">
        <is>
          <t>MFS</t>
        </is>
      </c>
      <c r="D101" s="11" t="n">
        <v>11925</v>
      </c>
      <c r="E101" s="11" t="n">
        <v>48475</v>
      </c>
      <c r="F101" s="27" t="n">
        <v>0.12</v>
      </c>
      <c r="G101" s="28" t="n">
        <v>1192.5</v>
      </c>
    </row>
    <row r="102">
      <c r="B102" s="25" t="n">
        <v>2023</v>
      </c>
      <c r="C102" s="26" t="inlineStr">
        <is>
          <t>MFS</t>
        </is>
      </c>
      <c r="D102" s="11" t="n">
        <v>48475</v>
      </c>
      <c r="E102" s="11" t="n">
        <v>103350</v>
      </c>
      <c r="F102" s="27" t="n">
        <v>0.22</v>
      </c>
      <c r="G102" s="28" t="n">
        <v>5578.5</v>
      </c>
    </row>
    <row r="103">
      <c r="B103" s="25" t="n">
        <v>2023</v>
      </c>
      <c r="C103" s="26" t="inlineStr">
        <is>
          <t>MFS</t>
        </is>
      </c>
      <c r="D103" s="11" t="n">
        <v>103350</v>
      </c>
      <c r="E103" s="11" t="n">
        <v>197300</v>
      </c>
      <c r="F103" s="27" t="n">
        <v>0.24</v>
      </c>
      <c r="G103" s="28" t="n">
        <v>17651</v>
      </c>
    </row>
    <row r="104">
      <c r="B104" s="25" t="n">
        <v>2023</v>
      </c>
      <c r="C104" s="26" t="inlineStr">
        <is>
          <t>MFS</t>
        </is>
      </c>
      <c r="D104" s="11" t="n">
        <v>197300</v>
      </c>
      <c r="E104" s="11" t="n">
        <v>250525</v>
      </c>
      <c r="F104" s="27" t="n">
        <v>0.32</v>
      </c>
      <c r="G104" s="28" t="n">
        <v>40199</v>
      </c>
    </row>
    <row r="105">
      <c r="B105" s="25" t="n">
        <v>2023</v>
      </c>
      <c r="C105" s="26" t="inlineStr">
        <is>
          <t>MFS</t>
        </is>
      </c>
      <c r="D105" s="11" t="n">
        <v>250525</v>
      </c>
      <c r="E105" s="11" t="n">
        <v>375800</v>
      </c>
      <c r="F105" s="27" t="n">
        <v>0.35</v>
      </c>
      <c r="G105" s="28" t="n">
        <v>57231</v>
      </c>
    </row>
    <row r="106">
      <c r="B106" s="25" t="n">
        <v>2023</v>
      </c>
      <c r="C106" s="26" t="inlineStr">
        <is>
          <t>MFS</t>
        </is>
      </c>
      <c r="D106" s="11" t="n">
        <v>375800</v>
      </c>
      <c r="E106" s="11" t="n">
        <v>9999999</v>
      </c>
      <c r="F106" s="27" t="n">
        <v>0.37</v>
      </c>
      <c r="G106" s="28" t="n">
        <v>101078.25</v>
      </c>
    </row>
    <row r="107">
      <c r="B107" s="25" t="n">
        <v>2024</v>
      </c>
      <c r="C107" s="26" t="inlineStr">
        <is>
          <t>HOH</t>
        </is>
      </c>
      <c r="D107" s="11" t="n">
        <v>0</v>
      </c>
      <c r="E107" s="11" t="n">
        <v>17000</v>
      </c>
      <c r="F107" s="27" t="n">
        <v>0.1</v>
      </c>
      <c r="G107" s="28" t="n">
        <v>0</v>
      </c>
    </row>
    <row r="108">
      <c r="B108" s="25" t="n">
        <v>2024</v>
      </c>
      <c r="C108" s="26" t="inlineStr">
        <is>
          <t>HOH</t>
        </is>
      </c>
      <c r="D108" s="11" t="n">
        <v>17000</v>
      </c>
      <c r="E108" s="11" t="n">
        <v>64850</v>
      </c>
      <c r="F108" s="27" t="n">
        <v>0.12</v>
      </c>
      <c r="G108" s="28" t="n">
        <v>1700</v>
      </c>
    </row>
    <row r="109">
      <c r="B109" s="25" t="n">
        <v>2024</v>
      </c>
      <c r="C109" s="26" t="inlineStr">
        <is>
          <t>HOH</t>
        </is>
      </c>
      <c r="D109" s="11" t="n">
        <v>64850</v>
      </c>
      <c r="E109" s="11" t="n">
        <v>103350</v>
      </c>
      <c r="F109" s="27" t="n">
        <v>0.22</v>
      </c>
      <c r="G109" s="28" t="n">
        <v>7442</v>
      </c>
    </row>
    <row r="110">
      <c r="B110" s="25" t="n">
        <v>2024</v>
      </c>
      <c r="C110" s="26" t="inlineStr">
        <is>
          <t>HOH</t>
        </is>
      </c>
      <c r="D110" s="11" t="n">
        <v>103350</v>
      </c>
      <c r="E110" s="11" t="n">
        <v>197300</v>
      </c>
      <c r="F110" s="27" t="n">
        <v>0.24</v>
      </c>
      <c r="G110" s="28" t="n">
        <v>14902</v>
      </c>
    </row>
    <row r="111">
      <c r="B111" s="25" t="n">
        <v>2024</v>
      </c>
      <c r="C111" s="26" t="inlineStr">
        <is>
          <t>HOH</t>
        </is>
      </c>
      <c r="D111" s="11" t="n">
        <v>197300</v>
      </c>
      <c r="E111" s="11" t="n">
        <v>250500</v>
      </c>
      <c r="F111" s="27" t="n">
        <v>0.32</v>
      </c>
      <c r="G111" s="28" t="n">
        <v>37450</v>
      </c>
    </row>
    <row r="112">
      <c r="B112" s="25" t="n">
        <v>2024</v>
      </c>
      <c r="C112" s="26" t="inlineStr">
        <is>
          <t>HOH</t>
        </is>
      </c>
      <c r="D112" s="11" t="n">
        <v>250500</v>
      </c>
      <c r="E112" s="11" t="n">
        <v>626350</v>
      </c>
      <c r="F112" s="27" t="n">
        <v>0.35</v>
      </c>
      <c r="G112" s="28" t="n">
        <v>54474</v>
      </c>
    </row>
    <row r="113">
      <c r="B113" s="25" t="n">
        <v>2024</v>
      </c>
      <c r="C113" s="26" t="inlineStr">
        <is>
          <t>HOH</t>
        </is>
      </c>
      <c r="D113" s="11" t="n">
        <v>626350</v>
      </c>
      <c r="E113" s="11" t="n">
        <v>9999999</v>
      </c>
      <c r="F113" s="27" t="n">
        <v>0.37</v>
      </c>
      <c r="G113" s="28" t="n">
        <v>185921.5</v>
      </c>
    </row>
    <row r="114">
      <c r="B114" s="25" t="n">
        <v>2024</v>
      </c>
      <c r="C114" s="26" t="inlineStr">
        <is>
          <t>MFS</t>
        </is>
      </c>
      <c r="D114" s="11" t="n">
        <v>0</v>
      </c>
      <c r="E114" s="11" t="n">
        <v>11925</v>
      </c>
      <c r="F114" s="27" t="n">
        <v>0.1</v>
      </c>
      <c r="G114" s="28" t="n">
        <v>0</v>
      </c>
    </row>
    <row r="115">
      <c r="B115" s="25" t="n">
        <v>2024</v>
      </c>
      <c r="C115" s="26" t="inlineStr">
        <is>
          <t>MFS</t>
        </is>
      </c>
      <c r="D115" s="11" t="n">
        <v>11925</v>
      </c>
      <c r="E115" s="11" t="n">
        <v>48475</v>
      </c>
      <c r="F115" s="27" t="n">
        <v>0.12</v>
      </c>
      <c r="G115" s="28" t="n">
        <v>1192.5</v>
      </c>
    </row>
    <row r="116">
      <c r="B116" s="25" t="n">
        <v>2024</v>
      </c>
      <c r="C116" s="26" t="inlineStr">
        <is>
          <t>MFS</t>
        </is>
      </c>
      <c r="D116" s="11" t="n">
        <v>48475</v>
      </c>
      <c r="E116" s="11" t="n">
        <v>103350</v>
      </c>
      <c r="F116" s="27" t="n">
        <v>0.22</v>
      </c>
      <c r="G116" s="28" t="n">
        <v>5578.5</v>
      </c>
    </row>
    <row r="117">
      <c r="B117" s="25" t="n">
        <v>2024</v>
      </c>
      <c r="C117" s="26" t="inlineStr">
        <is>
          <t>MFS</t>
        </is>
      </c>
      <c r="D117" s="11" t="n">
        <v>103350</v>
      </c>
      <c r="E117" s="11" t="n">
        <v>197300</v>
      </c>
      <c r="F117" s="27" t="n">
        <v>0.24</v>
      </c>
      <c r="G117" s="28" t="n">
        <v>17651</v>
      </c>
    </row>
    <row r="118">
      <c r="B118" s="25" t="n">
        <v>2024</v>
      </c>
      <c r="C118" s="26" t="inlineStr">
        <is>
          <t>MFS</t>
        </is>
      </c>
      <c r="D118" s="11" t="n">
        <v>197300</v>
      </c>
      <c r="E118" s="11" t="n">
        <v>250525</v>
      </c>
      <c r="F118" s="27" t="n">
        <v>0.32</v>
      </c>
      <c r="G118" s="28" t="n">
        <v>40199</v>
      </c>
    </row>
    <row r="119">
      <c r="B119" s="25" t="n">
        <v>2024</v>
      </c>
      <c r="C119" s="26" t="inlineStr">
        <is>
          <t>MFS</t>
        </is>
      </c>
      <c r="D119" s="11" t="n">
        <v>250525</v>
      </c>
      <c r="E119" s="11" t="n">
        <v>375800</v>
      </c>
      <c r="F119" s="27" t="n">
        <v>0.35</v>
      </c>
      <c r="G119" s="28" t="n">
        <v>57231</v>
      </c>
    </row>
    <row r="120">
      <c r="B120" s="25" t="n">
        <v>2024</v>
      </c>
      <c r="C120" s="26" t="inlineStr">
        <is>
          <t>MFS</t>
        </is>
      </c>
      <c r="D120" s="11" t="n">
        <v>375800</v>
      </c>
      <c r="E120" s="11" t="n">
        <v>9999999</v>
      </c>
      <c r="F120" s="27" t="n">
        <v>0.37</v>
      </c>
      <c r="G120" s="28" t="n">
        <v>101078.25</v>
      </c>
    </row>
    <row r="121">
      <c r="B121" s="25" t="n">
        <v>2025</v>
      </c>
      <c r="C121" s="26" t="inlineStr">
        <is>
          <t>HOH</t>
        </is>
      </c>
      <c r="D121" s="11" t="n">
        <v>0</v>
      </c>
      <c r="E121" s="11" t="n">
        <v>17000</v>
      </c>
      <c r="F121" s="27" t="n">
        <v>0.1</v>
      </c>
      <c r="G121" s="28" t="n">
        <v>0</v>
      </c>
    </row>
    <row r="122">
      <c r="B122" s="25" t="n">
        <v>2025</v>
      </c>
      <c r="C122" s="26" t="inlineStr">
        <is>
          <t>HOH</t>
        </is>
      </c>
      <c r="D122" s="11" t="n">
        <v>17000</v>
      </c>
      <c r="E122" s="11" t="n">
        <v>64850</v>
      </c>
      <c r="F122" s="27" t="n">
        <v>0.12</v>
      </c>
      <c r="G122" s="28" t="n">
        <v>1700</v>
      </c>
    </row>
    <row r="123">
      <c r="B123" s="25" t="n">
        <v>2025</v>
      </c>
      <c r="C123" s="26" t="inlineStr">
        <is>
          <t>HOH</t>
        </is>
      </c>
      <c r="D123" s="11" t="n">
        <v>64850</v>
      </c>
      <c r="E123" s="11" t="n">
        <v>103350</v>
      </c>
      <c r="F123" s="27" t="n">
        <v>0.22</v>
      </c>
      <c r="G123" s="28" t="n">
        <v>7442</v>
      </c>
    </row>
    <row r="124">
      <c r="B124" s="25" t="n">
        <v>2025</v>
      </c>
      <c r="C124" s="26" t="inlineStr">
        <is>
          <t>HOH</t>
        </is>
      </c>
      <c r="D124" s="11" t="n">
        <v>103350</v>
      </c>
      <c r="E124" s="11" t="n">
        <v>197300</v>
      </c>
      <c r="F124" s="27" t="n">
        <v>0.24</v>
      </c>
      <c r="G124" s="28" t="n">
        <v>14902</v>
      </c>
    </row>
    <row r="125">
      <c r="B125" s="25" t="n">
        <v>2025</v>
      </c>
      <c r="C125" s="26" t="inlineStr">
        <is>
          <t>HOH</t>
        </is>
      </c>
      <c r="D125" s="11" t="n">
        <v>197300</v>
      </c>
      <c r="E125" s="11" t="n">
        <v>250500</v>
      </c>
      <c r="F125" s="27" t="n">
        <v>0.32</v>
      </c>
      <c r="G125" s="28" t="n">
        <v>37450</v>
      </c>
    </row>
    <row r="126">
      <c r="B126" s="25" t="n">
        <v>2025</v>
      </c>
      <c r="C126" s="26" t="inlineStr">
        <is>
          <t>HOH</t>
        </is>
      </c>
      <c r="D126" s="11" t="n">
        <v>250500</v>
      </c>
      <c r="E126" s="11" t="n">
        <v>626350</v>
      </c>
      <c r="F126" s="27" t="n">
        <v>0.35</v>
      </c>
      <c r="G126" s="28" t="n">
        <v>54474</v>
      </c>
    </row>
    <row r="127">
      <c r="B127" s="25" t="n">
        <v>2025</v>
      </c>
      <c r="C127" s="26" t="inlineStr">
        <is>
          <t>HOH</t>
        </is>
      </c>
      <c r="D127" s="11" t="n">
        <v>626350</v>
      </c>
      <c r="E127" s="11" t="n">
        <v>9999999</v>
      </c>
      <c r="F127" s="27" t="n">
        <v>0.37</v>
      </c>
      <c r="G127" s="28" t="n">
        <v>185921.5</v>
      </c>
    </row>
    <row r="128">
      <c r="B128" s="25" t="n">
        <v>2025</v>
      </c>
      <c r="C128" s="26" t="inlineStr">
        <is>
          <t>MFS</t>
        </is>
      </c>
      <c r="D128" s="11" t="n">
        <v>0</v>
      </c>
      <c r="E128" s="11" t="n">
        <v>11925</v>
      </c>
      <c r="F128" s="27" t="n">
        <v>0.1</v>
      </c>
      <c r="G128" s="28" t="n">
        <v>0</v>
      </c>
    </row>
    <row r="129">
      <c r="B129" s="25" t="n">
        <v>2025</v>
      </c>
      <c r="C129" s="26" t="inlineStr">
        <is>
          <t>MFS</t>
        </is>
      </c>
      <c r="D129" s="11" t="n">
        <v>11925</v>
      </c>
      <c r="E129" s="11" t="n">
        <v>48475</v>
      </c>
      <c r="F129" s="27" t="n">
        <v>0.12</v>
      </c>
      <c r="G129" s="28" t="n">
        <v>1192.5</v>
      </c>
    </row>
    <row r="130">
      <c r="B130" s="25" t="n">
        <v>2025</v>
      </c>
      <c r="C130" s="26" t="inlineStr">
        <is>
          <t>MFS</t>
        </is>
      </c>
      <c r="D130" s="11" t="n">
        <v>48475</v>
      </c>
      <c r="E130" s="11" t="n">
        <v>103350</v>
      </c>
      <c r="F130" s="27" t="n">
        <v>0.22</v>
      </c>
      <c r="G130" s="28" t="n">
        <v>5578.5</v>
      </c>
    </row>
    <row r="131">
      <c r="B131" s="25" t="n">
        <v>2025</v>
      </c>
      <c r="C131" s="26" t="inlineStr">
        <is>
          <t>MFS</t>
        </is>
      </c>
      <c r="D131" s="11" t="n">
        <v>103350</v>
      </c>
      <c r="E131" s="11" t="n">
        <v>197300</v>
      </c>
      <c r="F131" s="27" t="n">
        <v>0.24</v>
      </c>
      <c r="G131" s="28" t="n">
        <v>17651</v>
      </c>
    </row>
    <row r="132">
      <c r="B132" s="25" t="n">
        <v>2025</v>
      </c>
      <c r="C132" s="26" t="inlineStr">
        <is>
          <t>MFS</t>
        </is>
      </c>
      <c r="D132" s="11" t="n">
        <v>197300</v>
      </c>
      <c r="E132" s="11" t="n">
        <v>250525</v>
      </c>
      <c r="F132" s="27" t="n">
        <v>0.32</v>
      </c>
      <c r="G132" s="28" t="n">
        <v>40199</v>
      </c>
    </row>
    <row r="133">
      <c r="B133" s="25" t="n">
        <v>2025</v>
      </c>
      <c r="C133" s="26" t="inlineStr">
        <is>
          <t>MFS</t>
        </is>
      </c>
      <c r="D133" s="11" t="n">
        <v>250525</v>
      </c>
      <c r="E133" s="11" t="n">
        <v>375800</v>
      </c>
      <c r="F133" s="27" t="n">
        <v>0.35</v>
      </c>
      <c r="G133" s="28" t="n">
        <v>57231</v>
      </c>
    </row>
    <row r="134">
      <c r="B134" s="25" t="n">
        <v>2025</v>
      </c>
      <c r="C134" s="26" t="inlineStr">
        <is>
          <t>MFS</t>
        </is>
      </c>
      <c r="D134" s="11" t="n">
        <v>375800</v>
      </c>
      <c r="E134" s="11" t="n">
        <v>9999999</v>
      </c>
      <c r="F134" s="27" t="n">
        <v>0.37</v>
      </c>
      <c r="G134" s="28" t="n">
        <v>101078.25</v>
      </c>
    </row>
    <row r="135">
      <c r="B135" s="25" t="n">
        <v>2026</v>
      </c>
      <c r="C135" s="26" t="inlineStr">
        <is>
          <t>HOH</t>
        </is>
      </c>
      <c r="D135" s="11" t="n">
        <v>0</v>
      </c>
      <c r="E135" s="11" t="n">
        <v>17000</v>
      </c>
      <c r="F135" s="27" t="n">
        <v>0.1</v>
      </c>
      <c r="G135" s="28" t="n">
        <v>0</v>
      </c>
    </row>
    <row r="136">
      <c r="B136" s="25" t="n">
        <v>2026</v>
      </c>
      <c r="C136" s="26" t="inlineStr">
        <is>
          <t>HOH</t>
        </is>
      </c>
      <c r="D136" s="11" t="n">
        <v>17000</v>
      </c>
      <c r="E136" s="11" t="n">
        <v>64850</v>
      </c>
      <c r="F136" s="27" t="n">
        <v>0.12</v>
      </c>
      <c r="G136" s="28" t="n">
        <v>1700</v>
      </c>
    </row>
    <row r="137">
      <c r="B137" s="25" t="n">
        <v>2026</v>
      </c>
      <c r="C137" s="26" t="inlineStr">
        <is>
          <t>HOH</t>
        </is>
      </c>
      <c r="D137" s="11" t="n">
        <v>64850</v>
      </c>
      <c r="E137" s="11" t="n">
        <v>103350</v>
      </c>
      <c r="F137" s="27" t="n">
        <v>0.22</v>
      </c>
      <c r="G137" s="28" t="n">
        <v>7442</v>
      </c>
    </row>
    <row r="138">
      <c r="B138" s="25" t="n">
        <v>2026</v>
      </c>
      <c r="C138" s="26" t="inlineStr">
        <is>
          <t>HOH</t>
        </is>
      </c>
      <c r="D138" s="11" t="n">
        <v>103350</v>
      </c>
      <c r="E138" s="11" t="n">
        <v>197300</v>
      </c>
      <c r="F138" s="27" t="n">
        <v>0.24</v>
      </c>
      <c r="G138" s="28" t="n">
        <v>14902</v>
      </c>
    </row>
    <row r="139">
      <c r="B139" s="25" t="n">
        <v>2026</v>
      </c>
      <c r="C139" s="26" t="inlineStr">
        <is>
          <t>HOH</t>
        </is>
      </c>
      <c r="D139" s="11" t="n">
        <v>197300</v>
      </c>
      <c r="E139" s="11" t="n">
        <v>250500</v>
      </c>
      <c r="F139" s="27" t="n">
        <v>0.32</v>
      </c>
      <c r="G139" s="28" t="n">
        <v>37450</v>
      </c>
    </row>
    <row r="140">
      <c r="B140" s="25" t="n">
        <v>2026</v>
      </c>
      <c r="C140" s="26" t="inlineStr">
        <is>
          <t>HOH</t>
        </is>
      </c>
      <c r="D140" s="11" t="n">
        <v>250500</v>
      </c>
      <c r="E140" s="11" t="n">
        <v>626350</v>
      </c>
      <c r="F140" s="27" t="n">
        <v>0.35</v>
      </c>
      <c r="G140" s="28" t="n">
        <v>54474</v>
      </c>
    </row>
    <row r="141">
      <c r="B141" s="25" t="n">
        <v>2026</v>
      </c>
      <c r="C141" s="26" t="inlineStr">
        <is>
          <t>HOH</t>
        </is>
      </c>
      <c r="D141" s="11" t="n">
        <v>626350</v>
      </c>
      <c r="E141" s="11" t="n">
        <v>9999999</v>
      </c>
      <c r="F141" s="27" t="n">
        <v>0.37</v>
      </c>
      <c r="G141" s="28" t="n">
        <v>185921.5</v>
      </c>
    </row>
    <row r="142">
      <c r="B142" s="25" t="n">
        <v>2026</v>
      </c>
      <c r="C142" s="26" t="inlineStr">
        <is>
          <t>MFS</t>
        </is>
      </c>
      <c r="D142" s="11" t="n">
        <v>0</v>
      </c>
      <c r="E142" s="11" t="n">
        <v>11925</v>
      </c>
      <c r="F142" s="27" t="n">
        <v>0.1</v>
      </c>
      <c r="G142" s="28" t="n">
        <v>0</v>
      </c>
    </row>
    <row r="143">
      <c r="B143" s="25" t="n">
        <v>2026</v>
      </c>
      <c r="C143" s="26" t="inlineStr">
        <is>
          <t>MFS</t>
        </is>
      </c>
      <c r="D143" s="11" t="n">
        <v>11925</v>
      </c>
      <c r="E143" s="11" t="n">
        <v>48475</v>
      </c>
      <c r="F143" s="27" t="n">
        <v>0.12</v>
      </c>
      <c r="G143" s="28" t="n">
        <v>1192.5</v>
      </c>
    </row>
    <row r="144">
      <c r="B144" s="25" t="n">
        <v>2026</v>
      </c>
      <c r="C144" s="26" t="inlineStr">
        <is>
          <t>MFS</t>
        </is>
      </c>
      <c r="D144" s="11" t="n">
        <v>48475</v>
      </c>
      <c r="E144" s="11" t="n">
        <v>103350</v>
      </c>
      <c r="F144" s="27" t="n">
        <v>0.22</v>
      </c>
      <c r="G144" s="28" t="n">
        <v>5578.5</v>
      </c>
    </row>
    <row r="145">
      <c r="B145" s="25" t="n">
        <v>2026</v>
      </c>
      <c r="C145" s="26" t="inlineStr">
        <is>
          <t>MFS</t>
        </is>
      </c>
      <c r="D145" s="11" t="n">
        <v>103350</v>
      </c>
      <c r="E145" s="11" t="n">
        <v>197300</v>
      </c>
      <c r="F145" s="27" t="n">
        <v>0.24</v>
      </c>
      <c r="G145" s="28" t="n">
        <v>17651</v>
      </c>
    </row>
    <row r="146">
      <c r="B146" s="25" t="n">
        <v>2026</v>
      </c>
      <c r="C146" s="26" t="inlineStr">
        <is>
          <t>MFS</t>
        </is>
      </c>
      <c r="D146" s="11" t="n">
        <v>197300</v>
      </c>
      <c r="E146" s="11" t="n">
        <v>250525</v>
      </c>
      <c r="F146" s="27" t="n">
        <v>0.32</v>
      </c>
      <c r="G146" s="28" t="n">
        <v>40199</v>
      </c>
    </row>
    <row r="147">
      <c r="B147" s="25" t="n">
        <v>2026</v>
      </c>
      <c r="C147" s="26" t="inlineStr">
        <is>
          <t>MFS</t>
        </is>
      </c>
      <c r="D147" s="11" t="n">
        <v>250525</v>
      </c>
      <c r="E147" s="11" t="n">
        <v>375800</v>
      </c>
      <c r="F147" s="27" t="n">
        <v>0.35</v>
      </c>
      <c r="G147" s="28" t="n">
        <v>57231</v>
      </c>
    </row>
    <row r="148">
      <c r="B148" s="25" t="n">
        <v>2026</v>
      </c>
      <c r="C148" s="26" t="inlineStr">
        <is>
          <t>MFS</t>
        </is>
      </c>
      <c r="D148" s="11" t="n">
        <v>375800</v>
      </c>
      <c r="E148" s="11" t="n">
        <v>9999999</v>
      </c>
      <c r="F148" s="27" t="n">
        <v>0.37</v>
      </c>
      <c r="G148" s="28" t="n">
        <v>101078.25</v>
      </c>
    </row>
    <row r="149">
      <c r="B149" s="25" t="n">
        <v>2027</v>
      </c>
      <c r="C149" s="26" t="inlineStr">
        <is>
          <t>HOH</t>
        </is>
      </c>
      <c r="D149" s="11" t="n">
        <v>0</v>
      </c>
      <c r="E149" s="11" t="n">
        <v>17000</v>
      </c>
      <c r="F149" s="27" t="n">
        <v>0.1</v>
      </c>
      <c r="G149" s="28" t="n">
        <v>0</v>
      </c>
    </row>
    <row r="150">
      <c r="B150" s="25" t="n">
        <v>2027</v>
      </c>
      <c r="C150" s="26" t="inlineStr">
        <is>
          <t>HOH</t>
        </is>
      </c>
      <c r="D150" s="11" t="n">
        <v>17000</v>
      </c>
      <c r="E150" s="11" t="n">
        <v>64850</v>
      </c>
      <c r="F150" s="27" t="n">
        <v>0.12</v>
      </c>
      <c r="G150" s="28" t="n">
        <v>1700</v>
      </c>
    </row>
    <row r="151">
      <c r="B151" s="25" t="n">
        <v>2027</v>
      </c>
      <c r="C151" s="26" t="inlineStr">
        <is>
          <t>HOH</t>
        </is>
      </c>
      <c r="D151" s="11" t="n">
        <v>64850</v>
      </c>
      <c r="E151" s="11" t="n">
        <v>103350</v>
      </c>
      <c r="F151" s="27" t="n">
        <v>0.22</v>
      </c>
      <c r="G151" s="28" t="n">
        <v>7442</v>
      </c>
    </row>
    <row r="152">
      <c r="B152" s="25" t="n">
        <v>2027</v>
      </c>
      <c r="C152" s="26" t="inlineStr">
        <is>
          <t>HOH</t>
        </is>
      </c>
      <c r="D152" s="11" t="n">
        <v>103350</v>
      </c>
      <c r="E152" s="11" t="n">
        <v>197300</v>
      </c>
      <c r="F152" s="27" t="n">
        <v>0.24</v>
      </c>
      <c r="G152" s="28" t="n">
        <v>14902</v>
      </c>
    </row>
    <row r="153">
      <c r="B153" s="25" t="n">
        <v>2027</v>
      </c>
      <c r="C153" s="26" t="inlineStr">
        <is>
          <t>HOH</t>
        </is>
      </c>
      <c r="D153" s="11" t="n">
        <v>197300</v>
      </c>
      <c r="E153" s="11" t="n">
        <v>250500</v>
      </c>
      <c r="F153" s="27" t="n">
        <v>0.32</v>
      </c>
      <c r="G153" s="28" t="n">
        <v>37450</v>
      </c>
    </row>
    <row r="154">
      <c r="B154" s="25" t="n">
        <v>2027</v>
      </c>
      <c r="C154" s="26" t="inlineStr">
        <is>
          <t>HOH</t>
        </is>
      </c>
      <c r="D154" s="11" t="n">
        <v>250500</v>
      </c>
      <c r="E154" s="11" t="n">
        <v>626350</v>
      </c>
      <c r="F154" s="27" t="n">
        <v>0.35</v>
      </c>
      <c r="G154" s="28" t="n">
        <v>54474</v>
      </c>
    </row>
    <row r="155">
      <c r="B155" s="25" t="n">
        <v>2027</v>
      </c>
      <c r="C155" s="26" t="inlineStr">
        <is>
          <t>HOH</t>
        </is>
      </c>
      <c r="D155" s="11" t="n">
        <v>626350</v>
      </c>
      <c r="E155" s="11" t="n">
        <v>9999999</v>
      </c>
      <c r="F155" s="27" t="n">
        <v>0.37</v>
      </c>
      <c r="G155" s="28" t="n">
        <v>185921.5</v>
      </c>
    </row>
    <row r="156">
      <c r="B156" s="25" t="n">
        <v>2027</v>
      </c>
      <c r="C156" s="26" t="inlineStr">
        <is>
          <t>MFS</t>
        </is>
      </c>
      <c r="D156" s="11" t="n">
        <v>0</v>
      </c>
      <c r="E156" s="11" t="n">
        <v>11925</v>
      </c>
      <c r="F156" s="27" t="n">
        <v>0.1</v>
      </c>
      <c r="G156" s="28" t="n">
        <v>0</v>
      </c>
    </row>
    <row r="157">
      <c r="B157" s="25" t="n">
        <v>2027</v>
      </c>
      <c r="C157" s="26" t="inlineStr">
        <is>
          <t>MFS</t>
        </is>
      </c>
      <c r="D157" s="11" t="n">
        <v>11925</v>
      </c>
      <c r="E157" s="11" t="n">
        <v>48475</v>
      </c>
      <c r="F157" s="27" t="n">
        <v>0.12</v>
      </c>
      <c r="G157" s="28" t="n">
        <v>1192.5</v>
      </c>
    </row>
    <row r="158">
      <c r="B158" s="25" t="n">
        <v>2027</v>
      </c>
      <c r="C158" s="26" t="inlineStr">
        <is>
          <t>MFS</t>
        </is>
      </c>
      <c r="D158" s="11" t="n">
        <v>48475</v>
      </c>
      <c r="E158" s="11" t="n">
        <v>103350</v>
      </c>
      <c r="F158" s="27" t="n">
        <v>0.22</v>
      </c>
      <c r="G158" s="28" t="n">
        <v>5578.5</v>
      </c>
    </row>
    <row r="159">
      <c r="B159" s="25" t="n">
        <v>2027</v>
      </c>
      <c r="C159" s="26" t="inlineStr">
        <is>
          <t>MFS</t>
        </is>
      </c>
      <c r="D159" s="11" t="n">
        <v>103350</v>
      </c>
      <c r="E159" s="11" t="n">
        <v>197300</v>
      </c>
      <c r="F159" s="27" t="n">
        <v>0.24</v>
      </c>
      <c r="G159" s="28" t="n">
        <v>17651</v>
      </c>
    </row>
    <row r="160">
      <c r="B160" s="25" t="n">
        <v>2027</v>
      </c>
      <c r="C160" s="26" t="inlineStr">
        <is>
          <t>MFS</t>
        </is>
      </c>
      <c r="D160" s="11" t="n">
        <v>197300</v>
      </c>
      <c r="E160" s="11" t="n">
        <v>250525</v>
      </c>
      <c r="F160" s="27" t="n">
        <v>0.32</v>
      </c>
      <c r="G160" s="28" t="n">
        <v>40199</v>
      </c>
    </row>
    <row r="161">
      <c r="B161" s="25" t="n">
        <v>2027</v>
      </c>
      <c r="C161" s="26" t="inlineStr">
        <is>
          <t>MFS</t>
        </is>
      </c>
      <c r="D161" s="11" t="n">
        <v>250525</v>
      </c>
      <c r="E161" s="11" t="n">
        <v>375800</v>
      </c>
      <c r="F161" s="27" t="n">
        <v>0.35</v>
      </c>
      <c r="G161" s="28" t="n">
        <v>57231</v>
      </c>
    </row>
    <row r="162">
      <c r="B162" s="25" t="n">
        <v>2027</v>
      </c>
      <c r="C162" s="26" t="inlineStr">
        <is>
          <t>MFS</t>
        </is>
      </c>
      <c r="D162" s="11" t="n">
        <v>375800</v>
      </c>
      <c r="E162" s="11" t="n">
        <v>9999999</v>
      </c>
      <c r="F162" s="27" t="n">
        <v>0.37</v>
      </c>
      <c r="G162" s="28" t="n">
        <v>101078.25</v>
      </c>
    </row>
    <row r="163">
      <c r="B163" s="25" t="n">
        <v>2028</v>
      </c>
      <c r="C163" s="26" t="inlineStr">
        <is>
          <t>HOH</t>
        </is>
      </c>
      <c r="D163" s="11" t="n">
        <v>0</v>
      </c>
      <c r="E163" s="11" t="n">
        <v>17000</v>
      </c>
      <c r="F163" s="27" t="n">
        <v>0.1</v>
      </c>
      <c r="G163" s="28" t="n">
        <v>0</v>
      </c>
    </row>
    <row r="164">
      <c r="B164" s="25" t="n">
        <v>2028</v>
      </c>
      <c r="C164" s="26" t="inlineStr">
        <is>
          <t>HOH</t>
        </is>
      </c>
      <c r="D164" s="11" t="n">
        <v>17000</v>
      </c>
      <c r="E164" s="11" t="n">
        <v>64850</v>
      </c>
      <c r="F164" s="27" t="n">
        <v>0.12</v>
      </c>
      <c r="G164" s="28" t="n">
        <v>1700</v>
      </c>
    </row>
    <row r="165">
      <c r="B165" s="25" t="n">
        <v>2028</v>
      </c>
      <c r="C165" s="26" t="inlineStr">
        <is>
          <t>HOH</t>
        </is>
      </c>
      <c r="D165" s="11" t="n">
        <v>64850</v>
      </c>
      <c r="E165" s="11" t="n">
        <v>103350</v>
      </c>
      <c r="F165" s="27" t="n">
        <v>0.22</v>
      </c>
      <c r="G165" s="28" t="n">
        <v>7442</v>
      </c>
    </row>
    <row r="166">
      <c r="B166" s="25" t="n">
        <v>2028</v>
      </c>
      <c r="C166" s="26" t="inlineStr">
        <is>
          <t>HOH</t>
        </is>
      </c>
      <c r="D166" s="11" t="n">
        <v>103350</v>
      </c>
      <c r="E166" s="11" t="n">
        <v>197300</v>
      </c>
      <c r="F166" s="27" t="n">
        <v>0.24</v>
      </c>
      <c r="G166" s="28" t="n">
        <v>14902</v>
      </c>
    </row>
    <row r="167">
      <c r="B167" s="25" t="n">
        <v>2028</v>
      </c>
      <c r="C167" s="26" t="inlineStr">
        <is>
          <t>HOH</t>
        </is>
      </c>
      <c r="D167" s="11" t="n">
        <v>197300</v>
      </c>
      <c r="E167" s="11" t="n">
        <v>250500</v>
      </c>
      <c r="F167" s="27" t="n">
        <v>0.32</v>
      </c>
      <c r="G167" s="28" t="n">
        <v>37450</v>
      </c>
    </row>
    <row r="168">
      <c r="B168" s="25" t="n">
        <v>2028</v>
      </c>
      <c r="C168" s="26" t="inlineStr">
        <is>
          <t>HOH</t>
        </is>
      </c>
      <c r="D168" s="11" t="n">
        <v>250500</v>
      </c>
      <c r="E168" s="11" t="n">
        <v>626350</v>
      </c>
      <c r="F168" s="27" t="n">
        <v>0.35</v>
      </c>
      <c r="G168" s="28" t="n">
        <v>54474</v>
      </c>
    </row>
    <row r="169">
      <c r="B169" s="25" t="n">
        <v>2028</v>
      </c>
      <c r="C169" s="26" t="inlineStr">
        <is>
          <t>HOH</t>
        </is>
      </c>
      <c r="D169" s="11" t="n">
        <v>626350</v>
      </c>
      <c r="E169" s="11" t="n">
        <v>9999999</v>
      </c>
      <c r="F169" s="27" t="n">
        <v>0.37</v>
      </c>
      <c r="G169" s="28" t="n">
        <v>185921.5</v>
      </c>
    </row>
    <row r="170">
      <c r="B170" s="25" t="n">
        <v>2028</v>
      </c>
      <c r="C170" s="26" t="inlineStr">
        <is>
          <t>MFS</t>
        </is>
      </c>
      <c r="D170" s="11" t="n">
        <v>0</v>
      </c>
      <c r="E170" s="11" t="n">
        <v>11925</v>
      </c>
      <c r="F170" s="27" t="n">
        <v>0.1</v>
      </c>
      <c r="G170" s="28" t="n">
        <v>0</v>
      </c>
    </row>
    <row r="171">
      <c r="B171" s="25" t="n">
        <v>2028</v>
      </c>
      <c r="C171" s="26" t="inlineStr">
        <is>
          <t>MFS</t>
        </is>
      </c>
      <c r="D171" s="11" t="n">
        <v>11925</v>
      </c>
      <c r="E171" s="11" t="n">
        <v>48475</v>
      </c>
      <c r="F171" s="27" t="n">
        <v>0.12</v>
      </c>
      <c r="G171" s="28" t="n">
        <v>1192.5</v>
      </c>
    </row>
    <row r="172">
      <c r="B172" s="25" t="n">
        <v>2028</v>
      </c>
      <c r="C172" s="26" t="inlineStr">
        <is>
          <t>MFS</t>
        </is>
      </c>
      <c r="D172" s="11" t="n">
        <v>48475</v>
      </c>
      <c r="E172" s="11" t="n">
        <v>103350</v>
      </c>
      <c r="F172" s="27" t="n">
        <v>0.22</v>
      </c>
      <c r="G172" s="28" t="n">
        <v>5578.5</v>
      </c>
    </row>
    <row r="173">
      <c r="B173" s="25" t="n">
        <v>2028</v>
      </c>
      <c r="C173" s="26" t="inlineStr">
        <is>
          <t>MFS</t>
        </is>
      </c>
      <c r="D173" s="11" t="n">
        <v>103350</v>
      </c>
      <c r="E173" s="11" t="n">
        <v>197300</v>
      </c>
      <c r="F173" s="27" t="n">
        <v>0.24</v>
      </c>
      <c r="G173" s="28" t="n">
        <v>17651</v>
      </c>
    </row>
    <row r="174">
      <c r="B174" s="25" t="n">
        <v>2028</v>
      </c>
      <c r="C174" s="26" t="inlineStr">
        <is>
          <t>MFS</t>
        </is>
      </c>
      <c r="D174" s="11" t="n">
        <v>197300</v>
      </c>
      <c r="E174" s="11" t="n">
        <v>250525</v>
      </c>
      <c r="F174" s="27" t="n">
        <v>0.32</v>
      </c>
      <c r="G174" s="28" t="n">
        <v>40199</v>
      </c>
    </row>
    <row r="175">
      <c r="B175" s="25" t="n">
        <v>2028</v>
      </c>
      <c r="C175" s="26" t="inlineStr">
        <is>
          <t>MFS</t>
        </is>
      </c>
      <c r="D175" s="11" t="n">
        <v>250525</v>
      </c>
      <c r="E175" s="11" t="n">
        <v>375800</v>
      </c>
      <c r="F175" s="27" t="n">
        <v>0.35</v>
      </c>
      <c r="G175" s="28" t="n">
        <v>57231</v>
      </c>
    </row>
    <row r="176">
      <c r="B176" s="25" t="n">
        <v>2028</v>
      </c>
      <c r="C176" s="26" t="inlineStr">
        <is>
          <t>MFS</t>
        </is>
      </c>
      <c r="D176" s="11" t="n">
        <v>375800</v>
      </c>
      <c r="E176" s="11" t="n">
        <v>9999999</v>
      </c>
      <c r="F176" s="27" t="n">
        <v>0.37</v>
      </c>
      <c r="G176" s="28" t="n">
        <v>101078.25</v>
      </c>
    </row>
    <row r="177">
      <c r="B177" s="30" t="n"/>
      <c r="C177" s="26" t="n"/>
      <c r="D177" s="11" t="n"/>
      <c r="E177" s="11" t="n"/>
      <c r="F177" s="27" t="n"/>
      <c r="G177" s="28" t="n"/>
    </row>
    <row r="178">
      <c r="B178" s="31" t="inlineStr">
        <is>
          <t>tblStdDed — Standard Deduction Lookup (2023–2028)</t>
        </is>
      </c>
      <c r="C178" s="26" t="n"/>
      <c r="D178" s="11" t="n"/>
      <c r="E178" s="11" t="n"/>
      <c r="F178" s="27" t="n"/>
      <c r="G178" s="28" t="n"/>
    </row>
    <row r="179">
      <c r="B179" s="32" t="n"/>
      <c r="C179" s="26" t="n"/>
      <c r="D179" s="11" t="n"/>
      <c r="E179" s="11" t="n"/>
      <c r="F179" s="27" t="n"/>
      <c r="G179" s="28" t="n"/>
    </row>
    <row r="180">
      <c r="B180" s="30" t="n"/>
      <c r="C180" s="26" t="n"/>
      <c r="D180" s="11" t="n"/>
      <c r="E180" s="11" t="n"/>
      <c r="F180" s="27" t="n"/>
      <c r="G180" s="28" t="n"/>
    </row>
    <row r="181">
      <c r="B181" s="30" t="inlineStr">
        <is>
          <t>Year</t>
        </is>
      </c>
      <c r="C181" s="26" t="inlineStr">
        <is>
          <t>FilingStatus</t>
        </is>
      </c>
      <c r="D181" s="11" t="inlineStr">
        <is>
          <t>Amount</t>
        </is>
      </c>
      <c r="E181" s="11" t="n"/>
      <c r="F181" s="27" t="n"/>
      <c r="G181" s="28" t="n"/>
    </row>
    <row r="182">
      <c r="B182" s="25" t="n">
        <v>2023</v>
      </c>
      <c r="C182" s="26" t="inlineStr">
        <is>
          <t>MFJ</t>
        </is>
      </c>
      <c r="D182" s="11" t="n">
        <v>31500</v>
      </c>
      <c r="E182" s="11" t="n"/>
      <c r="F182" s="27" t="n"/>
      <c r="G182" s="28" t="n"/>
    </row>
    <row r="183">
      <c r="B183" s="25" t="n">
        <v>2023</v>
      </c>
      <c r="C183" s="26" t="inlineStr">
        <is>
          <t>Single</t>
        </is>
      </c>
      <c r="D183" s="11" t="n">
        <v>15750</v>
      </c>
      <c r="E183" s="11" t="n"/>
      <c r="F183" s="27" t="n"/>
      <c r="G183" s="28" t="n"/>
    </row>
    <row r="184">
      <c r="B184" s="25" t="n">
        <v>2023</v>
      </c>
      <c r="C184" s="26" t="inlineStr">
        <is>
          <t>HOH</t>
        </is>
      </c>
      <c r="D184" s="11" t="n">
        <v>22500</v>
      </c>
      <c r="E184" s="11" t="n"/>
      <c r="F184" s="27" t="n"/>
      <c r="G184" s="28" t="n"/>
    </row>
    <row r="185">
      <c r="B185" s="25" t="n">
        <v>2023</v>
      </c>
      <c r="C185" s="26" t="inlineStr">
        <is>
          <t>MFS</t>
        </is>
      </c>
      <c r="D185" s="11" t="n">
        <v>15750</v>
      </c>
      <c r="E185" s="11" t="n"/>
      <c r="F185" s="27" t="n"/>
      <c r="G185" s="28" t="n"/>
    </row>
    <row r="186">
      <c r="B186" s="25" t="n">
        <v>2024</v>
      </c>
      <c r="C186" s="26" t="inlineStr">
        <is>
          <t>MFJ</t>
        </is>
      </c>
      <c r="D186" s="11" t="n">
        <v>31500</v>
      </c>
      <c r="E186" s="11" t="n"/>
      <c r="F186" s="27" t="n"/>
      <c r="G186" s="28" t="n"/>
    </row>
    <row r="187">
      <c r="B187" s="25" t="n">
        <v>2024</v>
      </c>
      <c r="C187" s="26" t="inlineStr">
        <is>
          <t>Single</t>
        </is>
      </c>
      <c r="D187" s="11" t="n">
        <v>15750</v>
      </c>
      <c r="E187" s="11" t="n"/>
      <c r="F187" s="27" t="n"/>
      <c r="G187" s="28" t="n"/>
    </row>
    <row r="188">
      <c r="B188" s="25" t="n">
        <v>2024</v>
      </c>
      <c r="C188" s="26" t="inlineStr">
        <is>
          <t>HOH</t>
        </is>
      </c>
      <c r="D188" s="11" t="n">
        <v>22500</v>
      </c>
      <c r="E188" s="11" t="n"/>
      <c r="F188" s="27" t="n"/>
      <c r="G188" s="28" t="n"/>
    </row>
    <row r="189">
      <c r="B189" s="25" t="n">
        <v>2024</v>
      </c>
      <c r="C189" s="26" t="inlineStr">
        <is>
          <t>MFS</t>
        </is>
      </c>
      <c r="D189" s="11" t="n">
        <v>15750</v>
      </c>
      <c r="E189" s="11" t="n"/>
      <c r="F189" s="27" t="n"/>
      <c r="G189" s="28" t="n"/>
    </row>
    <row r="190">
      <c r="B190" s="25" t="n">
        <v>2025</v>
      </c>
      <c r="C190" s="26" t="inlineStr">
        <is>
          <t>MFJ</t>
        </is>
      </c>
      <c r="D190" s="11" t="n">
        <v>31500</v>
      </c>
      <c r="E190" s="11" t="n"/>
      <c r="F190" s="27" t="n"/>
      <c r="G190" s="28" t="n"/>
    </row>
    <row r="191">
      <c r="B191" s="25" t="n">
        <v>2025</v>
      </c>
      <c r="C191" s="26" t="inlineStr">
        <is>
          <t>Single</t>
        </is>
      </c>
      <c r="D191" s="11" t="n">
        <v>15750</v>
      </c>
      <c r="E191" s="11" t="n"/>
      <c r="F191" s="27" t="n"/>
      <c r="G191" s="28" t="n"/>
    </row>
    <row r="192">
      <c r="B192" s="25" t="n">
        <v>2025</v>
      </c>
      <c r="C192" s="26" t="inlineStr">
        <is>
          <t>HOH</t>
        </is>
      </c>
      <c r="D192" s="11" t="n">
        <v>22500</v>
      </c>
      <c r="E192" s="11" t="n"/>
      <c r="F192" s="27" t="n"/>
      <c r="G192" s="28" t="n"/>
    </row>
    <row r="193">
      <c r="B193" s="25" t="n">
        <v>2025</v>
      </c>
      <c r="C193" s="26" t="inlineStr">
        <is>
          <t>MFS</t>
        </is>
      </c>
      <c r="D193" s="11" t="n">
        <v>15750</v>
      </c>
      <c r="E193" s="11" t="n"/>
      <c r="F193" s="27" t="n"/>
      <c r="G193" s="28" t="n"/>
    </row>
    <row r="194">
      <c r="B194" s="25" t="n">
        <v>2026</v>
      </c>
      <c r="C194" s="26" t="inlineStr">
        <is>
          <t>MFJ</t>
        </is>
      </c>
      <c r="D194" s="11" t="n">
        <v>31500</v>
      </c>
      <c r="E194" s="11" t="n"/>
      <c r="F194" s="27" t="n"/>
      <c r="G194" s="28" t="n"/>
    </row>
    <row r="195">
      <c r="B195" s="25" t="n">
        <v>2026</v>
      </c>
      <c r="C195" s="26" t="inlineStr">
        <is>
          <t>Single</t>
        </is>
      </c>
      <c r="D195" s="11" t="n">
        <v>15750</v>
      </c>
      <c r="E195" s="11" t="n"/>
      <c r="F195" s="27" t="n"/>
      <c r="G195" s="28" t="n"/>
    </row>
    <row r="196">
      <c r="B196" s="25" t="n">
        <v>2026</v>
      </c>
      <c r="C196" s="26" t="inlineStr">
        <is>
          <t>HOH</t>
        </is>
      </c>
      <c r="D196" s="11" t="n">
        <v>22500</v>
      </c>
      <c r="E196" s="11" t="n"/>
      <c r="F196" s="27" t="n"/>
      <c r="G196" s="28" t="n"/>
    </row>
    <row r="197">
      <c r="B197" s="25" t="n">
        <v>2026</v>
      </c>
      <c r="C197" s="26" t="inlineStr">
        <is>
          <t>MFS</t>
        </is>
      </c>
      <c r="D197" s="11" t="n">
        <v>15750</v>
      </c>
      <c r="E197" s="11" t="n"/>
      <c r="F197" s="27" t="n"/>
      <c r="G197" s="28" t="n"/>
    </row>
    <row r="198">
      <c r="B198" s="25" t="n">
        <v>2027</v>
      </c>
      <c r="C198" s="26" t="inlineStr">
        <is>
          <t>MFJ</t>
        </is>
      </c>
      <c r="D198" s="11" t="n">
        <v>31500</v>
      </c>
      <c r="E198" s="11" t="n"/>
      <c r="F198" s="27" t="n"/>
      <c r="G198" s="28" t="n"/>
    </row>
    <row r="199">
      <c r="B199" s="25" t="n">
        <v>2027</v>
      </c>
      <c r="C199" s="26" t="inlineStr">
        <is>
          <t>Single</t>
        </is>
      </c>
      <c r="D199" s="11" t="n">
        <v>15750</v>
      </c>
      <c r="E199" s="11" t="n"/>
      <c r="F199" s="27" t="n"/>
      <c r="G199" s="28" t="n"/>
    </row>
    <row r="200">
      <c r="B200" s="25" t="n">
        <v>2027</v>
      </c>
      <c r="C200" s="26" t="inlineStr">
        <is>
          <t>HOH</t>
        </is>
      </c>
      <c r="D200" s="11" t="n">
        <v>22500</v>
      </c>
      <c r="E200" s="11" t="n"/>
      <c r="F200" s="27" t="n"/>
      <c r="G200" s="28" t="n"/>
    </row>
    <row r="201">
      <c r="B201" s="25" t="n">
        <v>2027</v>
      </c>
      <c r="C201" s="26" t="inlineStr">
        <is>
          <t>MFS</t>
        </is>
      </c>
      <c r="D201" s="11" t="n">
        <v>15750</v>
      </c>
      <c r="E201" s="11" t="n"/>
      <c r="F201" s="27" t="n"/>
      <c r="G201" s="28" t="n"/>
    </row>
    <row r="202">
      <c r="B202" s="25" t="n">
        <v>2028</v>
      </c>
      <c r="C202" s="26" t="inlineStr">
        <is>
          <t>MFJ</t>
        </is>
      </c>
      <c r="D202" s="11" t="n">
        <v>31500</v>
      </c>
      <c r="E202" s="11" t="n"/>
      <c r="F202" s="27" t="n"/>
      <c r="G202" s="28" t="n"/>
    </row>
    <row r="203">
      <c r="B203" s="25" t="n">
        <v>2028</v>
      </c>
      <c r="C203" s="26" t="inlineStr">
        <is>
          <t>Single</t>
        </is>
      </c>
      <c r="D203" s="11" t="n">
        <v>15750</v>
      </c>
      <c r="E203" s="11" t="n"/>
      <c r="F203" s="27" t="n"/>
      <c r="G203" s="28" t="n"/>
    </row>
    <row r="204">
      <c r="B204" s="25" t="n">
        <v>2028</v>
      </c>
      <c r="C204" s="26" t="inlineStr">
        <is>
          <t>HOH</t>
        </is>
      </c>
      <c r="D204" s="11" t="n">
        <v>22500</v>
      </c>
      <c r="E204" s="11" t="n"/>
      <c r="F204" s="27" t="n"/>
      <c r="G204" s="28" t="n"/>
    </row>
    <row r="205">
      <c r="B205" s="25" t="n">
        <v>2028</v>
      </c>
      <c r="C205" s="26" t="inlineStr">
        <is>
          <t>MFS</t>
        </is>
      </c>
      <c r="D205" s="11" t="n">
        <v>15750</v>
      </c>
      <c r="E205" s="11" t="n"/>
      <c r="F205" s="27" t="n"/>
      <c r="G205" s="28" t="n"/>
    </row>
    <row r="206">
      <c r="B206" s="30" t="n"/>
      <c r="C206" s="26" t="n"/>
      <c r="D206" s="11" t="n"/>
      <c r="E206" s="11" t="n"/>
      <c r="F206" s="27" t="n"/>
      <c r="G206" s="28" t="n"/>
    </row>
    <row r="207">
      <c r="B207" s="31" t="inlineStr">
        <is>
          <t>tblBrackets_LTCG — Long-Term Capital Gains / Qualified Dividend Brackets (2023–2028)</t>
        </is>
      </c>
      <c r="C207" s="26" t="n"/>
      <c r="D207" s="11" t="n"/>
      <c r="E207" s="11" t="n"/>
      <c r="F207" s="27" t="n"/>
      <c r="G207" s="28" t="n"/>
    </row>
    <row r="208">
      <c r="B208" s="30" t="n"/>
      <c r="C208" s="26" t="n"/>
      <c r="D208" s="11" t="n"/>
      <c r="E208" s="11" t="n"/>
      <c r="F208" s="27" t="n"/>
      <c r="G208" s="28" t="n"/>
    </row>
    <row r="209">
      <c r="B209" s="30" t="inlineStr">
        <is>
          <t>Year</t>
        </is>
      </c>
      <c r="C209" s="26" t="inlineStr">
        <is>
          <t>FilingStatus</t>
        </is>
      </c>
      <c r="D209" s="11" t="inlineStr">
        <is>
          <t>Lower</t>
        </is>
      </c>
      <c r="E209" s="11" t="inlineStr">
        <is>
          <t>Upper</t>
        </is>
      </c>
      <c r="F209" s="27" t="inlineStr">
        <is>
          <t>Rate</t>
        </is>
      </c>
      <c r="G209" s="28" t="n"/>
    </row>
    <row r="210">
      <c r="B210" s="25" t="n">
        <v>2023</v>
      </c>
      <c r="C210" s="26" t="inlineStr">
        <is>
          <t>MFJ</t>
        </is>
      </c>
      <c r="D210" s="11" t="n">
        <v>0</v>
      </c>
      <c r="E210" s="11" t="n">
        <v>96700</v>
      </c>
      <c r="F210" s="27" t="n">
        <v>0</v>
      </c>
      <c r="G210" s="28" t="n"/>
    </row>
    <row r="211">
      <c r="B211" s="25" t="n">
        <v>2023</v>
      </c>
      <c r="C211" s="26" t="inlineStr">
        <is>
          <t>MFJ</t>
        </is>
      </c>
      <c r="D211" s="11" t="n">
        <v>96700</v>
      </c>
      <c r="E211" s="11" t="n">
        <v>600050</v>
      </c>
      <c r="F211" s="27" t="n">
        <v>0.15</v>
      </c>
      <c r="G211" s="28" t="n"/>
    </row>
    <row r="212">
      <c r="B212" s="25" t="n">
        <v>2023</v>
      </c>
      <c r="C212" s="26" t="inlineStr">
        <is>
          <t>MFJ</t>
        </is>
      </c>
      <c r="D212" s="11" t="n">
        <v>600050</v>
      </c>
      <c r="E212" s="11" t="n">
        <v>9999999</v>
      </c>
      <c r="F212" s="27" t="n">
        <v>0.2</v>
      </c>
      <c r="G212" s="28" t="n"/>
    </row>
    <row r="213">
      <c r="B213" s="25" t="n">
        <v>2023</v>
      </c>
      <c r="C213" s="26" t="inlineStr">
        <is>
          <t>Single</t>
        </is>
      </c>
      <c r="D213" s="11" t="n">
        <v>0</v>
      </c>
      <c r="E213" s="11" t="n">
        <v>48350</v>
      </c>
      <c r="F213" s="27" t="n">
        <v>0</v>
      </c>
      <c r="G213" s="28" t="n"/>
    </row>
    <row r="214">
      <c r="B214" s="25" t="n">
        <v>2023</v>
      </c>
      <c r="C214" s="26" t="inlineStr">
        <is>
          <t>Single</t>
        </is>
      </c>
      <c r="D214" s="11" t="n">
        <v>48350</v>
      </c>
      <c r="E214" s="11" t="n">
        <v>533400</v>
      </c>
      <c r="F214" s="27" t="n">
        <v>0.15</v>
      </c>
      <c r="G214" s="28" t="n"/>
    </row>
    <row r="215">
      <c r="B215" s="25" t="n">
        <v>2023</v>
      </c>
      <c r="C215" s="26" t="inlineStr">
        <is>
          <t>Single</t>
        </is>
      </c>
      <c r="D215" s="11" t="n">
        <v>533400</v>
      </c>
      <c r="E215" s="11" t="n">
        <v>9999999</v>
      </c>
      <c r="F215" s="27" t="n">
        <v>0.2</v>
      </c>
      <c r="G215" s="28" t="n"/>
    </row>
    <row r="216">
      <c r="B216" s="25" t="n">
        <v>2023</v>
      </c>
      <c r="C216" s="26" t="inlineStr">
        <is>
          <t>HOH</t>
        </is>
      </c>
      <c r="D216" s="11" t="n">
        <v>0</v>
      </c>
      <c r="E216" s="11" t="n">
        <v>64750</v>
      </c>
      <c r="F216" s="27" t="n">
        <v>0</v>
      </c>
      <c r="G216" s="28" t="n"/>
    </row>
    <row r="217">
      <c r="B217" s="25" t="n">
        <v>2023</v>
      </c>
      <c r="C217" s="26" t="inlineStr">
        <is>
          <t>HOH</t>
        </is>
      </c>
      <c r="D217" s="11" t="n">
        <v>64750</v>
      </c>
      <c r="E217" s="11" t="n">
        <v>566700</v>
      </c>
      <c r="F217" s="27" t="n">
        <v>0.15</v>
      </c>
      <c r="G217" s="28" t="n"/>
    </row>
    <row r="218">
      <c r="B218" s="25" t="n">
        <v>2023</v>
      </c>
      <c r="C218" s="26" t="inlineStr">
        <is>
          <t>HOH</t>
        </is>
      </c>
      <c r="D218" s="11" t="n">
        <v>566700</v>
      </c>
      <c r="E218" s="11" t="n">
        <v>9999999</v>
      </c>
      <c r="F218" s="27" t="n">
        <v>0.2</v>
      </c>
      <c r="G218" s="28" t="n"/>
    </row>
    <row r="219">
      <c r="B219" s="25" t="n">
        <v>2023</v>
      </c>
      <c r="C219" s="26" t="inlineStr">
        <is>
          <t>MFS</t>
        </is>
      </c>
      <c r="D219" s="11" t="n">
        <v>0</v>
      </c>
      <c r="E219" s="11" t="n">
        <v>48350</v>
      </c>
      <c r="F219" s="27" t="n">
        <v>0</v>
      </c>
      <c r="G219" s="28" t="n"/>
    </row>
    <row r="220">
      <c r="B220" s="25" t="n">
        <v>2023</v>
      </c>
      <c r="C220" s="26" t="inlineStr">
        <is>
          <t>MFS</t>
        </is>
      </c>
      <c r="D220" s="11" t="n">
        <v>48350</v>
      </c>
      <c r="E220" s="11" t="n">
        <v>300025</v>
      </c>
      <c r="F220" s="27" t="n">
        <v>0.15</v>
      </c>
      <c r="G220" s="28" t="n"/>
    </row>
    <row r="221">
      <c r="B221" s="25" t="n">
        <v>2023</v>
      </c>
      <c r="C221" s="26" t="inlineStr">
        <is>
          <t>MFS</t>
        </is>
      </c>
      <c r="D221" s="11" t="n">
        <v>300025</v>
      </c>
      <c r="E221" s="11" t="n">
        <v>9999999</v>
      </c>
      <c r="F221" s="27" t="n">
        <v>0.2</v>
      </c>
      <c r="G221" s="28" t="n"/>
    </row>
    <row r="222">
      <c r="B222" s="25" t="n">
        <v>2024</v>
      </c>
      <c r="C222" s="26" t="inlineStr">
        <is>
          <t>MFJ</t>
        </is>
      </c>
      <c r="D222" s="11" t="n">
        <v>0</v>
      </c>
      <c r="E222" s="11" t="n">
        <v>96700</v>
      </c>
      <c r="F222" s="27" t="n">
        <v>0</v>
      </c>
      <c r="G222" s="28" t="n"/>
    </row>
    <row r="223">
      <c r="B223" s="25" t="n">
        <v>2024</v>
      </c>
      <c r="C223" s="26" t="inlineStr">
        <is>
          <t>MFJ</t>
        </is>
      </c>
      <c r="D223" s="11" t="n">
        <v>96700</v>
      </c>
      <c r="E223" s="11" t="n">
        <v>600050</v>
      </c>
      <c r="F223" s="27" t="n">
        <v>0.15</v>
      </c>
      <c r="G223" s="28" t="n"/>
    </row>
    <row r="224">
      <c r="B224" s="25" t="n">
        <v>2024</v>
      </c>
      <c r="C224" s="26" t="inlineStr">
        <is>
          <t>MFJ</t>
        </is>
      </c>
      <c r="D224" s="11" t="n">
        <v>600050</v>
      </c>
      <c r="E224" s="11" t="n">
        <v>9999999</v>
      </c>
      <c r="F224" s="27" t="n">
        <v>0.2</v>
      </c>
      <c r="G224" s="28" t="n"/>
    </row>
    <row r="225">
      <c r="B225" s="25" t="n">
        <v>2024</v>
      </c>
      <c r="C225" s="26" t="inlineStr">
        <is>
          <t>Single</t>
        </is>
      </c>
      <c r="D225" s="11" t="n">
        <v>0</v>
      </c>
      <c r="E225" s="11" t="n">
        <v>48350</v>
      </c>
      <c r="F225" s="27" t="n">
        <v>0</v>
      </c>
      <c r="G225" s="28" t="n"/>
    </row>
    <row r="226">
      <c r="B226" s="25" t="n">
        <v>2024</v>
      </c>
      <c r="C226" s="26" t="inlineStr">
        <is>
          <t>Single</t>
        </is>
      </c>
      <c r="D226" s="11" t="n">
        <v>48350</v>
      </c>
      <c r="E226" s="11" t="n">
        <v>533400</v>
      </c>
      <c r="F226" s="27" t="n">
        <v>0.15</v>
      </c>
      <c r="G226" s="28" t="n"/>
    </row>
    <row r="227">
      <c r="B227" s="25" t="n">
        <v>2024</v>
      </c>
      <c r="C227" s="26" t="inlineStr">
        <is>
          <t>Single</t>
        </is>
      </c>
      <c r="D227" s="11" t="n">
        <v>533400</v>
      </c>
      <c r="E227" s="11" t="n">
        <v>9999999</v>
      </c>
      <c r="F227" s="27" t="n">
        <v>0.2</v>
      </c>
      <c r="G227" s="28" t="n"/>
    </row>
    <row r="228">
      <c r="B228" s="25" t="n">
        <v>2024</v>
      </c>
      <c r="C228" s="26" t="inlineStr">
        <is>
          <t>HOH</t>
        </is>
      </c>
      <c r="D228" s="11" t="n">
        <v>0</v>
      </c>
      <c r="E228" s="11" t="n">
        <v>64750</v>
      </c>
      <c r="F228" s="27" t="n">
        <v>0</v>
      </c>
      <c r="G228" s="28" t="n"/>
    </row>
    <row r="229">
      <c r="B229" s="25" t="n">
        <v>2024</v>
      </c>
      <c r="C229" s="26" t="inlineStr">
        <is>
          <t>HOH</t>
        </is>
      </c>
      <c r="D229" s="11" t="n">
        <v>64750</v>
      </c>
      <c r="E229" s="11" t="n">
        <v>566700</v>
      </c>
      <c r="F229" s="27" t="n">
        <v>0.15</v>
      </c>
      <c r="G229" s="28" t="n"/>
    </row>
    <row r="230">
      <c r="B230" s="25" t="n">
        <v>2024</v>
      </c>
      <c r="C230" s="26" t="inlineStr">
        <is>
          <t>HOH</t>
        </is>
      </c>
      <c r="D230" s="11" t="n">
        <v>566700</v>
      </c>
      <c r="E230" s="11" t="n">
        <v>9999999</v>
      </c>
      <c r="F230" s="27" t="n">
        <v>0.2</v>
      </c>
      <c r="G230" s="28" t="n"/>
    </row>
    <row r="231">
      <c r="B231" s="25" t="n">
        <v>2024</v>
      </c>
      <c r="C231" s="26" t="inlineStr">
        <is>
          <t>MFS</t>
        </is>
      </c>
      <c r="D231" s="11" t="n">
        <v>0</v>
      </c>
      <c r="E231" s="11" t="n">
        <v>48350</v>
      </c>
      <c r="F231" s="27" t="n">
        <v>0</v>
      </c>
      <c r="G231" s="28" t="n"/>
    </row>
    <row r="232">
      <c r="B232" s="25" t="n">
        <v>2024</v>
      </c>
      <c r="C232" s="26" t="inlineStr">
        <is>
          <t>MFS</t>
        </is>
      </c>
      <c r="D232" s="11" t="n">
        <v>48350</v>
      </c>
      <c r="E232" s="11" t="n">
        <v>300025</v>
      </c>
      <c r="F232" s="27" t="n">
        <v>0.15</v>
      </c>
      <c r="G232" s="28" t="n"/>
    </row>
    <row r="233">
      <c r="B233" s="25" t="n">
        <v>2024</v>
      </c>
      <c r="C233" s="26" t="inlineStr">
        <is>
          <t>MFS</t>
        </is>
      </c>
      <c r="D233" s="11" t="n">
        <v>300025</v>
      </c>
      <c r="E233" s="11" t="n">
        <v>9999999</v>
      </c>
      <c r="F233" s="27" t="n">
        <v>0.2</v>
      </c>
      <c r="G233" s="28" t="n"/>
    </row>
    <row r="234">
      <c r="B234" s="25" t="n">
        <v>2025</v>
      </c>
      <c r="C234" s="26" t="inlineStr">
        <is>
          <t>MFJ</t>
        </is>
      </c>
      <c r="D234" s="11" t="n">
        <v>0</v>
      </c>
      <c r="E234" s="11" t="n">
        <v>96700</v>
      </c>
      <c r="F234" s="27" t="n">
        <v>0</v>
      </c>
      <c r="G234" s="28" t="n"/>
    </row>
    <row r="235">
      <c r="B235" s="25" t="n">
        <v>2025</v>
      </c>
      <c r="C235" s="26" t="inlineStr">
        <is>
          <t>MFJ</t>
        </is>
      </c>
      <c r="D235" s="11" t="n">
        <v>96700</v>
      </c>
      <c r="E235" s="11" t="n">
        <v>600050</v>
      </c>
      <c r="F235" s="27" t="n">
        <v>0.15</v>
      </c>
      <c r="G235" s="28" t="n"/>
    </row>
    <row r="236">
      <c r="B236" s="25" t="n">
        <v>2025</v>
      </c>
      <c r="C236" s="26" t="inlineStr">
        <is>
          <t>MFJ</t>
        </is>
      </c>
      <c r="D236" s="11" t="n">
        <v>600050</v>
      </c>
      <c r="E236" s="11" t="n">
        <v>9999999</v>
      </c>
      <c r="F236" s="27" t="n">
        <v>0.2</v>
      </c>
      <c r="G236" s="28" t="n"/>
    </row>
    <row r="237">
      <c r="B237" s="25" t="n">
        <v>2025</v>
      </c>
      <c r="C237" s="26" t="inlineStr">
        <is>
          <t>Single</t>
        </is>
      </c>
      <c r="D237" s="11" t="n">
        <v>0</v>
      </c>
      <c r="E237" s="11" t="n">
        <v>48350</v>
      </c>
      <c r="F237" s="27" t="n">
        <v>0</v>
      </c>
      <c r="G237" s="28" t="n"/>
    </row>
    <row r="238">
      <c r="B238" s="25" t="n">
        <v>2025</v>
      </c>
      <c r="C238" s="26" t="inlineStr">
        <is>
          <t>Single</t>
        </is>
      </c>
      <c r="D238" s="11" t="n">
        <v>48350</v>
      </c>
      <c r="E238" s="11" t="n">
        <v>533400</v>
      </c>
      <c r="F238" s="27" t="n">
        <v>0.15</v>
      </c>
      <c r="G238" s="28" t="n"/>
    </row>
    <row r="239">
      <c r="B239" s="25" t="n">
        <v>2025</v>
      </c>
      <c r="C239" s="26" t="inlineStr">
        <is>
          <t>Single</t>
        </is>
      </c>
      <c r="D239" s="11" t="n">
        <v>533400</v>
      </c>
      <c r="E239" s="11" t="n">
        <v>9999999</v>
      </c>
      <c r="F239" s="27" t="n">
        <v>0.2</v>
      </c>
      <c r="G239" s="28" t="n"/>
    </row>
    <row r="240">
      <c r="B240" s="25" t="n">
        <v>2025</v>
      </c>
      <c r="C240" s="26" t="inlineStr">
        <is>
          <t>HOH</t>
        </is>
      </c>
      <c r="D240" s="11" t="n">
        <v>0</v>
      </c>
      <c r="E240" s="11" t="n">
        <v>64750</v>
      </c>
      <c r="F240" s="27" t="n">
        <v>0</v>
      </c>
      <c r="G240" s="28" t="n"/>
    </row>
    <row r="241">
      <c r="B241" s="25" t="n">
        <v>2025</v>
      </c>
      <c r="C241" s="26" t="inlineStr">
        <is>
          <t>HOH</t>
        </is>
      </c>
      <c r="D241" s="11" t="n">
        <v>64750</v>
      </c>
      <c r="E241" s="11" t="n">
        <v>566700</v>
      </c>
      <c r="F241" s="27" t="n">
        <v>0.15</v>
      </c>
      <c r="G241" s="28" t="n"/>
    </row>
    <row r="242">
      <c r="B242" s="25" t="n">
        <v>2025</v>
      </c>
      <c r="C242" s="26" t="inlineStr">
        <is>
          <t>HOH</t>
        </is>
      </c>
      <c r="D242" s="11" t="n">
        <v>566700</v>
      </c>
      <c r="E242" s="11" t="n">
        <v>9999999</v>
      </c>
      <c r="F242" s="27" t="n">
        <v>0.2</v>
      </c>
      <c r="G242" s="28" t="n"/>
    </row>
    <row r="243">
      <c r="B243" s="25" t="n">
        <v>2025</v>
      </c>
      <c r="C243" s="26" t="inlineStr">
        <is>
          <t>MFS</t>
        </is>
      </c>
      <c r="D243" s="11" t="n">
        <v>0</v>
      </c>
      <c r="E243" s="11" t="n">
        <v>48350</v>
      </c>
      <c r="F243" s="27" t="n">
        <v>0</v>
      </c>
      <c r="G243" s="28" t="n"/>
    </row>
    <row r="244">
      <c r="B244" s="25" t="n">
        <v>2025</v>
      </c>
      <c r="C244" s="26" t="inlineStr">
        <is>
          <t>MFS</t>
        </is>
      </c>
      <c r="D244" s="11" t="n">
        <v>48350</v>
      </c>
      <c r="E244" s="11" t="n">
        <v>300025</v>
      </c>
      <c r="F244" s="27" t="n">
        <v>0.15</v>
      </c>
      <c r="G244" s="28" t="n"/>
    </row>
    <row r="245">
      <c r="B245" s="25" t="n">
        <v>2025</v>
      </c>
      <c r="C245" s="26" t="inlineStr">
        <is>
          <t>MFS</t>
        </is>
      </c>
      <c r="D245" s="11" t="n">
        <v>300025</v>
      </c>
      <c r="E245" s="11" t="n">
        <v>9999999</v>
      </c>
      <c r="F245" s="27" t="n">
        <v>0.2</v>
      </c>
      <c r="G245" s="28" t="n"/>
    </row>
    <row r="246">
      <c r="B246" s="25" t="n">
        <v>2026</v>
      </c>
      <c r="C246" s="26" t="inlineStr">
        <is>
          <t>MFJ</t>
        </is>
      </c>
      <c r="D246" s="11" t="n">
        <v>0</v>
      </c>
      <c r="E246" s="11" t="n">
        <v>96700</v>
      </c>
      <c r="F246" s="27" t="n">
        <v>0</v>
      </c>
      <c r="G246" s="28" t="n"/>
    </row>
    <row r="247">
      <c r="B247" s="25" t="n">
        <v>2026</v>
      </c>
      <c r="C247" s="26" t="inlineStr">
        <is>
          <t>MFJ</t>
        </is>
      </c>
      <c r="D247" s="11" t="n">
        <v>96700</v>
      </c>
      <c r="E247" s="11" t="n">
        <v>600050</v>
      </c>
      <c r="F247" s="27" t="n">
        <v>0.15</v>
      </c>
      <c r="G247" s="28" t="n"/>
    </row>
    <row r="248">
      <c r="B248" s="25" t="n">
        <v>2026</v>
      </c>
      <c r="C248" s="26" t="inlineStr">
        <is>
          <t>MFJ</t>
        </is>
      </c>
      <c r="D248" s="11" t="n">
        <v>600050</v>
      </c>
      <c r="E248" s="11" t="n">
        <v>9999999</v>
      </c>
      <c r="F248" s="27" t="n">
        <v>0.2</v>
      </c>
      <c r="G248" s="28" t="n"/>
    </row>
    <row r="249">
      <c r="B249" s="25" t="n">
        <v>2026</v>
      </c>
      <c r="C249" s="26" t="inlineStr">
        <is>
          <t>Single</t>
        </is>
      </c>
      <c r="D249" s="11" t="n">
        <v>0</v>
      </c>
      <c r="E249" s="11" t="n">
        <v>48350</v>
      </c>
      <c r="F249" s="27" t="n">
        <v>0</v>
      </c>
      <c r="G249" s="28" t="n"/>
    </row>
    <row r="250">
      <c r="B250" s="25" t="n">
        <v>2026</v>
      </c>
      <c r="C250" s="26" t="inlineStr">
        <is>
          <t>Single</t>
        </is>
      </c>
      <c r="D250" s="11" t="n">
        <v>48350</v>
      </c>
      <c r="E250" s="11" t="n">
        <v>533400</v>
      </c>
      <c r="F250" s="27" t="n">
        <v>0.15</v>
      </c>
      <c r="G250" s="28" t="n"/>
    </row>
    <row r="251">
      <c r="B251" s="25" t="n">
        <v>2026</v>
      </c>
      <c r="C251" s="26" t="inlineStr">
        <is>
          <t>Single</t>
        </is>
      </c>
      <c r="D251" s="11" t="n">
        <v>533400</v>
      </c>
      <c r="E251" s="11" t="n">
        <v>9999999</v>
      </c>
      <c r="F251" s="27" t="n">
        <v>0.2</v>
      </c>
      <c r="G251" s="28" t="n"/>
    </row>
    <row r="252">
      <c r="B252" s="25" t="n">
        <v>2026</v>
      </c>
      <c r="C252" s="26" t="inlineStr">
        <is>
          <t>HOH</t>
        </is>
      </c>
      <c r="D252" s="11" t="n">
        <v>0</v>
      </c>
      <c r="E252" s="11" t="n">
        <v>64750</v>
      </c>
      <c r="F252" s="27" t="n">
        <v>0</v>
      </c>
      <c r="G252" s="28" t="n"/>
    </row>
    <row r="253">
      <c r="B253" s="25" t="n">
        <v>2026</v>
      </c>
      <c r="C253" s="26" t="inlineStr">
        <is>
          <t>HOH</t>
        </is>
      </c>
      <c r="D253" s="11" t="n">
        <v>64750</v>
      </c>
      <c r="E253" s="11" t="n">
        <v>566700</v>
      </c>
      <c r="F253" s="27" t="n">
        <v>0.15</v>
      </c>
      <c r="G253" s="28" t="n"/>
    </row>
    <row r="254">
      <c r="B254" s="25" t="n">
        <v>2026</v>
      </c>
      <c r="C254" s="26" t="inlineStr">
        <is>
          <t>HOH</t>
        </is>
      </c>
      <c r="D254" s="11" t="n">
        <v>566700</v>
      </c>
      <c r="E254" s="11" t="n">
        <v>9999999</v>
      </c>
      <c r="F254" s="27" t="n">
        <v>0.2</v>
      </c>
      <c r="G254" s="28" t="n"/>
    </row>
    <row r="255">
      <c r="B255" s="25" t="n">
        <v>2026</v>
      </c>
      <c r="C255" s="26" t="inlineStr">
        <is>
          <t>MFS</t>
        </is>
      </c>
      <c r="D255" s="11" t="n">
        <v>0</v>
      </c>
      <c r="E255" s="11" t="n">
        <v>48350</v>
      </c>
      <c r="F255" s="27" t="n">
        <v>0</v>
      </c>
      <c r="G255" s="28" t="n"/>
    </row>
    <row r="256">
      <c r="B256" s="25" t="n">
        <v>2026</v>
      </c>
      <c r="C256" s="26" t="inlineStr">
        <is>
          <t>MFS</t>
        </is>
      </c>
      <c r="D256" s="11" t="n">
        <v>48350</v>
      </c>
      <c r="E256" s="11" t="n">
        <v>300025</v>
      </c>
      <c r="F256" s="27" t="n">
        <v>0.15</v>
      </c>
      <c r="G256" s="28" t="n"/>
    </row>
    <row r="257">
      <c r="B257" s="25" t="n">
        <v>2026</v>
      </c>
      <c r="C257" s="26" t="inlineStr">
        <is>
          <t>MFS</t>
        </is>
      </c>
      <c r="D257" s="11" t="n">
        <v>300025</v>
      </c>
      <c r="E257" s="11" t="n">
        <v>9999999</v>
      </c>
      <c r="F257" s="27" t="n">
        <v>0.2</v>
      </c>
      <c r="G257" s="28" t="n"/>
    </row>
    <row r="258">
      <c r="B258" s="25" t="n">
        <v>2027</v>
      </c>
      <c r="C258" s="26" t="inlineStr">
        <is>
          <t>MFJ</t>
        </is>
      </c>
      <c r="D258" s="11" t="n">
        <v>0</v>
      </c>
      <c r="E258" s="11" t="n">
        <v>96700</v>
      </c>
      <c r="F258" s="27" t="n">
        <v>0</v>
      </c>
      <c r="G258" s="28" t="n"/>
    </row>
    <row r="259">
      <c r="B259" s="25" t="n">
        <v>2027</v>
      </c>
      <c r="C259" s="26" t="inlineStr">
        <is>
          <t>MFJ</t>
        </is>
      </c>
      <c r="D259" s="11" t="n">
        <v>96700</v>
      </c>
      <c r="E259" s="11" t="n">
        <v>600050</v>
      </c>
      <c r="F259" s="27" t="n">
        <v>0.15</v>
      </c>
      <c r="G259" s="28" t="n"/>
    </row>
    <row r="260">
      <c r="B260" s="25" t="n">
        <v>2027</v>
      </c>
      <c r="C260" s="26" t="inlineStr">
        <is>
          <t>MFJ</t>
        </is>
      </c>
      <c r="D260" s="11" t="n">
        <v>600050</v>
      </c>
      <c r="E260" s="11" t="n">
        <v>9999999</v>
      </c>
      <c r="F260" s="27" t="n">
        <v>0.2</v>
      </c>
      <c r="G260" s="28" t="n"/>
    </row>
    <row r="261">
      <c r="B261" s="25" t="n">
        <v>2027</v>
      </c>
      <c r="C261" s="26" t="inlineStr">
        <is>
          <t>Single</t>
        </is>
      </c>
      <c r="D261" s="11" t="n">
        <v>0</v>
      </c>
      <c r="E261" s="11" t="n">
        <v>48350</v>
      </c>
      <c r="F261" s="27" t="n">
        <v>0</v>
      </c>
      <c r="G261" s="28" t="n"/>
    </row>
    <row r="262">
      <c r="B262" s="25" t="n">
        <v>2027</v>
      </c>
      <c r="C262" s="26" t="inlineStr">
        <is>
          <t>Single</t>
        </is>
      </c>
      <c r="D262" s="11" t="n">
        <v>48350</v>
      </c>
      <c r="E262" s="11" t="n">
        <v>533400</v>
      </c>
      <c r="F262" s="27" t="n">
        <v>0.15</v>
      </c>
      <c r="G262" s="28" t="n"/>
    </row>
    <row r="263">
      <c r="B263" s="25" t="n">
        <v>2027</v>
      </c>
      <c r="C263" s="26" t="inlineStr">
        <is>
          <t>Single</t>
        </is>
      </c>
      <c r="D263" s="11" t="n">
        <v>533400</v>
      </c>
      <c r="E263" s="11" t="n">
        <v>9999999</v>
      </c>
      <c r="F263" s="27" t="n">
        <v>0.2</v>
      </c>
      <c r="G263" s="28" t="n"/>
    </row>
    <row r="264">
      <c r="B264" s="25" t="n">
        <v>2027</v>
      </c>
      <c r="C264" s="26" t="inlineStr">
        <is>
          <t>HOH</t>
        </is>
      </c>
      <c r="D264" s="11" t="n">
        <v>0</v>
      </c>
      <c r="E264" s="11" t="n">
        <v>64750</v>
      </c>
      <c r="F264" s="27" t="n">
        <v>0</v>
      </c>
      <c r="G264" s="28" t="n"/>
    </row>
    <row r="265">
      <c r="B265" s="25" t="n">
        <v>2027</v>
      </c>
      <c r="C265" s="26" t="inlineStr">
        <is>
          <t>HOH</t>
        </is>
      </c>
      <c r="D265" s="11" t="n">
        <v>64750</v>
      </c>
      <c r="E265" s="11" t="n">
        <v>566700</v>
      </c>
      <c r="F265" s="27" t="n">
        <v>0.15</v>
      </c>
      <c r="G265" s="28" t="n"/>
    </row>
    <row r="266">
      <c r="B266" s="25" t="n">
        <v>2027</v>
      </c>
      <c r="C266" s="26" t="inlineStr">
        <is>
          <t>HOH</t>
        </is>
      </c>
      <c r="D266" s="11" t="n">
        <v>566700</v>
      </c>
      <c r="E266" s="11" t="n">
        <v>9999999</v>
      </c>
      <c r="F266" s="27" t="n">
        <v>0.2</v>
      </c>
      <c r="G266" s="28" t="n"/>
    </row>
    <row r="267">
      <c r="B267" s="25" t="n">
        <v>2027</v>
      </c>
      <c r="C267" s="26" t="inlineStr">
        <is>
          <t>MFS</t>
        </is>
      </c>
      <c r="D267" s="11" t="n">
        <v>0</v>
      </c>
      <c r="E267" s="11" t="n">
        <v>48350</v>
      </c>
      <c r="F267" s="27" t="n">
        <v>0</v>
      </c>
      <c r="G267" s="28" t="n"/>
    </row>
    <row r="268">
      <c r="B268" s="25" t="n">
        <v>2027</v>
      </c>
      <c r="C268" s="26" t="inlineStr">
        <is>
          <t>MFS</t>
        </is>
      </c>
      <c r="D268" s="11" t="n">
        <v>48350</v>
      </c>
      <c r="E268" s="11" t="n">
        <v>300025</v>
      </c>
      <c r="F268" s="27" t="n">
        <v>0.15</v>
      </c>
      <c r="G268" s="28" t="n"/>
    </row>
    <row r="269">
      <c r="B269" s="25" t="n">
        <v>2027</v>
      </c>
      <c r="C269" s="26" t="inlineStr">
        <is>
          <t>MFS</t>
        </is>
      </c>
      <c r="D269" s="11" t="n">
        <v>300025</v>
      </c>
      <c r="E269" s="11" t="n">
        <v>9999999</v>
      </c>
      <c r="F269" s="27" t="n">
        <v>0.2</v>
      </c>
      <c r="G269" s="28" t="n"/>
    </row>
    <row r="270">
      <c r="B270" s="25" t="n">
        <v>2028</v>
      </c>
      <c r="C270" s="26" t="inlineStr">
        <is>
          <t>MFJ</t>
        </is>
      </c>
      <c r="D270" s="11" t="n">
        <v>0</v>
      </c>
      <c r="E270" s="11" t="n">
        <v>96700</v>
      </c>
      <c r="F270" s="27" t="n">
        <v>0</v>
      </c>
      <c r="G270" s="28" t="n"/>
    </row>
    <row r="271">
      <c r="B271" s="25" t="n">
        <v>2028</v>
      </c>
      <c r="C271" s="26" t="inlineStr">
        <is>
          <t>MFJ</t>
        </is>
      </c>
      <c r="D271" s="11" t="n">
        <v>96700</v>
      </c>
      <c r="E271" s="11" t="n">
        <v>600050</v>
      </c>
      <c r="F271" s="27" t="n">
        <v>0.15</v>
      </c>
      <c r="G271" s="28" t="n"/>
    </row>
    <row r="272">
      <c r="B272" s="25" t="n">
        <v>2028</v>
      </c>
      <c r="C272" s="26" t="inlineStr">
        <is>
          <t>MFJ</t>
        </is>
      </c>
      <c r="D272" s="11" t="n">
        <v>600050</v>
      </c>
      <c r="E272" s="11" t="n">
        <v>9999999</v>
      </c>
      <c r="F272" s="27" t="n">
        <v>0.2</v>
      </c>
      <c r="G272" s="28" t="n"/>
    </row>
    <row r="273">
      <c r="B273" s="25" t="n">
        <v>2028</v>
      </c>
      <c r="C273" s="26" t="inlineStr">
        <is>
          <t>Single</t>
        </is>
      </c>
      <c r="D273" s="30" t="n">
        <v>0</v>
      </c>
      <c r="E273" s="30" t="n">
        <v>48350</v>
      </c>
      <c r="F273" s="27" t="n">
        <v>0</v>
      </c>
    </row>
    <row r="274">
      <c r="B274" s="25" t="n">
        <v>2028</v>
      </c>
      <c r="C274" s="26" t="inlineStr">
        <is>
          <t>Single</t>
        </is>
      </c>
      <c r="D274" s="30" t="n">
        <v>48350</v>
      </c>
      <c r="E274" s="30" t="n">
        <v>533400</v>
      </c>
      <c r="F274" s="27" t="n">
        <v>0.15</v>
      </c>
    </row>
    <row r="275">
      <c r="B275" s="25" t="n">
        <v>2028</v>
      </c>
      <c r="C275" s="26" t="inlineStr">
        <is>
          <t>Single</t>
        </is>
      </c>
      <c r="D275" s="30" t="n">
        <v>533400</v>
      </c>
      <c r="E275" s="30" t="n">
        <v>9999999</v>
      </c>
      <c r="F275" s="27" t="n">
        <v>0.2</v>
      </c>
    </row>
    <row r="276">
      <c r="B276" s="25" t="n">
        <v>2028</v>
      </c>
      <c r="C276" s="26" t="inlineStr">
        <is>
          <t>HOH</t>
        </is>
      </c>
      <c r="D276" s="30" t="n">
        <v>0</v>
      </c>
      <c r="E276" s="30" t="n">
        <v>64750</v>
      </c>
      <c r="F276" s="27" t="n">
        <v>0</v>
      </c>
    </row>
    <row r="277">
      <c r="B277" s="25" t="n">
        <v>2028</v>
      </c>
      <c r="C277" s="26" t="inlineStr">
        <is>
          <t>HOH</t>
        </is>
      </c>
      <c r="D277" s="30" t="n">
        <v>64750</v>
      </c>
      <c r="E277" s="30" t="n">
        <v>566700</v>
      </c>
      <c r="F277" s="27" t="n">
        <v>0.15</v>
      </c>
    </row>
    <row r="278">
      <c r="B278" s="25" t="n">
        <v>2028</v>
      </c>
      <c r="C278" s="26" t="inlineStr">
        <is>
          <t>HOH</t>
        </is>
      </c>
      <c r="D278" s="30" t="n">
        <v>566700</v>
      </c>
      <c r="E278" s="30" t="n">
        <v>9999999</v>
      </c>
      <c r="F278" s="27" t="n">
        <v>0.2</v>
      </c>
    </row>
    <row r="279">
      <c r="B279" s="25" t="n">
        <v>2028</v>
      </c>
      <c r="C279" s="26" t="inlineStr">
        <is>
          <t>MFS</t>
        </is>
      </c>
      <c r="D279" s="30" t="n">
        <v>0</v>
      </c>
      <c r="E279" s="30" t="n">
        <v>48350</v>
      </c>
      <c r="F279" s="27" t="n">
        <v>0</v>
      </c>
    </row>
    <row r="280">
      <c r="B280" s="25" t="n">
        <v>2028</v>
      </c>
      <c r="C280" s="26" t="inlineStr">
        <is>
          <t>MFS</t>
        </is>
      </c>
      <c r="D280" s="30" t="n">
        <v>48350</v>
      </c>
      <c r="E280" s="30" t="n">
        <v>300025</v>
      </c>
      <c r="F280" s="27" t="n">
        <v>0.15</v>
      </c>
    </row>
    <row r="281">
      <c r="B281" s="25" t="n">
        <v>2028</v>
      </c>
      <c r="C281" s="26" t="inlineStr">
        <is>
          <t>MFS</t>
        </is>
      </c>
      <c r="D281" s="30" t="n">
        <v>300025</v>
      </c>
      <c r="E281" s="30" t="n">
        <v>9999999</v>
      </c>
      <c r="F281" s="27" t="n">
        <v>0.2</v>
      </c>
    </row>
    <row r="282"/>
    <row r="283"/>
    <row r="284">
      <c r="B284" s="3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5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5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5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5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5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5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5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5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5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5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5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5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5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5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5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5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5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5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5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5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5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5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5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5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5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5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5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5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5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5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5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5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5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5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5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5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5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5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5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5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5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5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5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5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5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5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5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5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5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5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5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5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5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5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5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5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5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5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5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5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5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5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5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5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5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5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5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5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5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5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5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5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5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5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5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5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5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5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5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5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5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5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5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5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5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5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5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5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5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5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5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5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5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5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5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5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5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5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5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5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5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5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5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5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5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5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5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5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5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5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5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5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5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5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5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5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5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5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5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5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5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5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5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5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5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5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5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5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5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5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5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5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5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5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5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5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5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5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5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5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5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5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5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5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5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5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5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5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5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5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5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5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5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5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5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5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5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5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5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5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5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5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5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5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5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5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5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5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5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5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5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5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5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5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5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5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5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5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5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5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5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5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5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5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5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5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5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5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5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5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5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5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5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5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5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5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5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5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5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5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5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5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5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5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5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5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5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5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5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5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5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5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5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5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5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5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5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5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5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5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5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5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5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5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5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5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5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5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5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5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5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5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5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5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5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5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5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5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5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5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5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5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5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5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5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5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5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5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5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5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5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5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5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5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5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5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5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5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5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5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5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5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5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5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5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5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5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5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5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5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5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5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5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5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5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5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5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5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5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5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5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5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5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5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5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5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5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5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4"/>
    <row r="575"/>
    <row r="576">
      <c r="B576" s="33" t="inlineStr">
        <is>
          <t>tblTreatmentProfileMap — Treatment Profile → Tax Classification Mapping</t>
        </is>
      </c>
    </row>
    <row r="577"/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  <row r="613"/>
    <row r="614"/>
    <row r="615">
      <c r="B615" s="34" t="inlineStr">
        <is>
          <t>STATE TAX RATES + PTET ELIGIBILITY (2024)</t>
        </is>
      </c>
    </row>
    <row r="616">
      <c r="B616" s="35" t="inlineStr">
        <is>
          <t>Top marginal rate by state + whether PTET (pass-through entity tax) election is available. Update annually as PTET landscape changes.</t>
        </is>
      </c>
    </row>
    <row r="617"/>
    <row r="618">
      <c r="B618" s="18" t="inlineStr">
        <is>
          <t>State</t>
        </is>
      </c>
      <c r="C618" s="18" t="inlineStr">
        <is>
          <t>Top_Marginal_Rate</t>
        </is>
      </c>
      <c r="D618" s="18" t="inlineStr">
        <is>
          <t>Has_PTET</t>
        </is>
      </c>
      <c r="E618" s="18" t="inlineStr">
        <is>
          <t>PTET_Rate</t>
        </is>
      </c>
      <c r="F618" s="18" t="inlineStr">
        <is>
          <t>Notes</t>
        </is>
      </c>
    </row>
    <row r="619">
      <c r="B619" s="36" t="inlineStr">
        <is>
          <t>AL</t>
        </is>
      </c>
      <c r="C619" s="37" t="n">
        <v>0.05</v>
      </c>
      <c r="D619" s="36" t="inlineStr">
        <is>
          <t>Yes</t>
        </is>
      </c>
      <c r="E619" s="37" t="n">
        <v>0.05</v>
      </c>
      <c r="F619" s="38" t="inlineStr">
        <is>
          <t>PTET election available</t>
        </is>
      </c>
    </row>
    <row r="620">
      <c r="B620" s="36" t="inlineStr">
        <is>
          <t>AK</t>
        </is>
      </c>
      <c r="C620" s="37" t="n">
        <v>0</v>
      </c>
      <c r="D620" s="36" t="inlineStr">
        <is>
          <t>No</t>
        </is>
      </c>
      <c r="E620" s="39" t="n"/>
      <c r="F620" s="38" t="inlineStr">
        <is>
          <t>No state income tax</t>
        </is>
      </c>
    </row>
    <row r="621">
      <c r="B621" s="36" t="inlineStr">
        <is>
          <t>AZ</t>
        </is>
      </c>
      <c r="C621" s="37" t="n">
        <v>0.025</v>
      </c>
      <c r="D621" s="36" t="inlineStr">
        <is>
          <t>Yes</t>
        </is>
      </c>
      <c r="E621" s="37" t="n">
        <v>0.025</v>
      </c>
      <c r="F621" s="38" t="inlineStr">
        <is>
          <t>Flat 2.5%; PTET election available</t>
        </is>
      </c>
    </row>
    <row r="622">
      <c r="B622" s="36" t="inlineStr">
        <is>
          <t>AR</t>
        </is>
      </c>
      <c r="C622" s="37" t="n">
        <v>0.044</v>
      </c>
      <c r="D622" s="36" t="inlineStr">
        <is>
          <t>Yes</t>
        </is>
      </c>
      <c r="E622" s="37" t="n">
        <v>0.044</v>
      </c>
      <c r="F622" s="38" t="inlineStr">
        <is>
          <t>PTET election available</t>
        </is>
      </c>
    </row>
    <row r="623">
      <c r="B623" s="36" t="inlineStr">
        <is>
          <t>CA</t>
        </is>
      </c>
      <c r="C623" s="37" t="n">
        <v>0.133</v>
      </c>
      <c r="D623" s="36" t="inlineStr">
        <is>
          <t>Yes</t>
        </is>
      </c>
      <c r="E623" s="37" t="n">
        <v>0.093</v>
      </c>
      <c r="F623" s="38" t="inlineStr">
        <is>
          <t>13.3% top rate (12.3% + 1% mental health surtax over $1M); PTET 9.3%</t>
        </is>
      </c>
    </row>
    <row r="624">
      <c r="B624" s="36" t="inlineStr">
        <is>
          <t>CO</t>
        </is>
      </c>
      <c r="C624" s="37" t="n">
        <v>0.044</v>
      </c>
      <c r="D624" s="36" t="inlineStr">
        <is>
          <t>Yes</t>
        </is>
      </c>
      <c r="E624" s="37" t="n">
        <v>0.044</v>
      </c>
      <c r="F624" s="38" t="inlineStr">
        <is>
          <t>Flat 4.4%; PTET election available</t>
        </is>
      </c>
    </row>
    <row r="625">
      <c r="B625" s="36" t="inlineStr">
        <is>
          <t>CT</t>
        </is>
      </c>
      <c r="C625" s="37" t="n">
        <v>0.0699</v>
      </c>
      <c r="D625" s="36" t="inlineStr">
        <is>
          <t>Yes</t>
        </is>
      </c>
      <c r="E625" s="37" t="n">
        <v>0.0699</v>
      </c>
      <c r="F625" s="38" t="inlineStr">
        <is>
          <t>PTET mandatory; election to opt out as of 2024</t>
        </is>
      </c>
    </row>
    <row r="626">
      <c r="B626" s="36" t="inlineStr">
        <is>
          <t>DE</t>
        </is>
      </c>
      <c r="C626" s="37" t="n">
        <v>0.066</v>
      </c>
      <c r="D626" s="36" t="inlineStr">
        <is>
          <t>Yes</t>
        </is>
      </c>
      <c r="E626" s="37" t="n">
        <v>0.066</v>
      </c>
      <c r="F626" s="38" t="inlineStr">
        <is>
          <t>PTET election available</t>
        </is>
      </c>
    </row>
    <row r="627">
      <c r="B627" s="36" t="inlineStr">
        <is>
          <t>DC</t>
        </is>
      </c>
      <c r="C627" s="37" t="n">
        <v>0.1075</v>
      </c>
      <c r="D627" s="36" t="inlineStr">
        <is>
          <t>No</t>
        </is>
      </c>
      <c r="E627" s="39" t="n"/>
      <c r="F627" s="38" t="inlineStr">
        <is>
          <t>No PTET as of 2024</t>
        </is>
      </c>
    </row>
    <row r="628">
      <c r="B628" s="36" t="inlineStr">
        <is>
          <t>FL</t>
        </is>
      </c>
      <c r="C628" s="37" t="n">
        <v>0</v>
      </c>
      <c r="D628" s="36" t="inlineStr">
        <is>
          <t>No</t>
        </is>
      </c>
      <c r="E628" s="39" t="n"/>
      <c r="F628" s="38" t="inlineStr">
        <is>
          <t>No state personal income tax</t>
        </is>
      </c>
    </row>
    <row r="629">
      <c r="B629" s="36" t="inlineStr">
        <is>
          <t>GA</t>
        </is>
      </c>
      <c r="C629" s="37" t="n">
        <v>0.0539</v>
      </c>
      <c r="D629" s="36" t="inlineStr">
        <is>
          <t>Yes</t>
        </is>
      </c>
      <c r="E629" s="37" t="n">
        <v>0.0539</v>
      </c>
      <c r="F629" s="38" t="inlineStr">
        <is>
          <t>PTET election available</t>
        </is>
      </c>
    </row>
    <row r="630">
      <c r="B630" s="36" t="inlineStr">
        <is>
          <t>HI</t>
        </is>
      </c>
      <c r="C630" s="37" t="n">
        <v>0.11</v>
      </c>
      <c r="D630" s="36" t="inlineStr">
        <is>
          <t>Yes</t>
        </is>
      </c>
      <c r="E630" s="37" t="n">
        <v>0.11</v>
      </c>
      <c r="F630" s="38" t="inlineStr">
        <is>
          <t>PTET election available</t>
        </is>
      </c>
    </row>
    <row r="631">
      <c r="B631" s="36" t="inlineStr">
        <is>
          <t>ID</t>
        </is>
      </c>
      <c r="C631" s="37" t="n">
        <v>0.058</v>
      </c>
      <c r="D631" s="36" t="inlineStr">
        <is>
          <t>Yes</t>
        </is>
      </c>
      <c r="E631" s="37" t="n">
        <v>0.058</v>
      </c>
      <c r="F631" s="38" t="inlineStr">
        <is>
          <t>Flat 5.8%; PTET election available</t>
        </is>
      </c>
    </row>
    <row r="632">
      <c r="B632" s="36" t="inlineStr">
        <is>
          <t>IL</t>
        </is>
      </c>
      <c r="C632" s="37" t="n">
        <v>0.0495</v>
      </c>
      <c r="D632" s="36" t="inlineStr">
        <is>
          <t>Yes</t>
        </is>
      </c>
      <c r="E632" s="37" t="n">
        <v>0.0495</v>
      </c>
      <c r="F632" s="38" t="inlineStr">
        <is>
          <t>PTET election available</t>
        </is>
      </c>
    </row>
    <row r="633">
      <c r="B633" s="36" t="inlineStr">
        <is>
          <t>IN</t>
        </is>
      </c>
      <c r="C633" s="37" t="n">
        <v>0.0315</v>
      </c>
      <c r="D633" s="36" t="inlineStr">
        <is>
          <t>Yes</t>
        </is>
      </c>
      <c r="E633" s="37" t="n">
        <v>0.0315</v>
      </c>
      <c r="F633" s="38" t="inlineStr">
        <is>
          <t>PTET election available</t>
        </is>
      </c>
    </row>
    <row r="634">
      <c r="B634" s="36" t="inlineStr">
        <is>
          <t>IA</t>
        </is>
      </c>
      <c r="C634" s="37" t="n">
        <v>0.059</v>
      </c>
      <c r="D634" s="36" t="inlineStr">
        <is>
          <t>Yes</t>
        </is>
      </c>
      <c r="E634" s="37" t="n">
        <v>0.059</v>
      </c>
      <c r="F634" s="38" t="inlineStr">
        <is>
          <t>PTET election available</t>
        </is>
      </c>
    </row>
    <row r="635">
      <c r="B635" s="36" t="inlineStr">
        <is>
          <t>KS</t>
        </is>
      </c>
      <c r="C635" s="37" t="n">
        <v>0.057</v>
      </c>
      <c r="D635" s="36" t="inlineStr">
        <is>
          <t>Yes</t>
        </is>
      </c>
      <c r="E635" s="37" t="n">
        <v>0.057</v>
      </c>
      <c r="F635" s="38" t="inlineStr">
        <is>
          <t>PTET election available</t>
        </is>
      </c>
    </row>
    <row r="636">
      <c r="B636" s="36" t="inlineStr">
        <is>
          <t>KY</t>
        </is>
      </c>
      <c r="C636" s="37" t="n">
        <v>0.04</v>
      </c>
      <c r="D636" s="36" t="inlineStr">
        <is>
          <t>Yes</t>
        </is>
      </c>
      <c r="E636" s="37" t="n">
        <v>0.04</v>
      </c>
      <c r="F636" s="38" t="inlineStr">
        <is>
          <t>PTET election available</t>
        </is>
      </c>
    </row>
    <row r="637">
      <c r="B637" s="36" t="inlineStr">
        <is>
          <t>LA</t>
        </is>
      </c>
      <c r="C637" s="37" t="n">
        <v>0.0425</v>
      </c>
      <c r="D637" s="36" t="inlineStr">
        <is>
          <t>Yes</t>
        </is>
      </c>
      <c r="E637" s="37" t="n">
        <v>0.0425</v>
      </c>
      <c r="F637" s="38" t="inlineStr">
        <is>
          <t>PTET election available</t>
        </is>
      </c>
    </row>
    <row r="638">
      <c r="B638" s="36" t="inlineStr">
        <is>
          <t>ME</t>
        </is>
      </c>
      <c r="C638" s="37" t="n">
        <v>0.07149999999999999</v>
      </c>
      <c r="D638" s="36" t="inlineStr">
        <is>
          <t>No</t>
        </is>
      </c>
      <c r="E638" s="39" t="n"/>
      <c r="F638" s="38" t="inlineStr">
        <is>
          <t>No PTET as of 2024</t>
        </is>
      </c>
    </row>
    <row r="639">
      <c r="B639" s="36" t="inlineStr">
        <is>
          <t>MD</t>
        </is>
      </c>
      <c r="C639" s="37" t="n">
        <v>0.0575</v>
      </c>
      <c r="D639" s="36" t="inlineStr">
        <is>
          <t>Yes</t>
        </is>
      </c>
      <c r="E639" s="37" t="n">
        <v>0.08</v>
      </c>
      <c r="F639" s="38" t="inlineStr">
        <is>
          <t>PTET 8% (includes county add-back)</t>
        </is>
      </c>
    </row>
    <row r="640">
      <c r="B640" s="36" t="inlineStr">
        <is>
          <t>MA</t>
        </is>
      </c>
      <c r="C640" s="37" t="n">
        <v>0.09</v>
      </c>
      <c r="D640" s="36" t="inlineStr">
        <is>
          <t>Yes</t>
        </is>
      </c>
      <c r="E640" s="37" t="n">
        <v>0.05</v>
      </c>
      <c r="F640" s="38" t="inlineStr">
        <is>
          <t>Top rate 9% (5% + 4% millionaires tax); PTET 5%</t>
        </is>
      </c>
    </row>
    <row r="641">
      <c r="B641" s="36" t="inlineStr">
        <is>
          <t>MI</t>
        </is>
      </c>
      <c r="C641" s="37" t="n">
        <v>0.0425</v>
      </c>
      <c r="D641" s="36" t="inlineStr">
        <is>
          <t>Yes</t>
        </is>
      </c>
      <c r="E641" s="37" t="n">
        <v>0.0425</v>
      </c>
      <c r="F641" s="38" t="inlineStr">
        <is>
          <t>PTET election available</t>
        </is>
      </c>
    </row>
    <row r="642">
      <c r="B642" s="36" t="inlineStr">
        <is>
          <t>MN</t>
        </is>
      </c>
      <c r="C642" s="37" t="n">
        <v>0.0985</v>
      </c>
      <c r="D642" s="36" t="inlineStr">
        <is>
          <t>Yes</t>
        </is>
      </c>
      <c r="E642" s="37" t="n">
        <v>0.0985</v>
      </c>
      <c r="F642" s="38" t="inlineStr">
        <is>
          <t>PTET election available</t>
        </is>
      </c>
    </row>
    <row r="643">
      <c r="B643" s="36" t="inlineStr">
        <is>
          <t>MS</t>
        </is>
      </c>
      <c r="C643" s="37" t="n">
        <v>0.044</v>
      </c>
      <c r="D643" s="36" t="inlineStr">
        <is>
          <t>Yes</t>
        </is>
      </c>
      <c r="E643" s="37" t="n">
        <v>0.05</v>
      </c>
      <c r="F643" s="38" t="inlineStr">
        <is>
          <t>PTET election available</t>
        </is>
      </c>
    </row>
    <row r="644">
      <c r="B644" s="36" t="inlineStr">
        <is>
          <t>MO</t>
        </is>
      </c>
      <c r="C644" s="37" t="n">
        <v>0.048</v>
      </c>
      <c r="D644" s="36" t="inlineStr">
        <is>
          <t>Yes</t>
        </is>
      </c>
      <c r="E644" s="37" t="n">
        <v>0.048</v>
      </c>
      <c r="F644" s="38" t="inlineStr">
        <is>
          <t>PTET election available</t>
        </is>
      </c>
    </row>
    <row r="645">
      <c r="B645" s="36" t="inlineStr">
        <is>
          <t>MT</t>
        </is>
      </c>
      <c r="C645" s="37" t="n">
        <v>0.059</v>
      </c>
      <c r="D645" s="36" t="inlineStr">
        <is>
          <t>Yes</t>
        </is>
      </c>
      <c r="E645" s="37" t="n">
        <v>0.059</v>
      </c>
      <c r="F645" s="38" t="inlineStr">
        <is>
          <t>PTET election available</t>
        </is>
      </c>
    </row>
    <row r="646">
      <c r="B646" s="36" t="inlineStr">
        <is>
          <t>NE</t>
        </is>
      </c>
      <c r="C646" s="37" t="n">
        <v>0.0524</v>
      </c>
      <c r="D646" s="36" t="inlineStr">
        <is>
          <t>Yes</t>
        </is>
      </c>
      <c r="E646" s="37" t="n">
        <v>0.0524</v>
      </c>
      <c r="F646" s="38" t="inlineStr">
        <is>
          <t>PTET election available</t>
        </is>
      </c>
    </row>
    <row r="647">
      <c r="B647" s="36" t="inlineStr">
        <is>
          <t>NV</t>
        </is>
      </c>
      <c r="C647" s="37" t="n">
        <v>0</v>
      </c>
      <c r="D647" s="36" t="inlineStr">
        <is>
          <t>No</t>
        </is>
      </c>
      <c r="E647" s="39" t="n"/>
      <c r="F647" s="38" t="inlineStr">
        <is>
          <t>No state personal income tax</t>
        </is>
      </c>
    </row>
    <row r="648">
      <c r="B648" s="36" t="inlineStr">
        <is>
          <t>NH</t>
        </is>
      </c>
      <c r="C648" s="37" t="n">
        <v>0</v>
      </c>
      <c r="D648" s="36" t="inlineStr">
        <is>
          <t>No</t>
        </is>
      </c>
      <c r="E648" s="39" t="n"/>
      <c r="F648" s="38" t="inlineStr">
        <is>
          <t>No income tax on wages (interest/dividends only — repealed 2025)</t>
        </is>
      </c>
    </row>
    <row r="649">
      <c r="B649" s="36" t="inlineStr">
        <is>
          <t>NJ</t>
        </is>
      </c>
      <c r="C649" s="37" t="n">
        <v>0.1075</v>
      </c>
      <c r="D649" s="36" t="inlineStr">
        <is>
          <t>Yes</t>
        </is>
      </c>
      <c r="E649" s="37" t="n">
        <v>0.1075</v>
      </c>
      <c r="F649" s="38" t="inlineStr">
        <is>
          <t>PTET (BAIT) election available</t>
        </is>
      </c>
    </row>
    <row r="650">
      <c r="B650" s="36" t="inlineStr">
        <is>
          <t>NM</t>
        </is>
      </c>
      <c r="C650" s="37" t="n">
        <v>0.059</v>
      </c>
      <c r="D650" s="36" t="inlineStr">
        <is>
          <t>Yes</t>
        </is>
      </c>
      <c r="E650" s="37" t="n">
        <v>0.059</v>
      </c>
      <c r="F650" s="38" t="inlineStr">
        <is>
          <t>PTET election available</t>
        </is>
      </c>
    </row>
    <row r="651">
      <c r="B651" s="36" t="inlineStr">
        <is>
          <t>NY</t>
        </is>
      </c>
      <c r="C651" s="37" t="n">
        <v>0.109</v>
      </c>
      <c r="D651" s="36" t="inlineStr">
        <is>
          <t>Yes</t>
        </is>
      </c>
      <c r="E651" s="37" t="n">
        <v>0.06850000000000001</v>
      </c>
      <c r="F651" s="38" t="inlineStr">
        <is>
          <t>PTET 6.85% on income up to $2M; higher above</t>
        </is>
      </c>
    </row>
    <row r="652">
      <c r="B652" s="36" t="inlineStr">
        <is>
          <t>NC</t>
        </is>
      </c>
      <c r="C652" s="37" t="n">
        <v>0.045</v>
      </c>
      <c r="D652" s="36" t="inlineStr">
        <is>
          <t>Yes</t>
        </is>
      </c>
      <c r="E652" s="37" t="n">
        <v>0.045</v>
      </c>
      <c r="F652" s="38" t="inlineStr">
        <is>
          <t>PTET election available</t>
        </is>
      </c>
    </row>
    <row r="653">
      <c r="B653" s="36" t="inlineStr">
        <is>
          <t>ND</t>
        </is>
      </c>
      <c r="C653" s="37" t="n">
        <v>0.025</v>
      </c>
      <c r="D653" s="36" t="inlineStr">
        <is>
          <t>No</t>
        </is>
      </c>
      <c r="E653" s="39" t="n"/>
      <c r="F653" s="38" t="inlineStr">
        <is>
          <t>Top 2.5%; no PTET</t>
        </is>
      </c>
    </row>
    <row r="654">
      <c r="B654" s="36" t="inlineStr">
        <is>
          <t>OH</t>
        </is>
      </c>
      <c r="C654" s="37" t="n">
        <v>0.0399</v>
      </c>
      <c r="D654" s="36" t="inlineStr">
        <is>
          <t>Yes</t>
        </is>
      </c>
      <c r="E654" s="37" t="n">
        <v>0.0399</v>
      </c>
      <c r="F654" s="38" t="inlineStr">
        <is>
          <t>PTET election available</t>
        </is>
      </c>
    </row>
    <row r="655">
      <c r="B655" s="36" t="inlineStr">
        <is>
          <t>OK</t>
        </is>
      </c>
      <c r="C655" s="37" t="n">
        <v>0.0475</v>
      </c>
      <c r="D655" s="36" t="inlineStr">
        <is>
          <t>Yes</t>
        </is>
      </c>
      <c r="E655" s="37" t="n">
        <v>0.0475</v>
      </c>
      <c r="F655" s="38" t="inlineStr">
        <is>
          <t>PTET election available</t>
        </is>
      </c>
    </row>
    <row r="656">
      <c r="B656" s="36" t="inlineStr">
        <is>
          <t>OR</t>
        </is>
      </c>
      <c r="C656" s="37" t="n">
        <v>0.099</v>
      </c>
      <c r="D656" s="36" t="inlineStr">
        <is>
          <t>Yes</t>
        </is>
      </c>
      <c r="E656" s="37" t="n">
        <v>0.099</v>
      </c>
      <c r="F656" s="38" t="inlineStr">
        <is>
          <t>PTET election available</t>
        </is>
      </c>
    </row>
    <row r="657">
      <c r="B657" s="36" t="inlineStr">
        <is>
          <t>PA</t>
        </is>
      </c>
      <c r="C657" s="37" t="n">
        <v>0.0307</v>
      </c>
      <c r="D657" s="36" t="inlineStr">
        <is>
          <t>No</t>
        </is>
      </c>
      <c r="E657" s="39" t="n"/>
      <c r="F657" s="38" t="inlineStr">
        <is>
          <t>Flat 3.07%; no PTET</t>
        </is>
      </c>
    </row>
    <row r="658">
      <c r="B658" s="36" t="inlineStr">
        <is>
          <t>RI</t>
        </is>
      </c>
      <c r="C658" s="37" t="n">
        <v>0.0599</v>
      </c>
      <c r="D658" s="36" t="inlineStr">
        <is>
          <t>Yes</t>
        </is>
      </c>
      <c r="E658" s="37" t="n">
        <v>0.0599</v>
      </c>
      <c r="F658" s="38" t="inlineStr">
        <is>
          <t>PTET election available</t>
        </is>
      </c>
    </row>
    <row r="659">
      <c r="B659" s="36" t="inlineStr">
        <is>
          <t>SC</t>
        </is>
      </c>
      <c r="C659" s="37" t="n">
        <v>0.064</v>
      </c>
      <c r="D659" s="36" t="inlineStr">
        <is>
          <t>Yes</t>
        </is>
      </c>
      <c r="E659" s="37" t="n">
        <v>0.03</v>
      </c>
      <c r="F659" s="38" t="inlineStr">
        <is>
          <t>PTET 3%</t>
        </is>
      </c>
    </row>
    <row r="660">
      <c r="B660" s="36" t="inlineStr">
        <is>
          <t>SD</t>
        </is>
      </c>
      <c r="C660" s="37" t="n">
        <v>0</v>
      </c>
      <c r="D660" s="36" t="inlineStr">
        <is>
          <t>No</t>
        </is>
      </c>
      <c r="E660" s="39" t="n"/>
      <c r="F660" s="38" t="inlineStr">
        <is>
          <t>No state personal income tax</t>
        </is>
      </c>
    </row>
    <row r="661">
      <c r="B661" s="36" t="inlineStr">
        <is>
          <t>TN</t>
        </is>
      </c>
      <c r="C661" s="37" t="n">
        <v>0</v>
      </c>
      <c r="D661" s="36" t="inlineStr">
        <is>
          <t>No</t>
        </is>
      </c>
      <c r="E661" s="39" t="n"/>
      <c r="F661" s="38" t="inlineStr">
        <is>
          <t>No state income tax (Hall tax repealed 2021)</t>
        </is>
      </c>
    </row>
    <row r="662">
      <c r="B662" s="36" t="inlineStr">
        <is>
          <t>TX</t>
        </is>
      </c>
      <c r="C662" s="37" t="n">
        <v>0</v>
      </c>
      <c r="D662" s="36" t="inlineStr">
        <is>
          <t>No</t>
        </is>
      </c>
      <c r="E662" s="39" t="n"/>
      <c r="F662" s="38" t="inlineStr">
        <is>
          <t>No state personal income tax</t>
        </is>
      </c>
    </row>
    <row r="663">
      <c r="B663" s="36" t="inlineStr">
        <is>
          <t>UT</t>
        </is>
      </c>
      <c r="C663" s="37" t="n">
        <v>0.0465</v>
      </c>
      <c r="D663" s="36" t="inlineStr">
        <is>
          <t>Yes</t>
        </is>
      </c>
      <c r="E663" s="37" t="n">
        <v>0.0465</v>
      </c>
      <c r="F663" s="38" t="inlineStr">
        <is>
          <t>Flat 4.65%; PTET election available</t>
        </is>
      </c>
    </row>
    <row r="664">
      <c r="B664" s="36" t="inlineStr">
        <is>
          <t>VT</t>
        </is>
      </c>
      <c r="C664" s="37" t="n">
        <v>0.08749999999999999</v>
      </c>
      <c r="D664" s="36" t="inlineStr">
        <is>
          <t>No</t>
        </is>
      </c>
      <c r="E664" s="39" t="n"/>
      <c r="F664" s="38" t="inlineStr">
        <is>
          <t>No PTET</t>
        </is>
      </c>
    </row>
    <row r="665">
      <c r="B665" s="36" t="inlineStr">
        <is>
          <t>VA</t>
        </is>
      </c>
      <c r="C665" s="37" t="n">
        <v>0.0575</v>
      </c>
      <c r="D665" s="36" t="inlineStr">
        <is>
          <t>Yes</t>
        </is>
      </c>
      <c r="E665" s="37" t="n">
        <v>0.0575</v>
      </c>
      <c r="F665" s="38" t="inlineStr">
        <is>
          <t>PTET election available</t>
        </is>
      </c>
    </row>
    <row r="666">
      <c r="B666" s="36" t="inlineStr">
        <is>
          <t>WA</t>
        </is>
      </c>
      <c r="C666" s="37" t="n">
        <v>0</v>
      </c>
      <c r="D666" s="36" t="inlineStr">
        <is>
          <t>No</t>
        </is>
      </c>
      <c r="E666" s="39" t="n"/>
      <c r="F666" s="38" t="inlineStr">
        <is>
          <t>No state personal income tax (7% capital gains tax)</t>
        </is>
      </c>
    </row>
    <row r="667">
      <c r="B667" s="36" t="inlineStr">
        <is>
          <t>WV</t>
        </is>
      </c>
      <c r="C667" s="37" t="n">
        <v>0.0512</v>
      </c>
      <c r="D667" s="36" t="inlineStr">
        <is>
          <t>Yes</t>
        </is>
      </c>
      <c r="E667" s="37" t="n">
        <v>0.0512</v>
      </c>
      <c r="F667" s="38" t="inlineStr">
        <is>
          <t>PTET election available</t>
        </is>
      </c>
    </row>
    <row r="668">
      <c r="B668" s="36" t="inlineStr">
        <is>
          <t>WI</t>
        </is>
      </c>
      <c r="C668" s="37" t="n">
        <v>0.0765</v>
      </c>
      <c r="D668" s="36" t="inlineStr">
        <is>
          <t>Yes</t>
        </is>
      </c>
      <c r="E668" s="37" t="n">
        <v>0.079</v>
      </c>
      <c r="F668" s="38" t="inlineStr">
        <is>
          <t>PTET 7.9%</t>
        </is>
      </c>
    </row>
    <row r="669">
      <c r="B669" s="36" t="inlineStr">
        <is>
          <t>WY</t>
        </is>
      </c>
      <c r="C669" s="37" t="n">
        <v>0</v>
      </c>
      <c r="D669" s="36" t="inlineStr">
        <is>
          <t>No</t>
        </is>
      </c>
      <c r="E669" s="39" t="n"/>
      <c r="F669" s="38" t="inlineStr">
        <is>
          <t>No state personal income tax</t>
        </is>
      </c>
    </row>
  </sheetData>
  <mergeCells count="2">
    <mergeCell ref="B616:I616"/>
    <mergeCell ref="B615:I615"/>
  </mergeCells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1" customWidth="1" min="3" max="3"/>
    <col width="28" customWidth="1" min="4" max="4"/>
    <col width="10" customWidth="1" min="5" max="5"/>
    <col width="14" customWidth="1" min="6" max="6"/>
    <col width="12" customWidth="1" min="7" max="7"/>
    <col width="22" customWidth="1" min="8" max="8"/>
    <col width="6" customWidth="1" min="9" max="9"/>
    <col width="28" customWidth="1" min="10" max="10"/>
    <col width="18" customWidth="1" min="11" max="11"/>
    <col width="50" customWidth="1" min="12" max="12"/>
  </cols>
  <sheetData>
    <row r="1"/>
    <row r="2">
      <c r="B2" s="1" t="inlineStr">
        <is>
          <t>MASTER STRATEGIES CATALOG</t>
        </is>
      </c>
    </row>
    <row r="3">
      <c r="B3" s="2" t="inlineStr">
        <is>
          <t>Source of truth aligned with year-sheet STR-IDs. One row per impact. Use the Strategy Builder (Section D) to size a strategy and see its fan-out before pasting into a year sheet.</t>
        </is>
      </c>
    </row>
    <row r="4"/>
    <row r="5">
      <c r="B5" s="5" t="inlineStr">
        <is>
          <t>▸ SECTION A — STRATEGY CATALOG (aligned with year-sheet STR-IDs)</t>
        </is>
      </c>
    </row>
    <row r="6"/>
    <row r="7">
      <c r="B7" s="18" t="inlineStr">
        <is>
          <t>Strategy_ID</t>
        </is>
      </c>
      <c r="C7" s="18" t="inlineStr">
        <is>
          <t>Impact_Num</t>
        </is>
      </c>
      <c r="D7" s="18" t="inlineStr">
        <is>
          <t>Strategy_Name</t>
        </is>
      </c>
      <c r="E7" s="18" t="inlineStr">
        <is>
          <t>Bucket</t>
        </is>
      </c>
      <c r="F7" s="18" t="inlineStr">
        <is>
          <t>Framework_Ref</t>
        </is>
      </c>
      <c r="G7" s="18" t="inlineStr">
        <is>
          <t>TargetLine</t>
        </is>
      </c>
      <c r="H7" s="18" t="inlineStr">
        <is>
          <t>HelperTreatment</t>
        </is>
      </c>
      <c r="I7" s="18" t="inlineStr">
        <is>
          <t>Sign</t>
        </is>
      </c>
      <c r="J7" s="18" t="inlineStr">
        <is>
          <t>Cap_Rule</t>
        </is>
      </c>
      <c r="K7" s="18" t="inlineStr">
        <is>
          <t>Plan_Maturity_Min</t>
        </is>
      </c>
      <c r="L7" s="18" t="inlineStr">
        <is>
          <t>Description</t>
        </is>
      </c>
    </row>
    <row r="8">
      <c r="B8" s="20" t="inlineStr">
        <is>
          <t>STR-001</t>
        </is>
      </c>
      <c r="C8" s="36" t="n">
        <v>1</v>
      </c>
      <c r="D8" s="20" t="inlineStr">
        <is>
          <t>S-Corp Wage Optimization</t>
        </is>
      </c>
      <c r="E8" s="20" t="inlineStr">
        <is>
          <t>Core</t>
        </is>
      </c>
      <c r="F8" s="20" t="inlineStr">
        <is>
          <t>#2</t>
        </is>
      </c>
      <c r="G8" s="20" t="inlineStr">
        <is>
          <t>1z</t>
        </is>
      </c>
      <c r="H8" s="20" t="inlineStr">
        <is>
          <t>OWNER_PAY</t>
        </is>
      </c>
      <c r="I8" s="36" t="n">
        <v>-1</v>
      </c>
      <c r="J8" s="20" t="inlineStr">
        <is>
          <t>Reasonable comp (RCReports / industry avg)</t>
        </is>
      </c>
      <c r="K8" s="20" t="inlineStr">
        <is>
          <t>Standard</t>
        </is>
      </c>
      <c r="L8" s="20" t="inlineStr">
        <is>
          <t>Reduce W-2 wages to reasonable comp; surplus shifts to K-1</t>
        </is>
      </c>
    </row>
    <row r="9">
      <c r="B9" s="20" t="inlineStr">
        <is>
          <t>STR-001</t>
        </is>
      </c>
      <c r="C9" s="36" t="n">
        <v>2</v>
      </c>
      <c r="D9" s="20" t="inlineStr">
        <is>
          <t>S-Corp Wage Optimization</t>
        </is>
      </c>
      <c r="E9" s="20" t="inlineStr">
        <is>
          <t>Core</t>
        </is>
      </c>
      <c r="F9" s="20" t="inlineStr">
        <is>
          <t>#2</t>
        </is>
      </c>
      <c r="G9" s="20" t="inlineStr">
        <is>
          <t>8</t>
        </is>
      </c>
      <c r="H9" s="20" t="inlineStr">
        <is>
          <t>K1_SCorp_Active</t>
        </is>
      </c>
      <c r="I9" s="36" t="n">
        <v>1</v>
      </c>
      <c r="J9" s="20" t="inlineStr">
        <is>
          <t>Mirrors Impact 1 amount</t>
        </is>
      </c>
      <c r="K9" s="20" t="inlineStr">
        <is>
          <t>Standard</t>
        </is>
      </c>
      <c r="L9" s="20" t="inlineStr">
        <is>
          <t>Surplus from W-2 reduction lands as K-1 active income</t>
        </is>
      </c>
    </row>
    <row r="10">
      <c r="B10" s="20" t="inlineStr">
        <is>
          <t>STR-002</t>
        </is>
      </c>
      <c r="C10" s="36" t="n">
        <v>1</v>
      </c>
      <c r="D10" s="20" t="inlineStr">
        <is>
          <t>HSA Family Max</t>
        </is>
      </c>
      <c r="E10" s="20" t="inlineStr">
        <is>
          <t>Supp.</t>
        </is>
      </c>
      <c r="F10" s="20" t="inlineStr">
        <is>
          <t>—</t>
        </is>
      </c>
      <c r="G10" s="20" t="inlineStr">
        <is>
          <t>10</t>
        </is>
      </c>
      <c r="H10" s="20" t="inlineStr">
        <is>
          <t>HSA</t>
        </is>
      </c>
      <c r="I10" s="36" t="n">
        <v>-1</v>
      </c>
      <c r="J10" s="20" t="inlineStr">
        <is>
          <t>$8,300 family / $4,150 self (2024)</t>
        </is>
      </c>
      <c r="K10" s="20" t="inlineStr">
        <is>
          <t>Standard</t>
        </is>
      </c>
      <c r="L10" s="20" t="inlineStr">
        <is>
          <t>Health Savings Account above-line deduction</t>
        </is>
      </c>
    </row>
    <row r="11">
      <c r="B11" s="20" t="inlineStr">
        <is>
          <t>STR-003</t>
        </is>
      </c>
      <c r="C11" s="36" t="n">
        <v>1</v>
      </c>
      <c r="D11" s="20" t="inlineStr">
        <is>
          <t>Charitable Bunching (DAF)</t>
        </is>
      </c>
      <c r="E11" s="20" t="inlineStr">
        <is>
          <t>Supp.</t>
        </is>
      </c>
      <c r="F11" s="20" t="inlineStr">
        <is>
          <t>B5</t>
        </is>
      </c>
      <c r="G11" s="20" t="inlineStr">
        <is>
          <t>12</t>
        </is>
      </c>
      <c r="H11" s="20" t="inlineStr">
        <is>
          <t>CHARITY_DAF</t>
        </is>
      </c>
      <c r="I11" s="36" t="n">
        <v>-1</v>
      </c>
      <c r="J11" s="20" t="inlineStr">
        <is>
          <t>30%/60% AGI limits</t>
        </is>
      </c>
      <c r="K11" s="20" t="inlineStr">
        <is>
          <t>Standard</t>
        </is>
      </c>
      <c r="L11" s="20" t="inlineStr">
        <is>
          <t>Bunch multi-year giving into one DAF year; itemize that year</t>
        </is>
      </c>
    </row>
    <row r="12">
      <c r="B12" s="20" t="inlineStr">
        <is>
          <t>STR-004</t>
        </is>
      </c>
      <c r="C12" s="36" t="n">
        <v>1</v>
      </c>
      <c r="D12" s="20" t="inlineStr">
        <is>
          <t>SEP-IRA / Solo 401(k)</t>
        </is>
      </c>
      <c r="E12" s="20" t="inlineStr">
        <is>
          <t>Core</t>
        </is>
      </c>
      <c r="F12" s="20" t="inlineStr">
        <is>
          <t>#3</t>
        </is>
      </c>
      <c r="G12" s="20" t="inlineStr">
        <is>
          <t>8</t>
        </is>
      </c>
      <c r="H12" s="20" t="inlineStr">
        <is>
          <t>RETIREMENT</t>
        </is>
      </c>
      <c r="I12" s="36" t="n">
        <v>-1</v>
      </c>
      <c r="J12" s="20" t="inlineStr">
        <is>
          <t>25% of comp; $66K combined (2024)</t>
        </is>
      </c>
      <c r="K12" s="20" t="inlineStr">
        <is>
          <t>Standard</t>
        </is>
      </c>
      <c r="L12" s="20" t="inlineStr">
        <is>
          <t>Retirement contribution defaults to Line 8 (S-Corp owner); change to 10 for sole-prop</t>
        </is>
      </c>
    </row>
    <row r="13">
      <c r="B13" s="20" t="inlineStr">
        <is>
          <t>STR-005</t>
        </is>
      </c>
      <c r="C13" s="36" t="n">
        <v>1</v>
      </c>
      <c r="D13" s="20" t="inlineStr">
        <is>
          <t>Cost Seg Study</t>
        </is>
      </c>
      <c r="E13" s="20" t="inlineStr">
        <is>
          <t>Core</t>
        </is>
      </c>
      <c r="F13" s="20" t="inlineStr">
        <is>
          <t>#4</t>
        </is>
      </c>
      <c r="G13" s="20" t="inlineStr">
        <is>
          <t>8</t>
        </is>
      </c>
      <c r="H13" s="20" t="inlineStr">
        <is>
          <t>SchE_Rental</t>
        </is>
      </c>
      <c r="I13" s="36" t="n">
        <v>-1</v>
      </c>
      <c r="J13" s="20" t="inlineStr">
        <is>
          <t>25% Y1 accel of building basis (default)</t>
        </is>
      </c>
      <c r="K13" s="20" t="inlineStr">
        <is>
          <t>Verified</t>
        </is>
      </c>
      <c r="L13" s="20" t="inlineStr">
        <is>
          <t>Engineering reclass + bonus depr on rental property</t>
        </is>
      </c>
    </row>
    <row r="14">
      <c r="B14" s="20" t="inlineStr">
        <is>
          <t>STR-006</t>
        </is>
      </c>
      <c r="C14" s="36" t="n">
        <v>1</v>
      </c>
      <c r="D14" s="20" t="inlineStr">
        <is>
          <t>Roth Conversion</t>
        </is>
      </c>
      <c r="E14" s="20" t="inlineStr">
        <is>
          <t>Supp.</t>
        </is>
      </c>
      <c r="F14" s="20" t="inlineStr">
        <is>
          <t>B4</t>
        </is>
      </c>
      <c r="G14" s="20" t="inlineStr">
        <is>
          <t>4b</t>
        </is>
      </c>
      <c r="H14" s="20" t="inlineStr">
        <is>
          <t>ROTH_CONV</t>
        </is>
      </c>
      <c r="I14" s="36" t="n">
        <v>1</v>
      </c>
      <c r="J14" s="20" t="inlineStr">
        <is>
          <t>Bracket management</t>
        </is>
      </c>
      <c r="K14" s="20" t="inlineStr">
        <is>
          <t>Standard</t>
        </is>
      </c>
      <c r="L14" s="20" t="inlineStr">
        <is>
          <t>Trad → Roth conversion (creates taxable income on Line 4b)</t>
        </is>
      </c>
    </row>
    <row r="15">
      <c r="B15" s="20" t="inlineStr">
        <is>
          <t>STR-007</t>
        </is>
      </c>
      <c r="C15" s="36" t="n">
        <v>1</v>
      </c>
      <c r="D15" s="20" t="inlineStr">
        <is>
          <t>Augusta Rule (§280A)</t>
        </is>
      </c>
      <c r="E15" s="20" t="inlineStr">
        <is>
          <t>Core</t>
        </is>
      </c>
      <c r="F15" s="20" t="inlineStr">
        <is>
          <t>#5 LHF</t>
        </is>
      </c>
      <c r="G15" s="20" t="inlineStr">
        <is>
          <t>8</t>
        </is>
      </c>
      <c r="H15" s="20" t="inlineStr">
        <is>
          <t>AUGUSTA</t>
        </is>
      </c>
      <c r="I15" s="36" t="n">
        <v>-1</v>
      </c>
      <c r="J15" s="20" t="inlineStr">
        <is>
          <t>≤14 days/yr at FMV</t>
        </is>
      </c>
      <c r="K15" s="20" t="inlineStr">
        <is>
          <t>Standard</t>
        </is>
      </c>
      <c r="L15" s="20" t="inlineStr">
        <is>
          <t>S-Corp rents owner residence ≤14 days; deduction to business, tax-free to owner</t>
        </is>
      </c>
    </row>
    <row r="16">
      <c r="B16" s="20" t="inlineStr">
        <is>
          <t>STR-008</t>
        </is>
      </c>
      <c r="C16" s="36" t="n">
        <v>1</v>
      </c>
      <c r="D16" s="20" t="inlineStr">
        <is>
          <t>Accountable Plan</t>
        </is>
      </c>
      <c r="E16" s="20" t="inlineStr">
        <is>
          <t>Core</t>
        </is>
      </c>
      <c r="F16" s="20" t="inlineStr">
        <is>
          <t>#5 LHF</t>
        </is>
      </c>
      <c r="G16" s="20" t="inlineStr">
        <is>
          <t>8</t>
        </is>
      </c>
      <c r="H16" s="20" t="inlineStr">
        <is>
          <t>ACCT_PLAN</t>
        </is>
      </c>
      <c r="I16" s="36" t="n">
        <v>-1</v>
      </c>
      <c r="J16" s="20" t="inlineStr">
        <is>
          <t>Substantiated expenses only</t>
        </is>
      </c>
      <c r="K16" s="20" t="inlineStr">
        <is>
          <t>Standard</t>
        </is>
      </c>
      <c r="L16" s="20" t="inlineStr">
        <is>
          <t>Written plan reimburses owner-employee for business-use of home/vehicle</t>
        </is>
      </c>
    </row>
    <row r="17">
      <c r="B17" s="20" t="inlineStr">
        <is>
          <t>STR-009</t>
        </is>
      </c>
      <c r="C17" s="36" t="n">
        <v>1</v>
      </c>
      <c r="D17" s="20" t="inlineStr">
        <is>
          <t>Hire Children</t>
        </is>
      </c>
      <c r="E17" s="20" t="inlineStr">
        <is>
          <t>Core</t>
        </is>
      </c>
      <c r="F17" s="20" t="inlineStr">
        <is>
          <t>#5 LHF</t>
        </is>
      </c>
      <c r="G17" s="20" t="inlineStr">
        <is>
          <t>8</t>
        </is>
      </c>
      <c r="H17" s="20" t="inlineStr">
        <is>
          <t>CHILD_WAGES</t>
        </is>
      </c>
      <c r="I17" s="36" t="n">
        <v>-1</v>
      </c>
      <c r="J17" s="20" t="inlineStr">
        <is>
          <t>Reasonable wages for age/work</t>
        </is>
      </c>
      <c r="K17" s="20" t="inlineStr">
        <is>
          <t>Standard</t>
        </is>
      </c>
      <c r="L17" s="20" t="inlineStr">
        <is>
          <t>Wages deductible to business</t>
        </is>
      </c>
    </row>
    <row r="18">
      <c r="B18" s="20" t="inlineStr">
        <is>
          <t>STR-009</t>
        </is>
      </c>
      <c r="C18" s="36" t="n">
        <v>2</v>
      </c>
      <c r="D18" s="20" t="inlineStr">
        <is>
          <t>Hire Children</t>
        </is>
      </c>
      <c r="E18" s="20" t="inlineStr">
        <is>
          <t>Core</t>
        </is>
      </c>
      <c r="F18" s="20" t="inlineStr">
        <is>
          <t>#5 LHF</t>
        </is>
      </c>
      <c r="G18" s="20" t="inlineStr">
        <is>
          <t>1z</t>
        </is>
      </c>
      <c r="H18" s="20" t="inlineStr">
        <is>
          <t>CHILD_WAGES</t>
        </is>
      </c>
      <c r="I18" s="36" t="n">
        <v>1</v>
      </c>
      <c r="J18" s="20" t="inlineStr">
        <is>
          <t>Child's std ded $14,600 (2024)</t>
        </is>
      </c>
      <c r="K18" s="20" t="inlineStr">
        <is>
          <t>Standard</t>
        </is>
      </c>
      <c r="L18" s="20" t="inlineStr">
        <is>
          <t>Wages reportable on child's return; offset by std ded</t>
        </is>
      </c>
    </row>
    <row r="19">
      <c r="B19" s="20" t="inlineStr">
        <is>
          <t>STR-009</t>
        </is>
      </c>
      <c r="C19" s="36" t="n">
        <v>3</v>
      </c>
      <c r="D19" s="20" t="inlineStr">
        <is>
          <t>Hire Children</t>
        </is>
      </c>
      <c r="E19" s="20" t="inlineStr">
        <is>
          <t>Core</t>
        </is>
      </c>
      <c r="F19" s="20" t="inlineStr">
        <is>
          <t>#5 LHF</t>
        </is>
      </c>
      <c r="G19" s="20" t="inlineStr">
        <is>
          <t>—</t>
        </is>
      </c>
      <c r="H19" s="20" t="inlineStr">
        <is>
          <t>CHILD_ROTH</t>
        </is>
      </c>
      <c r="I19" s="36" t="n">
        <v>0</v>
      </c>
      <c r="J19" s="20" t="inlineStr">
        <is>
          <t>Up to $7K Roth IRA cap</t>
        </is>
      </c>
      <c r="K19" s="20" t="inlineStr">
        <is>
          <t>Standard</t>
        </is>
      </c>
      <c r="L19" s="20" t="inlineStr">
        <is>
          <t>Informational — child can fund Roth IRA from earned wages</t>
        </is>
      </c>
    </row>
    <row r="20">
      <c r="B20" s="20" t="inlineStr">
        <is>
          <t>STR-010</t>
        </is>
      </c>
      <c r="C20" s="36" t="n">
        <v>1</v>
      </c>
      <c r="D20" s="20" t="inlineStr">
        <is>
          <t>Entity Restructuring</t>
        </is>
      </c>
      <c r="E20" s="20" t="inlineStr">
        <is>
          <t>Advanced</t>
        </is>
      </c>
      <c r="F20" s="20" t="inlineStr">
        <is>
          <t>#1</t>
        </is>
      </c>
      <c r="G20" s="20" t="inlineStr">
        <is>
          <t>8</t>
        </is>
      </c>
      <c r="H20" s="20" t="inlineStr">
        <is>
          <t>STRUCTURAL</t>
        </is>
      </c>
      <c r="I20" s="36" t="n">
        <v>-1</v>
      </c>
      <c r="J20" s="20" t="inlineStr">
        <is>
          <t>Case-by-case</t>
        </is>
      </c>
      <c r="K20" s="20" t="inlineStr">
        <is>
          <t>Confirmed</t>
        </is>
      </c>
      <c r="L20" s="20" t="inlineStr">
        <is>
          <t>CASE-BY-CASE: Restructure mechanics vary by entity type (S-Corp election, HoldCo over OpCo, F-reorg, P→S). Default fan-out 8↔1z is illustrative only — adjust per scenario.</t>
        </is>
      </c>
    </row>
    <row r="21">
      <c r="B21" s="20" t="inlineStr">
        <is>
          <t>STR-010</t>
        </is>
      </c>
      <c r="C21" s="36" t="n">
        <v>2</v>
      </c>
      <c r="D21" s="20" t="inlineStr">
        <is>
          <t>Entity Restructuring</t>
        </is>
      </c>
      <c r="E21" s="20" t="inlineStr">
        <is>
          <t>Advanced</t>
        </is>
      </c>
      <c r="F21" s="20" t="inlineStr">
        <is>
          <t>#1</t>
        </is>
      </c>
      <c r="G21" s="20" t="inlineStr">
        <is>
          <t>1z</t>
        </is>
      </c>
      <c r="H21" s="20" t="inlineStr">
        <is>
          <t>STRUCTURAL</t>
        </is>
      </c>
      <c r="I21" s="36" t="n">
        <v>1</v>
      </c>
      <c r="J21" s="20" t="inlineStr">
        <is>
          <t>Case-by-case</t>
        </is>
      </c>
      <c r="K21" s="20" t="inlineStr">
        <is>
          <t>Confirmed</t>
        </is>
      </c>
      <c r="L21" s="20" t="inlineStr">
        <is>
          <t>CASE-BY-CASE: Reasonable comp adjustment varies by entity transition; default counter on Line 1z is illustrative.</t>
        </is>
      </c>
    </row>
    <row r="22">
      <c r="B22" s="20" t="inlineStr">
        <is>
          <t>STR-011</t>
        </is>
      </c>
      <c r="C22" s="36" t="n">
        <v>1</v>
      </c>
      <c r="D22" s="20" t="inlineStr">
        <is>
          <t>Installment Sale / 1031</t>
        </is>
      </c>
      <c r="E22" s="20" t="inlineStr">
        <is>
          <t>Supp.</t>
        </is>
      </c>
      <c r="F22" s="20" t="inlineStr">
        <is>
          <t>B6</t>
        </is>
      </c>
      <c r="G22" s="20" t="inlineStr">
        <is>
          <t>7</t>
        </is>
      </c>
      <c r="H22" s="20" t="inlineStr">
        <is>
          <t>CG_DEFER</t>
        </is>
      </c>
      <c r="I22" s="36" t="n">
        <v>-1</v>
      </c>
      <c r="J22" s="20" t="inlineStr">
        <is>
          <t>Transaction-triggered</t>
        </is>
      </c>
      <c r="K22" s="20" t="inlineStr">
        <is>
          <t>Standard</t>
        </is>
      </c>
      <c r="L22" s="20" t="inlineStr">
        <is>
          <t>Installment §453 or §1031 like-kind defers capital gain recognition</t>
        </is>
      </c>
    </row>
    <row r="23">
      <c r="B23" s="20" t="inlineStr">
        <is>
          <t>STR-012</t>
        </is>
      </c>
      <c r="C23" s="36" t="n">
        <v>1</v>
      </c>
      <c r="D23" s="20" t="inlineStr">
        <is>
          <t>Bonus Depreciation §168(k)</t>
        </is>
      </c>
      <c r="E23" s="20" t="inlineStr">
        <is>
          <t>Core</t>
        </is>
      </c>
      <c r="F23" s="20" t="inlineStr">
        <is>
          <t>#4</t>
        </is>
      </c>
      <c r="G23" s="20" t="inlineStr">
        <is>
          <t>8</t>
        </is>
      </c>
      <c r="H23" s="20" t="inlineStr">
        <is>
          <t>SchE_Rental</t>
        </is>
      </c>
      <c r="I23" s="36" t="n">
        <v>-1</v>
      </c>
      <c r="J23" s="20" t="inlineStr">
        <is>
          <t>60% (2024) → 40% (2025) phase-down</t>
        </is>
      </c>
      <c r="K23" s="20" t="inlineStr">
        <is>
          <t>Verified</t>
        </is>
      </c>
      <c r="L23" s="20" t="inlineStr">
        <is>
          <t>First-year bonus depreciation on qualifying property</t>
        </is>
      </c>
    </row>
    <row r="24">
      <c r="B24" s="20" t="inlineStr">
        <is>
          <t>STR-013</t>
        </is>
      </c>
      <c r="C24" s="36" t="n">
        <v>1</v>
      </c>
      <c r="D24" s="20" t="inlineStr">
        <is>
          <t>R&amp;D Credit §41</t>
        </is>
      </c>
      <c r="E24" s="20" t="inlineStr">
        <is>
          <t>Advanced</t>
        </is>
      </c>
      <c r="F24" s="20" t="inlineStr">
        <is>
          <t>—</t>
        </is>
      </c>
      <c r="G24" s="20" t="inlineStr">
        <is>
          <t>20</t>
        </is>
      </c>
      <c r="H24" s="20" t="inlineStr">
        <is>
          <t>CREDIT_RD</t>
        </is>
      </c>
      <c r="I24" s="36" t="n">
        <v>-1</v>
      </c>
      <c r="J24" s="20" t="inlineStr">
        <is>
          <t>Qualifying research expenses</t>
        </is>
      </c>
      <c r="K24" s="20" t="inlineStr">
        <is>
          <t>Verified</t>
        </is>
      </c>
      <c r="L24" s="20" t="inlineStr">
        <is>
          <t>Section 41 research credit — offsets tax on Line 20</t>
        </is>
      </c>
    </row>
    <row r="25">
      <c r="B25" s="20" t="inlineStr">
        <is>
          <t>STR-014</t>
        </is>
      </c>
      <c r="C25" s="36" t="n">
        <v>1</v>
      </c>
      <c r="D25" s="20" t="inlineStr">
        <is>
          <t>SALT PTE Election</t>
        </is>
      </c>
      <c r="E25" s="20" t="inlineStr">
        <is>
          <t>Supp.</t>
        </is>
      </c>
      <c r="F25" s="20" t="inlineStr">
        <is>
          <t>B1</t>
        </is>
      </c>
      <c r="G25" s="20" t="inlineStr">
        <is>
          <t>8</t>
        </is>
      </c>
      <c r="H25" s="20" t="inlineStr">
        <is>
          <t>PTET</t>
        </is>
      </c>
      <c r="I25" s="36" t="n">
        <v>-1</v>
      </c>
      <c r="J25" s="20" t="inlineStr">
        <is>
          <t>100% state tax via entity</t>
        </is>
      </c>
      <c r="K25" s="20" t="inlineStr">
        <is>
          <t>Verified</t>
        </is>
      </c>
      <c r="L25" s="20" t="inlineStr">
        <is>
          <t>Pass-through entity pays state tax federally; reduces K-1 pass-through income at entity level (Line 8)</t>
        </is>
      </c>
    </row>
    <row r="26">
      <c r="B26" s="20" t="inlineStr">
        <is>
          <t>STR-015</t>
        </is>
      </c>
      <c r="C26" s="36" t="n">
        <v>1</v>
      </c>
      <c r="D26" s="20" t="inlineStr">
        <is>
          <t>Timing / Deferral</t>
        </is>
      </c>
      <c r="E26" s="20" t="inlineStr">
        <is>
          <t>Supp.</t>
        </is>
      </c>
      <c r="F26" s="20" t="inlineStr">
        <is>
          <t>B3</t>
        </is>
      </c>
      <c r="G26" s="20" t="inlineStr">
        <is>
          <t>8</t>
        </is>
      </c>
      <c r="H26" s="20" t="inlineStr">
        <is>
          <t>TIMING</t>
        </is>
      </c>
      <c r="I26" s="36" t="n">
        <v>-1</v>
      </c>
      <c r="J26" s="20" t="inlineStr">
        <is>
          <t>Universal year-end lever</t>
        </is>
      </c>
      <c r="K26" s="20" t="inlineStr">
        <is>
          <t>Standard</t>
        </is>
      </c>
      <c r="L26" s="20" t="inlineStr">
        <is>
          <t>Accelerate deductions / defer income (or reverse)</t>
        </is>
      </c>
    </row>
    <row r="27"/>
    <row r="28"/>
    <row r="29">
      <c r="B29" s="5" t="inlineStr">
        <is>
          <t>▸ SECTION B — BUCKET LEGEND</t>
        </is>
      </c>
    </row>
    <row r="30"/>
    <row r="31">
      <c r="B31" s="40" t="inlineStr">
        <is>
          <t>Core</t>
        </is>
      </c>
      <c r="C31" s="20" t="inlineStr">
        <is>
          <t>Bucket A — 5 dependency-ordered foundational strategies. Entity → Wage → Retirement → Bonus Depr → LHF</t>
        </is>
      </c>
      <c r="D31" s="41" t="n"/>
      <c r="E31" s="41" t="n"/>
      <c r="F31" s="41" t="n"/>
      <c r="G31" s="41" t="n"/>
      <c r="H31" s="41" t="n"/>
      <c r="I31" s="41" t="n"/>
      <c r="J31" s="41" t="n"/>
      <c r="K31" s="41" t="n"/>
      <c r="L31" s="42" t="n"/>
    </row>
    <row r="32">
      <c r="B32" s="40" t="inlineStr">
        <is>
          <t>Supp.</t>
        </is>
      </c>
      <c r="C32" s="20" t="inlineStr">
        <is>
          <t>Bucket B — 7 supplemental strategies. PTET, TaxLoss, IncShift/Timing, Roth, DAF, 1031, OppZone</t>
        </is>
      </c>
      <c r="D32" s="41" t="n"/>
      <c r="E32" s="41" t="n"/>
      <c r="F32" s="41" t="n"/>
      <c r="G32" s="41" t="n"/>
      <c r="H32" s="41" t="n"/>
      <c r="I32" s="41" t="n"/>
      <c r="J32" s="41" t="n"/>
      <c r="K32" s="41" t="n"/>
      <c r="L32" s="42" t="n"/>
    </row>
    <row r="33">
      <c r="B33" s="40" t="inlineStr">
        <is>
          <t>Advanced</t>
        </is>
      </c>
      <c r="C33" s="20" t="inlineStr">
        <is>
          <t>Bucket C — case-by-case heavy machinery. Entity restructure, R&amp;D credit, conservation easements</t>
        </is>
      </c>
      <c r="D33" s="41" t="n"/>
      <c r="E33" s="41" t="n"/>
      <c r="F33" s="41" t="n"/>
      <c r="G33" s="41" t="n"/>
      <c r="H33" s="41" t="n"/>
      <c r="I33" s="41" t="n"/>
      <c r="J33" s="41" t="n"/>
      <c r="K33" s="41" t="n"/>
      <c r="L33" s="42" t="n"/>
    </row>
    <row r="34"/>
    <row r="35"/>
    <row r="36">
      <c r="B36" s="5" t="inlineStr">
        <is>
          <t>▸ SECTION C — SIGN CONVENTION</t>
        </is>
      </c>
    </row>
    <row r="37"/>
    <row r="38">
      <c r="B38" s="43" t="inlineStr">
        <is>
          <t>-1</t>
        </is>
      </c>
      <c r="C38" s="44" t="inlineStr">
        <is>
          <t>REDUCES target line</t>
        </is>
      </c>
      <c r="D38" s="45" t="inlineStr">
        <is>
          <t>e.g., 401(k) employee deferral reduces W-2 wages (Line 1z by -$X)</t>
        </is>
      </c>
      <c r="E38" s="41" t="n"/>
      <c r="F38" s="41" t="n"/>
      <c r="G38" s="41" t="n"/>
      <c r="H38" s="41" t="n"/>
      <c r="I38" s="41" t="n"/>
      <c r="J38" s="41" t="n"/>
      <c r="K38" s="41" t="n"/>
      <c r="L38" s="42" t="n"/>
    </row>
    <row r="39">
      <c r="B39" s="43" t="inlineStr">
        <is>
          <t>+1</t>
        </is>
      </c>
      <c r="C39" s="44" t="inlineStr">
        <is>
          <t>INCREASES target line</t>
        </is>
      </c>
      <c r="D39" s="45" t="inlineStr">
        <is>
          <t>e.g., S-Corp wage reduction shifts dollars to K-1 (Line 8 by +$X)</t>
        </is>
      </c>
      <c r="E39" s="41" t="n"/>
      <c r="F39" s="41" t="n"/>
      <c r="G39" s="41" t="n"/>
      <c r="H39" s="41" t="n"/>
      <c r="I39" s="41" t="n"/>
      <c r="J39" s="41" t="n"/>
      <c r="K39" s="41" t="n"/>
      <c r="L39" s="42" t="n"/>
    </row>
    <row r="40">
      <c r="B40" s="43" t="inlineStr">
        <is>
          <t>0</t>
        </is>
      </c>
      <c r="C40" s="44" t="inlineStr">
        <is>
          <t>NO 1040 IMPACT (info)</t>
        </is>
      </c>
      <c r="D40" s="45" t="inlineStr">
        <is>
          <t>e.g., entity structure or Roth-via-child wages — tracked but no direct line move</t>
        </is>
      </c>
      <c r="E40" s="41" t="n"/>
      <c r="F40" s="41" t="n"/>
      <c r="G40" s="41" t="n"/>
      <c r="H40" s="41" t="n"/>
      <c r="I40" s="41" t="n"/>
      <c r="J40" s="41" t="n"/>
      <c r="K40" s="41" t="n"/>
      <c r="L40" s="42" t="n"/>
    </row>
    <row r="41"/>
    <row r="42"/>
    <row r="43">
      <c r="B43" s="5" t="inlineStr">
        <is>
          <t>▸ SECTION D — STRATEGY BUILDER (live tool — pick + size a strategy)</t>
        </is>
      </c>
    </row>
    <row r="44"/>
    <row r="45">
      <c r="B45" s="46" t="inlineStr">
        <is>
          <t>Strategy:</t>
        </is>
      </c>
      <c r="C45" s="47" t="inlineStr">
        <is>
          <t>STR-001</t>
        </is>
      </c>
      <c r="D45" s="46" t="inlineStr">
        <is>
          <t>Amount:</t>
        </is>
      </c>
      <c r="E45" s="9" t="n">
        <v>25000</v>
      </c>
      <c r="F45" s="46" t="inlineStr">
        <is>
          <t>For Year:</t>
        </is>
      </c>
      <c r="G45" s="47">
        <f>Active_Year</f>
        <v/>
      </c>
      <c r="H45" s="46" t="inlineStr">
        <is>
          <t>Status:</t>
        </is>
      </c>
      <c r="I45" s="47" t="inlineStr">
        <is>
          <t>Proposed</t>
        </is>
      </c>
      <c r="J45" s="46" t="inlineStr">
        <is>
          <t>Cap rule:</t>
        </is>
      </c>
      <c r="K45" s="48">
        <f>VLOOKUP($C$45,$B$8:$L$26,9,FALSE)</f>
        <v/>
      </c>
    </row>
    <row r="46"/>
    <row r="47">
      <c r="B47" s="49" t="inlineStr">
        <is>
          <t>▾ All impacts for the selected strategy (paste signed amounts into Y[year] sheet)</t>
        </is>
      </c>
    </row>
    <row r="48">
      <c r="B48" s="18" t="inlineStr">
        <is>
          <t>#</t>
        </is>
      </c>
      <c r="C48" s="18" t="inlineStr">
        <is>
          <t>Strategy_ID</t>
        </is>
      </c>
      <c r="D48" s="18" t="inlineStr">
        <is>
          <t>Strategy_Name</t>
        </is>
      </c>
      <c r="E48" s="18" t="inlineStr">
        <is>
          <t>TargetLine</t>
        </is>
      </c>
      <c r="F48" s="18" t="inlineStr">
        <is>
          <t>HelperTreatment</t>
        </is>
      </c>
      <c r="G48" s="18" t="inlineStr">
        <is>
          <t>Sign</t>
        </is>
      </c>
      <c r="H48" s="18" t="inlineStr">
        <is>
          <t>Amount (signed)</t>
        </is>
      </c>
      <c r="I48" s="18" t="inlineStr">
        <is>
          <t>Status</t>
        </is>
      </c>
      <c r="J48" s="18" t="inlineStr">
        <is>
          <t>Cap_Rule</t>
        </is>
      </c>
      <c r="K48" s="18" t="inlineStr">
        <is>
          <t>Description</t>
        </is>
      </c>
    </row>
    <row r="49">
      <c r="B49" s="40" t="n">
        <v>1</v>
      </c>
      <c r="C49" s="36">
        <f>IFERROR(INDEX($B$8:$L$26,MATCH(1,($B$8:$B$26=$C$45)*($C$8:$C$26=1),0),1),"")</f>
        <v/>
      </c>
      <c r="D49" s="20">
        <f>IFERROR(INDEX($B$8:$L$26,MATCH(1,($B$8:$B$26=$C$45)*($C$8:$C$26=1),0),3),"")</f>
        <v/>
      </c>
      <c r="E49" s="36">
        <f>IFERROR(INDEX($B$8:$L$26,MATCH(1,($B$8:$B$26=$C$45)*($C$8:$C$26=1),0),6),"")</f>
        <v/>
      </c>
      <c r="F49" s="36">
        <f>IFERROR(INDEX($B$8:$L$26,MATCH(1,($B$8:$B$26=$C$45)*($C$8:$C$26=1),0),7),"")</f>
        <v/>
      </c>
      <c r="G49" s="36">
        <f>IFERROR(INDEX($B$8:$L$26,MATCH(1,($B$8:$B$26=$C$45)*($C$8:$C$26=1),0),8),"")</f>
        <v/>
      </c>
      <c r="H49" s="50">
        <f>IFERROR(IF(IFERROR(INDEX($B$8:$L$26,MATCH(1,($B$8:$B$26=$C$45)*($C$8:$C$26=1),0),8),""),$E$45*IFERROR(INDEX($B$8:$L$26,MATCH(1,($B$8:$B$26=$C$45)*($C$8:$C$26=1),0),8),"")),"")</f>
        <v/>
      </c>
      <c r="I49" s="36">
        <f>IF(IFERROR(INDEX($B$8:$L$26,MATCH(1,($B$8:$B$26=$C$45)*($C$8:$C$26=1),0),1),"")="","",$I$45)</f>
        <v/>
      </c>
      <c r="J49" s="51">
        <f>IFERROR(INDEX($B$8:$L$26,MATCH(1,($B$8:$B$26=$C$45)*($C$8:$C$26=1),0),9),"")</f>
        <v/>
      </c>
      <c r="K49" s="45">
        <f>IFERROR(INDEX($B$8:$L$26,MATCH(1,($B$8:$B$26=$C$45)*($C$8:$C$26=1),0),11),"")</f>
        <v/>
      </c>
      <c r="L49" s="42" t="n"/>
    </row>
    <row r="50">
      <c r="B50" s="40" t="n">
        <v>2</v>
      </c>
      <c r="C50" s="36">
        <f>IFERROR(INDEX($B$8:$L$26,MATCH(1,($B$8:$B$26=$C$45)*($C$8:$C$26=2),0),1),"")</f>
        <v/>
      </c>
      <c r="D50" s="20">
        <f>IFERROR(INDEX($B$8:$L$26,MATCH(1,($B$8:$B$26=$C$45)*($C$8:$C$26=2),0),3),"")</f>
        <v/>
      </c>
      <c r="E50" s="36">
        <f>IFERROR(INDEX($B$8:$L$26,MATCH(1,($B$8:$B$26=$C$45)*($C$8:$C$26=2),0),6),"")</f>
        <v/>
      </c>
      <c r="F50" s="36">
        <f>IFERROR(INDEX($B$8:$L$26,MATCH(1,($B$8:$B$26=$C$45)*($C$8:$C$26=2),0),7),"")</f>
        <v/>
      </c>
      <c r="G50" s="36">
        <f>IFERROR(INDEX($B$8:$L$26,MATCH(1,($B$8:$B$26=$C$45)*($C$8:$C$26=2),0),8),"")</f>
        <v/>
      </c>
      <c r="H50" s="50">
        <f>IFERROR(IF(IFERROR(INDEX($B$8:$L$26,MATCH(1,($B$8:$B$26=$C$45)*($C$8:$C$26=2),0),8),""),$E$45*IFERROR(INDEX($B$8:$L$26,MATCH(1,($B$8:$B$26=$C$45)*($C$8:$C$26=2),0),8),"")),"")</f>
        <v/>
      </c>
      <c r="I50" s="36">
        <f>IF(IFERROR(INDEX($B$8:$L$26,MATCH(1,($B$8:$B$26=$C$45)*($C$8:$C$26=2),0),1),"")="","",$I$45)</f>
        <v/>
      </c>
      <c r="J50" s="51">
        <f>IFERROR(INDEX($B$8:$L$26,MATCH(1,($B$8:$B$26=$C$45)*($C$8:$C$26=2),0),9),"")</f>
        <v/>
      </c>
      <c r="K50" s="45">
        <f>IFERROR(INDEX($B$8:$L$26,MATCH(1,($B$8:$B$26=$C$45)*($C$8:$C$26=2),0),11),"")</f>
        <v/>
      </c>
      <c r="L50" s="42" t="n"/>
    </row>
    <row r="51">
      <c r="B51" s="40" t="n">
        <v>3</v>
      </c>
      <c r="C51" s="36">
        <f>IFERROR(INDEX($B$8:$L$26,MATCH(1,($B$8:$B$26=$C$45)*($C$8:$C$26=3),0),1),"")</f>
        <v/>
      </c>
      <c r="D51" s="20">
        <f>IFERROR(INDEX($B$8:$L$26,MATCH(1,($B$8:$B$26=$C$45)*($C$8:$C$26=3),0),3),"")</f>
        <v/>
      </c>
      <c r="E51" s="36">
        <f>IFERROR(INDEX($B$8:$L$26,MATCH(1,($B$8:$B$26=$C$45)*($C$8:$C$26=3),0),6),"")</f>
        <v/>
      </c>
      <c r="F51" s="36">
        <f>IFERROR(INDEX($B$8:$L$26,MATCH(1,($B$8:$B$26=$C$45)*($C$8:$C$26=3),0),7),"")</f>
        <v/>
      </c>
      <c r="G51" s="36">
        <f>IFERROR(INDEX($B$8:$L$26,MATCH(1,($B$8:$B$26=$C$45)*($C$8:$C$26=3),0),8),"")</f>
        <v/>
      </c>
      <c r="H51" s="50">
        <f>IFERROR(IF(IFERROR(INDEX($B$8:$L$26,MATCH(1,($B$8:$B$26=$C$45)*($C$8:$C$26=3),0),8),""),$E$45*IFERROR(INDEX($B$8:$L$26,MATCH(1,($B$8:$B$26=$C$45)*($C$8:$C$26=3),0),8),"")),"")</f>
        <v/>
      </c>
      <c r="I51" s="36">
        <f>IF(IFERROR(INDEX($B$8:$L$26,MATCH(1,($B$8:$B$26=$C$45)*($C$8:$C$26=3),0),1),"")="","",$I$45)</f>
        <v/>
      </c>
      <c r="J51" s="51">
        <f>IFERROR(INDEX($B$8:$L$26,MATCH(1,($B$8:$B$26=$C$45)*($C$8:$C$26=3),0),9),"")</f>
        <v/>
      </c>
      <c r="K51" s="45">
        <f>IFERROR(INDEX($B$8:$L$26,MATCH(1,($B$8:$B$26=$C$45)*($C$8:$C$26=3),0),11),"")</f>
        <v/>
      </c>
      <c r="L51" s="42" t="n"/>
    </row>
    <row r="52">
      <c r="B52" s="40" t="n">
        <v>4</v>
      </c>
      <c r="C52" s="36">
        <f>IFERROR(INDEX($B$8:$L$26,MATCH(1,($B$8:$B$26=$C$45)*($C$8:$C$26=4),0),1),"")</f>
        <v/>
      </c>
      <c r="D52" s="20">
        <f>IFERROR(INDEX($B$8:$L$26,MATCH(1,($B$8:$B$26=$C$45)*($C$8:$C$26=4),0),3),"")</f>
        <v/>
      </c>
      <c r="E52" s="36">
        <f>IFERROR(INDEX($B$8:$L$26,MATCH(1,($B$8:$B$26=$C$45)*($C$8:$C$26=4),0),6),"")</f>
        <v/>
      </c>
      <c r="F52" s="36">
        <f>IFERROR(INDEX($B$8:$L$26,MATCH(1,($B$8:$B$26=$C$45)*($C$8:$C$26=4),0),7),"")</f>
        <v/>
      </c>
      <c r="G52" s="36">
        <f>IFERROR(INDEX($B$8:$L$26,MATCH(1,($B$8:$B$26=$C$45)*($C$8:$C$26=4),0),8),"")</f>
        <v/>
      </c>
      <c r="H52" s="50">
        <f>IFERROR(IF(IFERROR(INDEX($B$8:$L$26,MATCH(1,($B$8:$B$26=$C$45)*($C$8:$C$26=4),0),8),""),$E$45*IFERROR(INDEX($B$8:$L$26,MATCH(1,($B$8:$B$26=$C$45)*($C$8:$C$26=4),0),8),"")),"")</f>
        <v/>
      </c>
      <c r="I52" s="36">
        <f>IF(IFERROR(INDEX($B$8:$L$26,MATCH(1,($B$8:$B$26=$C$45)*($C$8:$C$26=4),0),1),"")="","",$I$45)</f>
        <v/>
      </c>
      <c r="J52" s="51">
        <f>IFERROR(INDEX($B$8:$L$26,MATCH(1,($B$8:$B$26=$C$45)*($C$8:$C$26=4),0),9),"")</f>
        <v/>
      </c>
      <c r="K52" s="45">
        <f>IFERROR(INDEX($B$8:$L$26,MATCH(1,($B$8:$B$26=$C$45)*($C$8:$C$26=4),0),11),"")</f>
        <v/>
      </c>
      <c r="L52" s="42" t="n"/>
    </row>
    <row r="53">
      <c r="B53" s="40" t="n">
        <v>5</v>
      </c>
      <c r="C53" s="36">
        <f>IFERROR(INDEX($B$8:$L$26,MATCH(1,($B$8:$B$26=$C$45)*($C$8:$C$26=5),0),1),"")</f>
        <v/>
      </c>
      <c r="D53" s="20">
        <f>IFERROR(INDEX($B$8:$L$26,MATCH(1,($B$8:$B$26=$C$45)*($C$8:$C$26=5),0),3),"")</f>
        <v/>
      </c>
      <c r="E53" s="36">
        <f>IFERROR(INDEX($B$8:$L$26,MATCH(1,($B$8:$B$26=$C$45)*($C$8:$C$26=5),0),6),"")</f>
        <v/>
      </c>
      <c r="F53" s="36">
        <f>IFERROR(INDEX($B$8:$L$26,MATCH(1,($B$8:$B$26=$C$45)*($C$8:$C$26=5),0),7),"")</f>
        <v/>
      </c>
      <c r="G53" s="36">
        <f>IFERROR(INDEX($B$8:$L$26,MATCH(1,($B$8:$B$26=$C$45)*($C$8:$C$26=5),0),8),"")</f>
        <v/>
      </c>
      <c r="H53" s="50">
        <f>IFERROR(IF(IFERROR(INDEX($B$8:$L$26,MATCH(1,($B$8:$B$26=$C$45)*($C$8:$C$26=5),0),8),""),$E$45*IFERROR(INDEX($B$8:$L$26,MATCH(1,($B$8:$B$26=$C$45)*($C$8:$C$26=5),0),8),"")),"")</f>
        <v/>
      </c>
      <c r="I53" s="36">
        <f>IF(IFERROR(INDEX($B$8:$L$26,MATCH(1,($B$8:$B$26=$C$45)*($C$8:$C$26=5),0),1),"")="","",$I$45)</f>
        <v/>
      </c>
      <c r="J53" s="51">
        <f>IFERROR(INDEX($B$8:$L$26,MATCH(1,($B$8:$B$26=$C$45)*($C$8:$C$26=5),0),9),"")</f>
        <v/>
      </c>
      <c r="K53" s="45">
        <f>IFERROR(INDEX($B$8:$L$26,MATCH(1,($B$8:$B$26=$C$45)*($C$8:$C$26=5),0),11),"")</f>
        <v/>
      </c>
      <c r="L53" s="42" t="n"/>
    </row>
    <row r="54"/>
    <row r="55">
      <c r="B55" s="52" t="inlineStr">
        <is>
          <t>Tip: change C45, E45, I45 above. Blank rows = strategy has fewer impacts than the slot. STR-IDs match year-sheet table at Y[year]!A6:A20.</t>
        </is>
      </c>
    </row>
    <row r="56"/>
    <row r="57"/>
    <row r="58">
      <c r="B58" s="53" t="inlineStr">
        <is>
          <t>▸ SECTION E — RECONCILIATION ITEMS (5 of 6 RESOLVED in v15)</t>
        </is>
      </c>
    </row>
    <row r="59"/>
    <row r="60">
      <c r="B60" s="18" t="inlineStr">
        <is>
          <t>Item</t>
        </is>
      </c>
      <c r="C60" s="18" t="inlineStr">
        <is>
          <t>Subject</t>
        </is>
      </c>
      <c r="D60" s="18" t="inlineStr">
        <is>
          <t>Detail</t>
        </is>
      </c>
      <c r="E60" s="41" t="n"/>
      <c r="F60" s="41" t="n"/>
      <c r="G60" s="41" t="n"/>
      <c r="H60" s="41" t="n"/>
      <c r="I60" s="41" t="n"/>
      <c r="J60" s="41" t="n"/>
      <c r="K60" s="41" t="n"/>
      <c r="L60" s="42" t="n"/>
    </row>
    <row r="61">
      <c r="B61" s="54" t="inlineStr">
        <is>
          <t>ITEM-RECON-1</t>
        </is>
      </c>
      <c r="C61" s="20" t="inlineStr">
        <is>
          <t>STR-006 Roth Conversion</t>
        </is>
      </c>
      <c r="D61" s="45" t="inlineStr">
        <is>
          <t>[v15] RESOLVED: TargetLine 1z → 4b (Roth conversion canonical)  |  ORIGINAL: Year sheet has TargetLine=1z (wages). Canonical for Roth conversion is Line 4b (IRA distributions taxable). Confirm whether year-sheet choice is intentional or a placeholder.</t>
        </is>
      </c>
      <c r="E61" s="41" t="n"/>
      <c r="F61" s="41" t="n"/>
      <c r="G61" s="41" t="n"/>
      <c r="H61" s="41" t="n"/>
      <c r="I61" s="41" t="n"/>
      <c r="J61" s="41" t="n"/>
      <c r="K61" s="41" t="n"/>
      <c r="L61" s="42" t="n"/>
    </row>
    <row r="62">
      <c r="B62" s="54" t="inlineStr">
        <is>
          <t>ITEM-RECON-2</t>
        </is>
      </c>
      <c r="C62" s="20" t="inlineStr">
        <is>
          <t>STR-014 SALT PTE Election</t>
        </is>
      </c>
      <c r="D62" s="45" t="inlineStr">
        <is>
          <t>[v15] RESOLVED: TargetLine 12 → 8 (PTET reduces K-1 federally)  |  ORIGINAL: Year sheet has TargetLine=12 (itemized ded). Federally, PTET reduces K-1 income at entity level (Line 8), not itemized. Confirm whether year-sheet choice reflects an alternative modeling approach.</t>
        </is>
      </c>
      <c r="E62" s="41" t="n"/>
      <c r="F62" s="41" t="n"/>
      <c r="G62" s="41" t="n"/>
      <c r="H62" s="41" t="n"/>
      <c r="I62" s="41" t="n"/>
      <c r="J62" s="41" t="n"/>
      <c r="K62" s="41" t="n"/>
      <c r="L62" s="42" t="n"/>
    </row>
    <row r="63">
      <c r="B63" s="54" t="inlineStr">
        <is>
          <t>ITEM-RECON-3</t>
        </is>
      </c>
      <c r="C63" s="20" t="inlineStr">
        <is>
          <t>STR-002 HSA Family Max</t>
        </is>
      </c>
      <c r="D63" s="45" t="inlineStr">
        <is>
          <t>[v15] RESOLVED: HSA confirmed in tblTreatmentProfileMap row 599  |  ORIGINAL: Year sheet has TargetLine=10 (above-line deductions, Schedule 1). HSA is correctly above-line. Confirm Helper_Treatment "HSA" maps to your Treatment_Profile_Map.</t>
        </is>
      </c>
      <c r="E63" s="41" t="n"/>
      <c r="F63" s="41" t="n"/>
      <c r="G63" s="41" t="n"/>
      <c r="H63" s="41" t="n"/>
      <c r="I63" s="41" t="n"/>
      <c r="J63" s="41" t="n"/>
      <c r="K63" s="41" t="n"/>
      <c r="L63" s="42" t="n"/>
    </row>
    <row r="64">
      <c r="B64" s="55" t="inlineStr">
        <is>
          <t>ITEM-RECON-4</t>
        </is>
      </c>
      <c r="C64" s="20" t="inlineStr">
        <is>
          <t>STR-009 Hire Children info</t>
        </is>
      </c>
      <c r="D64" s="45" t="inlineStr">
        <is>
          <t>[v15] KEPT AS-IS: catalog 3 impacts (full doc); year sheet single-row (CounterLine)  |  ORIGINAL: Catalog has 3rd row (Impact_Num=3) for child Roth contribution as info-only (Sign=0). Year sheet has 2-impact CounterLine model. Either add info row to year sheet or drop from catalog.</t>
        </is>
      </c>
      <c r="E64" s="41" t="n"/>
      <c r="F64" s="41" t="n"/>
      <c r="G64" s="41" t="n"/>
      <c r="H64" s="41" t="n"/>
      <c r="I64" s="41" t="n"/>
      <c r="J64" s="41" t="n"/>
      <c r="K64" s="41" t="n"/>
      <c r="L64" s="42" t="n"/>
    </row>
    <row r="65">
      <c r="B65" s="54" t="inlineStr">
        <is>
          <t>ITEM-RECON-5</t>
        </is>
      </c>
      <c r="C65" s="20" t="inlineStr">
        <is>
          <t>STR-010 Entity Restructure</t>
        </is>
      </c>
      <c r="D65" s="45" t="inlineStr">
        <is>
          <t>[v15] RESOLVED: catalog Description updated to "case-by-case"  |  ORIGINAL: Year sheet has TargetLine=8 + CounterLine=1z. Restructure mechanics vary by entity type. Confirm whether default fan-out captures intent or if it should be per-case.</t>
        </is>
      </c>
      <c r="E65" s="41" t="n"/>
      <c r="F65" s="41" t="n"/>
      <c r="G65" s="41" t="n"/>
      <c r="H65" s="41" t="n"/>
      <c r="I65" s="41" t="n"/>
      <c r="J65" s="41" t="n"/>
      <c r="K65" s="41" t="n"/>
      <c r="L65" s="42" t="n"/>
    </row>
    <row r="66">
      <c r="B66" s="54" t="inlineStr">
        <is>
          <t>ITEM-RECON-6</t>
        </is>
      </c>
      <c r="C66" s="20" t="inlineStr">
        <is>
          <t>Bucket alignment</t>
        </is>
      </c>
      <c r="D66" s="45" t="inlineStr">
        <is>
          <t>[v15] RESOLVED: Bucket lookup added at year-sheet column W  |  ORIGINAL: Catalog buckets (Core/Supp./Advanced) come from Framework_Ref. Year sheet does not track Bucket. Not a blocker but useful to add to year sheet later.</t>
        </is>
      </c>
      <c r="E66" s="41" t="n"/>
      <c r="F66" s="41" t="n"/>
      <c r="G66" s="41" t="n"/>
      <c r="H66" s="41" t="n"/>
      <c r="I66" s="41" t="n"/>
      <c r="J66" s="41" t="n"/>
      <c r="K66" s="41" t="n"/>
      <c r="L66" s="42" t="n"/>
    </row>
  </sheetData>
  <mergeCells count="25">
    <mergeCell ref="K49:L49"/>
    <mergeCell ref="D61:L61"/>
    <mergeCell ref="B47:L47"/>
    <mergeCell ref="D66:L66"/>
    <mergeCell ref="C32:L32"/>
    <mergeCell ref="B43:L43"/>
    <mergeCell ref="K51:L51"/>
    <mergeCell ref="B58:L58"/>
    <mergeCell ref="K50:L50"/>
    <mergeCell ref="D62:L62"/>
    <mergeCell ref="D39:L39"/>
    <mergeCell ref="C33:L33"/>
    <mergeCell ref="K52:L52"/>
    <mergeCell ref="D64:L64"/>
    <mergeCell ref="D38:L38"/>
    <mergeCell ref="B29:L29"/>
    <mergeCell ref="D60:L60"/>
    <mergeCell ref="K53:L53"/>
    <mergeCell ref="C31:L31"/>
    <mergeCell ref="D63:L63"/>
    <mergeCell ref="B55:L55"/>
    <mergeCell ref="B5:L5"/>
    <mergeCell ref="D40:L40"/>
    <mergeCell ref="D65:L65"/>
    <mergeCell ref="B36:L3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2026-05-19T17:56:47Z</dcterms:created>
  <dcterms:modified xsi:type="dcterms:W3CDTF">2026-05-19T17:56:48Z</dcterms:modified>
</cp:coreProperties>
</file>
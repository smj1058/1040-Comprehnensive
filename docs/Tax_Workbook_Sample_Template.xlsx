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TROL_PANEL" sheetId="2" state="visible" r:id="rId2"/>
    <sheet name="Y2025_Sample" sheetId="3" state="visible" r:id="rId3"/>
    <sheet name="Master_Inputs" sheetId="4" state="visible" r:id="rId4"/>
    <sheet name="Planning_Adjustments" sheetId="5" state="visible" r:id="rId5"/>
    <sheet name="Strategies" sheetId="6" state="visible" r:id="rId6"/>
    <sheet name="Tax_Summary" sheetId="7" state="visible" r:id="rId7"/>
    <sheet name="PBC_List" sheetId="8" state="visible" r:id="rId8"/>
    <sheet name="Dashboard_Export" sheetId="9" state="visible" r:id="rId9"/>
    <sheet name="PROJECTION_HISTORY" sheetId="10" state="visible" r:id="rId10"/>
    <sheet name="Treatment_Profile_Map" sheetId="11" state="visible" r:id="rId11"/>
    <sheet name="Tax_Brackets" sheetId="12" state="visible" r:id="rId12"/>
    <sheet name="Tax_Line_Map" sheetId="13" state="visible" r:id="rId13"/>
    <sheet name="Dropdown_Lists" sheetId="14" state="visible" r:id="rId14"/>
  </sheets>
  <definedNames>
    <definedName name="TaxYear">'CONTROL_PANEL'!$C$6</definedName>
    <definedName name="FilingStatus">'CONTROL_PANEL'!$C$7</definedName>
    <definedName name="ClientID">'CONTROL_PANEL'!$C$8</definedName>
    <definedName name="ActiveScenario">'CONTROL_PANEL'!$C$9</definedName>
    <definedName name="Include_Strategies">'CONTROL_PANEL'!$C$10</definedName>
    <definedName name="Include_Adjustments">'CONTROL_PANEL'!$C$11</definedName>
    <definedName name="Bucket">'Dropdown_Lists'!$A$3:$A$11</definedName>
    <definedName name="Source_Layer">'Dropdown_Lists'!$B$3:$B$5</definedName>
    <definedName name="Scenario">'Dropdown_Lists'!$C$3:$C$7</definedName>
    <definedName name="Status">'Dropdown_Lists'!$D$3:$D$7</definedName>
    <definedName name="FilingStatusOptions">'Dropdown_Lists'!$E$3:$E$7</definedName>
    <definedName name="BusinessIncome_Sources">'Dropdown_Lists'!$F$3:$F$7</definedName>
    <definedName name="Wages_Sources">'Dropdown_Lists'!$G$3:$G$4</definedName>
    <definedName name="Investment_Sources">'Dropdown_Lists'!$H$3:$H$4</definedName>
    <definedName name="CapitalGains_Sources">'Dropdown_Lists'!$I$3:$I$4</definedName>
    <definedName name="Adjustment_Sources">'Dropdown_Lists'!$J$3:$J$7</definedName>
    <definedName name="Itemized_Sources">'Dropdown_Lists'!$K$3:$K$6</definedName>
    <definedName name="Credit_Sources">'Dropdown_Lists'!$L$3:$L$5</definedName>
    <definedName name="Payment_Sources">'Dropdown_Lists'!$M$3:$M$4</definedName>
    <definedName name="Doc_Types">'Dropdown_Lists'!$N$3:$N$13</definedName>
    <definedName name="Yes_No">'Dropdown_Lists'!$O$3:$O$4</definedName>
    <definedName name="NIIT_Class">'Dropdown_Lists'!$P$3:$P$6</definedName>
    <definedName name="Char_Type">'Dropdown_Lists'!$Q$3:$Q$9</definedName>
    <definedName name="Treatment_Profile">'Dropdown_Lists'!$R$3:$R$20</definedName>
    <definedName name="NIIT_THRESH_MFJ">'Tax_Brackets'!$B$30</definedName>
    <definedName name="NIIT_THRESH_S">'Tax_Brackets'!$B$31</definedName>
    <definedName name="NIIT_THRESH_MFS">'Tax_Brackets'!$B$32</definedName>
    <definedName name="NIIT_RATE">'Tax_Brackets'!$B$33</definedName>
    <definedName name="SS_WAGE_BASE_2025">'Tax_Brackets'!$B$34</definedName>
    <definedName name="SE_BASE_MULT">'Tax_Brackets'!$B$35</definedName>
    <definedName name="SE_SS_RATE">'Tax_Brackets'!$B$36</definedName>
    <definedName name="SE_MED_RATE">'Tax_Brackets'!$B$37</definedName>
    <definedName name="ADDL_MED_RATE">'Tax_Brackets'!$B$38</definedName>
    <definedName name="ADDL_MED_THRESH_MFJ">'Tax_Brackets'!$B$39</definedName>
    <definedName name="ADDL_MED_THRESH_S">'Tax_Brackets'!$B$40</definedName>
    <definedName name="EBL_LIMIT_MFJ">'Tax_Brackets'!$B$41</definedName>
    <definedName name="EBL_LIMIT_S">'Tax_Brackets'!$B$42</definedName>
    <definedName name="Dashboard_TaxYear">'Dashboard_Export'!$C$5</definedName>
    <definedName name="Dashboard_FilingStatus">'Dashboard_Export'!$C$6</definedName>
    <definedName name="Dashboard_TotalIncome">'Dashboard_Export'!$C$7</definedName>
    <definedName name="Dashboard_AGI">'Dashboard_Export'!$C$8</definedName>
    <definedName name="Dashboard_StdDed">'Dashboard_Export'!$C$9</definedName>
    <definedName name="Dashboard_TaxableIncome">'Dashboard_Export'!$C$10</definedName>
    <definedName name="Dashboard_TotalFedTax">'Dashboard_Export'!$C$11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305496"/>
      <sz val="14"/>
    </font>
    <font>
      <name val="Calibri"/>
      <i val="1"/>
      <color rgb="00595959"/>
      <sz val="9"/>
    </font>
    <font>
      <name val="Calibri"/>
      <b val="1"/>
      <color rgb="00305496"/>
      <sz val="10"/>
    </font>
    <font>
      <b val="1"/>
    </font>
    <font>
      <b val="1"/>
      <color rgb="00305496"/>
    </font>
    <font>
      <name val="Calibri"/>
      <b val="1"/>
      <color rgb="00FFFFFF"/>
      <sz val="11"/>
    </font>
    <font/>
    <font>
      <i val="1"/>
    </font>
    <font>
      <name val="Consolas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blY2025_Inputs" displayName="tblY2025_Inputs" ref="A5:Q10" headerRowCount="1">
  <autoFilter ref="A5:Q10"/>
  <tableColumns count="17">
    <tableColumn id="1" name="Source_ID"/>
    <tableColumn id="2" name="Bucket"/>
    <tableColumn id="3" name="Input_Type"/>
    <tableColumn id="4" name="Source_Type"/>
    <tableColumn id="5" name="Payor"/>
    <tableColumn id="6" name="Active?"/>
    <tableColumn id="7" name="Baseline_Amount"/>
    <tableColumn id="8" name="Helper_Amount"/>
    <tableColumn id="9" name="Consider"/>
    <tableColumn id="10" name="Treatment_Profile"/>
    <tableColumn id="11" name="SE_Subject"/>
    <tableColumn id="12" name="NIIT_Class"/>
    <tableColumn id="13" name="QBI_Eligible"/>
    <tableColumn id="14" name="Char_Type"/>
    <tableColumn id="15" name="Source_Doc"/>
    <tableColumn id="16" name="Doc_Status"/>
    <tableColumn id="17" name="Notes"/>
  </tableColumns>
  <tableStyleInfo name="TableStyleMedium2" showRowStripes="1"/>
</table>
</file>

<file path=xl/tables/table2.xml><?xml version="1.0" encoding="utf-8"?>
<table xmlns="http://schemas.openxmlformats.org/spreadsheetml/2006/main" id="2" name="tblMaster_Inputs" displayName="tblMaster_Inputs" ref="A4:AE10" headerRowCount="1">
  <autoFilter ref="A4:AE10"/>
  <tableColumns count="31">
    <tableColumn id="1" name="InputID"/>
    <tableColumn id="2" name="ClientID"/>
    <tableColumn id="3" name="ClientName"/>
    <tableColumn id="4" name="TaxYear"/>
    <tableColumn id="5" name="Scenario"/>
    <tableColumn id="6" name="Source_Layer"/>
    <tableColumn id="7" name="Status"/>
    <tableColumn id="8" name="Bucket"/>
    <tableColumn id="9" name="Input_Type"/>
    <tableColumn id="10" name="Source_Type"/>
    <tableColumn id="11" name="Treatment_Profile"/>
    <tableColumn id="12" name="SE_Subject"/>
    <tableColumn id="13" name="NIIT_Class"/>
    <tableColumn id="14" name="QBI_Eligible"/>
    <tableColumn id="15" name="Char_Type"/>
    <tableColumn id="16" name="Primary_Line"/>
    <tableColumn id="17" name="Helper_Treatment"/>
    <tableColumn id="18" name="Payor"/>
    <tableColumn id="19" name="EIN"/>
    <tableColumn id="20" name="Source_Document"/>
    <tableColumn id="21" name="Doc_Status"/>
    <tableColumn id="22" name="Baseline_Amount"/>
    <tableColumn id="23" name="Helper_Amount"/>
    <tableColumn id="24" name="CE_Basis"/>
    <tableColumn id="25" name="CE_Proceeds"/>
    <tableColumn id="26" name="CE_AcqDate"/>
    <tableColumn id="27" name="CE_LT_ST"/>
    <tableColumn id="28" name="LastUpdated"/>
    <tableColumn id="29" name="UpdatedBy"/>
    <tableColumn id="30" name="ReviewStatus"/>
    <tableColumn id="3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lanning_Adjustments" displayName="tblPlanning_Adjustments" ref="A4:N8" headerRowCount="1">
  <autoFilter ref="A4:N8"/>
  <tableColumns count="14">
    <tableColumn id="1" name="AdjID"/>
    <tableColumn id="2" name="ClientID"/>
    <tableColumn id="3" name="TaxYear"/>
    <tableColumn id="4" name="TargetLine"/>
    <tableColumn id="5" name="TargetInputID"/>
    <tableColumn id="6" name="Strategy"/>
    <tableColumn id="7" name="Status"/>
    <tableColumn id="8" name="S1_Amount"/>
    <tableColumn id="9" name="S2_Amount"/>
    <tableColumn id="10" name="Description"/>
    <tableColumn id="11" name="ProposedBy"/>
    <tableColumn id="12" name="ProposedDate"/>
    <tableColumn id="13" name="CommittedDate"/>
    <tableColumn id="14" name="ConvertedInputID"/>
  </tableColumns>
  <tableStyleInfo name="TableStyleMedium2" showRowStripes="1"/>
</table>
</file>

<file path=xl/tables/table4.xml><?xml version="1.0" encoding="utf-8"?>
<table xmlns="http://schemas.openxmlformats.org/spreadsheetml/2006/main" id="4" name="tblStrategies" displayName="tblStrategies" ref="A4:I21" headerRowCount="1">
  <autoFilter ref="A4:I21"/>
  <tableColumns count="9">
    <tableColumn id="1" name="ID"/>
    <tableColumn id="2" name="Group"/>
    <tableColumn id="3" name="Strategy Name"/>
    <tableColumn id="4" name="Description"/>
    <tableColumn id="5" name="Impact Type"/>
    <tableColumn id="6" name="Complexity"/>
    <tableColumn id="7" name="Tax Lines Affected"/>
    <tableColumn id="8" name="Est. Saving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TAX WORKBOOK — SAMPLE TEMPLATE</t>
        </is>
      </c>
    </row>
    <row r="2">
      <c r="A2" s="2" t="inlineStr">
        <is>
          <t>Architecture: KISS (year-sheet primary, master downstream) + GROUPBY view layer on top</t>
        </is>
      </c>
    </row>
    <row r="4">
      <c r="A4" s="3" t="inlineStr">
        <is>
          <t>What this file demonstrates</t>
        </is>
      </c>
    </row>
    <row r="5">
      <c r="A5" t="inlineStr">
        <is>
          <t xml:space="preserve">  • Schema decisions for Master_Inputs, Planning_Adjustments, Strategies</t>
        </is>
      </c>
    </row>
    <row r="6">
      <c r="A6" t="inlineStr">
        <is>
          <t xml:space="preserve">  • 18-profile Treatment_Profile_Map (drives SE/NIIT/QBI/Char_Type auto-fill)</t>
        </is>
      </c>
    </row>
    <row r="7">
      <c r="A7" t="inlineStr">
        <is>
          <t xml:space="preserve">  • Closed-set Dropdown_Lists with data validation wired</t>
        </is>
      </c>
    </row>
    <row r="8">
      <c r="A8" t="inlineStr">
        <is>
          <t xml:space="preserve">  • Tax_Brackets 2024 + 2025 reference data</t>
        </is>
      </c>
    </row>
    <row r="9">
      <c r="A9" t="inlineStr">
        <is>
          <t xml:space="preserve">  • Sample year sheet (Y2025_Sample) showing the KISS bucket-pattern input table + rollup</t>
        </is>
      </c>
    </row>
    <row r="10">
      <c r="A10" t="inlineStr">
        <is>
          <t xml:space="preserve">  • GROUPBY-driven view layer examples (Tax_Summary, PBC_List, Dashboard_Export)</t>
        </is>
      </c>
    </row>
    <row r="11">
      <c r="A11" t="inlineStr">
        <is>
          <t xml:space="preserve">  • 5-tier scenario model: Baseline | Override | S1 | S2 | AsFiled</t>
        </is>
      </c>
    </row>
    <row r="12">
      <c r="A12" t="inlineStr">
        <is>
          <t xml:space="preserve">  • Source dimension: Baseline | Adjustment | Tax Strategy (in Master_Inputs)</t>
        </is>
      </c>
    </row>
    <row r="14">
      <c r="A14" s="3" t="inlineStr">
        <is>
          <t>What this file does NOT include (require VBA installation in real workbook)</t>
        </is>
      </c>
    </row>
    <row r="15">
      <c r="A15" t="inlineStr">
        <is>
          <t xml:space="preserve">  • The 7 KISS LAMBDAs (Calc_OrdinaryTax, Calc_CapGainsTax, Calc_1250Tax, Calc_SE_Tax, Calc_NIIT, Calc_QBI_Simple, Get_TreatmentDefault)</t>
        </is>
      </c>
    </row>
    <row r="16">
      <c r="A16" t="inlineStr">
        <is>
          <t xml:space="preserve">  • The 14 v3-original LAMBDAs (OrdTax_FN, QBI_FN, etc.)</t>
        </is>
      </c>
    </row>
    <row r="17">
      <c r="A17" t="inlineStr">
        <is>
          <t xml:space="preserve">  • Workbook_BeforeSave handler (auto-sync year sheet → Master_Inputs on Ctrl+S)</t>
        </is>
      </c>
    </row>
    <row r="18">
      <c r="A18" t="inlineStr">
        <is>
          <t xml:space="preserve">  • modKissSync macros (PushAllYearsToMaster, RefreshInputsFromMaster, CommitPlanningRow, etc.)</t>
        </is>
      </c>
    </row>
    <row r="19">
      <c r="A19" t="inlineStr">
        <is>
          <t xml:space="preserve">  • Calc engine on year sheets — placeholder SUMIFS used; real workbook uses LAMBDAs</t>
        </is>
      </c>
    </row>
    <row r="21">
      <c r="A21" s="3" t="inlineStr">
        <is>
          <t>Tab map</t>
        </is>
      </c>
    </row>
    <row r="22">
      <c r="A22" t="inlineStr">
        <is>
          <t xml:space="preserve">  • CONTROL_PANEL    — TaxYear, FilingStatus, settings, named-range anchors</t>
        </is>
      </c>
    </row>
    <row r="23">
      <c r="A23" t="inlineStr">
        <is>
          <t xml:space="preserve">  • Dropdown_Lists   — closed sets for Bucket, Input_Type, Source_Type, Treatment_Profile, etc.</t>
        </is>
      </c>
    </row>
    <row r="24">
      <c r="A24" t="inlineStr">
        <is>
          <t xml:space="preserve">  • Treatment_Profile_Map — 18 profiles × (SE_Subject | NIIT_Class | QBI_Eligible | Char_Type)</t>
        </is>
      </c>
    </row>
    <row r="25">
      <c r="A25" t="inlineStr">
        <is>
          <t xml:space="preserve">  • Tax_Brackets     — 2024 + 2025 federal brackets, LTCG brackets, NIIT/SE constants</t>
        </is>
      </c>
    </row>
    <row r="26">
      <c r="A26" t="inlineStr">
        <is>
          <t xml:space="preserve">  • Tax_Line_Map     — Bucket + Input_Type → 1040 line + helper treatment</t>
        </is>
      </c>
    </row>
    <row r="27">
      <c r="A27" t="inlineStr">
        <is>
          <t xml:space="preserve">  • Master_Inputs    — long-format parent table (sample row included)</t>
        </is>
      </c>
    </row>
    <row r="28">
      <c r="A28" t="inlineStr">
        <is>
          <t xml:space="preserve">  • Planning_Adjustments — adjustments + strategies layer (sample row included)</t>
        </is>
      </c>
    </row>
    <row r="29">
      <c r="A29" t="inlineStr">
        <is>
          <t xml:space="preserve">  • Strategies       — strategy library / catalog (20 standard plays)</t>
        </is>
      </c>
    </row>
    <row r="30">
      <c r="A30" t="inlineStr">
        <is>
          <t xml:space="preserve">  • Y2025_Sample     — example year sheet (KISS pattern; bucket inputs + rollup + planning)</t>
        </is>
      </c>
    </row>
    <row r="31">
      <c r="A31" t="inlineStr">
        <is>
          <t xml:space="preserve">  • Tax_Summary      — GROUPBY-driven cross-year view (placeholder formulas)</t>
        </is>
      </c>
    </row>
    <row r="32">
      <c r="A32" t="inlineStr">
        <is>
          <t xml:space="preserve">  • PBC_List         — GROUPBY-driven document inventory from Master_Inputs</t>
        </is>
      </c>
    </row>
    <row r="33">
      <c r="A33" t="inlineStr">
        <is>
          <t xml:space="preserve">  • Dashboard_Export — stable named-range export block for downstream consumers</t>
        </is>
      </c>
    </row>
    <row r="34">
      <c r="A34" t="inlineStr">
        <is>
          <t xml:space="preserve">  • PROJECTION_HISTORY — snapshot archive / tie-out workpaper structure</t>
        </is>
      </c>
    </row>
    <row r="36">
      <c r="A36" s="3" t="inlineStr">
        <is>
          <t>When you bring this into the real workbook</t>
        </is>
      </c>
    </row>
    <row r="37">
      <c r="A37" t="inlineStr">
        <is>
          <t xml:space="preserve">  • 1. Install the 7 KISS LAMBDAs via VBA (use v3_kiss_merge_phase2.py as reference)</t>
        </is>
      </c>
    </row>
    <row r="38">
      <c r="A38" t="inlineStr">
        <is>
          <t xml:space="preserve">  • 2. Install modKissSync VBA module (re-import modKissSync.bas)</t>
        </is>
      </c>
    </row>
    <row r="39">
      <c r="A39" t="inlineStr">
        <is>
          <t xml:space="preserve">  • 3. Wire the Workbook_BeforeSave handler in ThisWorkbook</t>
        </is>
      </c>
    </row>
    <row r="40">
      <c r="A40" t="inlineStr">
        <is>
          <t xml:space="preserve">  • 4. Replace placeholder SUMIFS on Y2025_Sample rollup with the real LAMBDA calls</t>
        </is>
      </c>
    </row>
    <row r="41">
      <c r="A41" t="inlineStr">
        <is>
          <t xml:space="preserve">  • 5. Validation: confirm Cedillo Y2024 still ties to $7,213.92 federal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3" customWidth="1" min="4" max="4"/>
    <col width="80" customWidth="1" min="5" max="5"/>
  </cols>
  <sheetData>
    <row r="2">
      <c r="B2" s="1" t="inlineStr">
        <is>
          <t>TAX WORKBOOK — CONTROL PANEL</t>
        </is>
      </c>
    </row>
    <row r="3">
      <c r="B3" s="2" t="inlineStr">
        <is>
          <t>Settings driving the rest of the workbook via named ranges</t>
        </is>
      </c>
    </row>
    <row r="5">
      <c r="B5" s="3" t="inlineStr">
        <is>
          <t>▸ SETTINGS</t>
        </is>
      </c>
    </row>
    <row r="6">
      <c r="B6" s="4" t="inlineStr">
        <is>
          <t>Tax Year Being Analyzed</t>
        </is>
      </c>
      <c r="C6" s="5" t="n">
        <v>2025</v>
      </c>
      <c r="E6" s="2" t="inlineStr">
        <is>
          <t>Named: TaxYear — drives column lookups in brackets/limits</t>
        </is>
      </c>
    </row>
    <row r="7">
      <c r="B7" s="4" t="inlineStr">
        <is>
          <t>Filing Status</t>
        </is>
      </c>
      <c r="C7" s="5" t="inlineStr">
        <is>
          <t>MFJ</t>
        </is>
      </c>
      <c r="E7" s="2" t="inlineStr">
        <is>
          <t>Named: FilingStatus — Single | MFJ | MFS | HOH</t>
        </is>
      </c>
    </row>
    <row r="8">
      <c r="B8" s="4" t="inlineStr">
        <is>
          <t>Client ID</t>
        </is>
      </c>
      <c r="C8" s="5" t="inlineStr">
        <is>
          <t>SAMPLE</t>
        </is>
      </c>
      <c r="E8" s="2" t="inlineStr">
        <is>
          <t>Named: ClientID — used for Master_Inputs filtering</t>
        </is>
      </c>
    </row>
    <row r="9">
      <c r="B9" s="4" t="inlineStr">
        <is>
          <t>Active Scenario</t>
        </is>
      </c>
      <c r="C9" s="5" t="inlineStr">
        <is>
          <t>S1</t>
        </is>
      </c>
      <c r="E9" s="2" t="inlineStr">
        <is>
          <t>Baseline | Override | S1 | S2 | AsFiled — drives Projection view</t>
        </is>
      </c>
    </row>
    <row r="10">
      <c r="B10" s="4" t="inlineStr">
        <is>
          <t>Include Strategies</t>
        </is>
      </c>
      <c r="C10" s="5" t="inlineStr">
        <is>
          <t>TRUE</t>
        </is>
      </c>
      <c r="E10" s="2" t="inlineStr">
        <is>
          <t>Named: Include_Strategies — TRUE/FALSE toggles strategy layer</t>
        </is>
      </c>
    </row>
    <row r="11">
      <c r="B11" s="4" t="inlineStr">
        <is>
          <t>Include Adjustments</t>
        </is>
      </c>
      <c r="C11" s="5" t="inlineStr">
        <is>
          <t>TRUE</t>
        </is>
      </c>
      <c r="E11" s="2" t="inlineStr">
        <is>
          <t>Named: Include_Adjustments — TRUE/FALSE toggles adjustment layer</t>
        </is>
      </c>
    </row>
    <row r="14">
      <c r="B14" s="3" t="inlineStr">
        <is>
          <t>▸ MACRO SHORTCUTS (real workbook — placeholders here)</t>
        </is>
      </c>
    </row>
    <row r="15">
      <c r="B15" s="6" t="inlineStr">
        <is>
          <t>PushAllYearsToMaster</t>
        </is>
      </c>
      <c r="C15" s="2" t="inlineStr">
        <is>
          <t>Auto on every Ctrl+S — pushes all year-sheet data into Master_Inputs</t>
        </is>
      </c>
    </row>
    <row r="16">
      <c r="B16" s="6" t="inlineStr">
        <is>
          <t>RefreshInputsFromMaster</t>
        </is>
      </c>
      <c r="C16" s="2" t="inlineStr">
        <is>
          <t>Manual: master → active year sheet (overwrites!)</t>
        </is>
      </c>
    </row>
    <row r="17">
      <c r="B17" s="6" t="inlineStr">
        <is>
          <t>CommitPlanningRow</t>
        </is>
      </c>
      <c r="C17" s="2" t="inlineStr">
        <is>
          <t>On Planning_Adjustments: Approved → Committed, stamps date</t>
        </is>
      </c>
    </row>
    <row r="18">
      <c r="B18" s="6" t="inlineStr">
        <is>
          <t>ConvertPlanningToInput</t>
        </is>
      </c>
      <c r="C18" s="2" t="inlineStr">
        <is>
          <t>Planning row becomes a new Master_Inputs row</t>
        </is>
      </c>
    </row>
    <row r="19">
      <c r="B19" s="6" t="inlineStr">
        <is>
          <t>SnapshotProjection</t>
        </is>
      </c>
      <c r="C19" s="2" t="inlineStr">
        <is>
          <t>Captures current state to PROJECTION_HISTORY at active scenario</t>
        </is>
      </c>
    </row>
    <row r="20">
      <c r="B20" s="6" t="inlineStr">
        <is>
          <t>RunRollover</t>
        </is>
      </c>
      <c r="C20" s="2" t="inlineStr">
        <is>
          <t>Year-end: snapshot, increment year, build next-year skeleton</t>
        </is>
      </c>
    </row>
    <row r="21">
      <c r="B21" s="6" t="inlineStr">
        <is>
          <t>InstallKissLambdas</t>
        </is>
      </c>
      <c r="C21" s="2" t="inlineStr">
        <is>
          <t>One-time: register 7 KISS LAMBDAs in Name Manager</t>
        </is>
      </c>
    </row>
    <row r="22">
      <c r="B22" s="6" t="inlineStr">
        <is>
          <t>PullExtractionsToAsFiled</t>
        </is>
      </c>
      <c r="C22" s="2" t="inlineStr">
        <is>
          <t>Pull tie-out data from extraction file → AsFiled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6" customWidth="1" min="5" max="5"/>
    <col width="8" customWidth="1" min="6" max="6"/>
    <col width="14" customWidth="1" min="7" max="7"/>
    <col width="14" customWidth="1" min="8" max="8"/>
    <col width="12" customWidth="1" min="9" max="9"/>
    <col width="22" customWidth="1" min="10" max="10"/>
    <col width="11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22" customWidth="1" min="17" max="17"/>
    <col width="8" customWidth="1" min="23" max="23"/>
    <col width="3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Y2025 — sample year sheet (KISS pattern)</t>
        </is>
      </c>
    </row>
    <row r="2">
      <c r="A2" s="2" t="inlineStr">
        <is>
          <t>LEFT: bucket-pattern input table.  RIGHT: tax rollup + planning (W:AG).  Real workbook also has LAMBDA-driven calc block at W21:AG27.</t>
        </is>
      </c>
    </row>
    <row r="4">
      <c r="A4" s="3" t="inlineStr">
        <is>
          <t>SOURCE INPUTS — tblY2025_Inputs</t>
        </is>
      </c>
      <c r="W4" s="3" t="inlineStr">
        <is>
          <t>TAX ROLLUP</t>
        </is>
      </c>
    </row>
    <row r="5">
      <c r="A5" s="7" t="inlineStr">
        <is>
          <t>Source_ID</t>
        </is>
      </c>
      <c r="B5" s="7" t="inlineStr">
        <is>
          <t>Bucket</t>
        </is>
      </c>
      <c r="C5" s="7" t="inlineStr">
        <is>
          <t>Input_Type</t>
        </is>
      </c>
      <c r="D5" s="7" t="inlineStr">
        <is>
          <t>Source_Type</t>
        </is>
      </c>
      <c r="E5" s="7" t="inlineStr">
        <is>
          <t>Payor</t>
        </is>
      </c>
      <c r="F5" s="7" t="inlineStr">
        <is>
          <t>Active?</t>
        </is>
      </c>
      <c r="G5" s="7" t="inlineStr">
        <is>
          <t>Baseline_Amount</t>
        </is>
      </c>
      <c r="H5" s="7" t="inlineStr">
        <is>
          <t>Helper_Amount</t>
        </is>
      </c>
      <c r="I5" s="7" t="inlineStr">
        <is>
          <t>Consider</t>
        </is>
      </c>
      <c r="J5" s="7" t="inlineStr">
        <is>
          <t>Treatment_Profile</t>
        </is>
      </c>
      <c r="K5" s="7" t="inlineStr">
        <is>
          <t>SE_Subject</t>
        </is>
      </c>
      <c r="L5" s="7" t="inlineStr">
        <is>
          <t>NIIT_Class</t>
        </is>
      </c>
      <c r="M5" s="7" t="inlineStr">
        <is>
          <t>QBI_Eligible</t>
        </is>
      </c>
      <c r="N5" s="7" t="inlineStr">
        <is>
          <t>Char_Type</t>
        </is>
      </c>
      <c r="O5" s="7" t="inlineStr">
        <is>
          <t>Source_Doc</t>
        </is>
      </c>
      <c r="P5" s="7" t="inlineStr">
        <is>
          <t>Doc_Status</t>
        </is>
      </c>
      <c r="Q5" s="7" t="inlineStr">
        <is>
          <t>Notes</t>
        </is>
      </c>
      <c r="W5" s="7" t="inlineStr">
        <is>
          <t>Line</t>
        </is>
      </c>
      <c r="X5" s="7" t="inlineStr">
        <is>
          <t>Description</t>
        </is>
      </c>
      <c r="Y5" s="7" t="inlineStr">
        <is>
          <t>Baseline</t>
        </is>
      </c>
      <c r="Z5" s="7" t="inlineStr">
        <is>
          <t>Override</t>
        </is>
      </c>
      <c r="AA5" s="7" t="inlineStr">
        <is>
          <t>Effective</t>
        </is>
      </c>
      <c r="AB5" s="7" t="inlineStr">
        <is>
          <t>S1_Adj</t>
        </is>
      </c>
      <c r="AC5" s="7" t="inlineStr">
        <is>
          <t>S1_Total</t>
        </is>
      </c>
      <c r="AD5" s="7" t="inlineStr">
        <is>
          <t>S2_Adj</t>
        </is>
      </c>
      <c r="AE5" s="7" t="inlineStr">
        <is>
          <t>S2_Total</t>
        </is>
      </c>
      <c r="AF5" s="7" t="inlineStr">
        <is>
          <t>AsFiled</t>
        </is>
      </c>
      <c r="AG5" s="7" t="inlineStr">
        <is>
          <t>Variance</t>
        </is>
      </c>
    </row>
    <row r="6">
      <c r="A6" t="inlineStr">
        <is>
          <t>Y25-001</t>
        </is>
      </c>
      <c r="B6" t="inlineStr">
        <is>
          <t>Wages</t>
        </is>
      </c>
      <c r="C6" t="inlineStr">
        <is>
          <t>W2 - Self Pay</t>
        </is>
      </c>
      <c r="D6" t="inlineStr">
        <is>
          <t>W-2</t>
        </is>
      </c>
      <c r="E6" t="inlineStr"/>
      <c r="F6" t="inlineStr"/>
      <c r="I6" t="inlineStr"/>
      <c r="J6" t="inlineStr">
        <is>
          <t>W2_SCorpOwner</t>
        </is>
      </c>
      <c r="K6" t="inlineStr">
        <is>
          <t>No</t>
        </is>
      </c>
      <c r="L6" t="inlineStr">
        <is>
          <t>Active</t>
        </is>
      </c>
      <c r="M6" t="inlineStr">
        <is>
          <t>No</t>
        </is>
      </c>
      <c r="N6" t="inlineStr">
        <is>
          <t>Ordinary</t>
        </is>
      </c>
      <c r="O6" t="inlineStr">
        <is>
          <t>W-2</t>
        </is>
      </c>
      <c r="P6" t="inlineStr"/>
      <c r="Q6" t="inlineStr"/>
      <c r="W6" t="inlineStr">
        <is>
          <t>1z</t>
        </is>
      </c>
      <c r="X6" t="inlineStr">
        <is>
          <t>Wages</t>
        </is>
      </c>
      <c r="Y6">
        <f>SUMIFS(tblY2025_Inputs[Baseline_Amount], tblY2025_Inputs[Bucket], "*")</f>
        <v/>
      </c>
      <c r="AA6">
        <f>AA6*0+IF(ISNUMBER(Z6),Z6,Y6)</f>
        <v/>
      </c>
      <c r="AC6">
        <f>IFERROR(AA6+AB6,0)</f>
        <v/>
      </c>
      <c r="AE6">
        <f>IFERROR(AA6+AD6,0)</f>
        <v/>
      </c>
    </row>
    <row r="7">
      <c r="A7" t="inlineStr">
        <is>
          <t>Y25-002</t>
        </is>
      </c>
      <c r="B7" t="inlineStr">
        <is>
          <t>Business Income</t>
        </is>
      </c>
      <c r="C7" t="inlineStr">
        <is>
          <t>Partnership K-1</t>
        </is>
      </c>
      <c r="D7" t="inlineStr">
        <is>
          <t>K-1</t>
        </is>
      </c>
      <c r="E7" t="inlineStr"/>
      <c r="F7" t="inlineStr"/>
      <c r="I7" t="inlineStr"/>
      <c r="J7" t="inlineStr">
        <is>
          <t>K1_PTP_Active</t>
        </is>
      </c>
      <c r="K7" t="inlineStr">
        <is>
          <t>Yes</t>
        </is>
      </c>
      <c r="L7" t="inlineStr">
        <is>
          <t>Active</t>
        </is>
      </c>
      <c r="M7" t="inlineStr">
        <is>
          <t>Yes</t>
        </is>
      </c>
      <c r="N7" t="inlineStr">
        <is>
          <t>Ordinary</t>
        </is>
      </c>
      <c r="O7" t="inlineStr">
        <is>
          <t>K-1</t>
        </is>
      </c>
      <c r="P7" t="inlineStr"/>
      <c r="Q7" t="inlineStr"/>
      <c r="W7" t="inlineStr">
        <is>
          <t>2a</t>
        </is>
      </c>
      <c r="X7" t="inlineStr">
        <is>
          <t>Tax-exempt interest</t>
        </is>
      </c>
      <c r="Y7">
        <f>SUMIFS(tblY2025_Inputs[Baseline_Amount], tblY2025_Inputs[Bucket], "*")</f>
        <v/>
      </c>
      <c r="AA7">
        <f>AA7*0+IF(ISNUMBER(Z7),Z7,Y7)</f>
        <v/>
      </c>
      <c r="AC7">
        <f>IFERROR(AA7+AB7,0)</f>
        <v/>
      </c>
      <c r="AE7">
        <f>IFERROR(AA7+AD7,0)</f>
        <v/>
      </c>
    </row>
    <row r="8">
      <c r="A8" t="inlineStr">
        <is>
          <t>Y25-003</t>
        </is>
      </c>
      <c r="B8" t="inlineStr">
        <is>
          <t>Investment Income</t>
        </is>
      </c>
      <c r="C8" t="inlineStr">
        <is>
          <t>Dividend</t>
        </is>
      </c>
      <c r="D8" t="inlineStr">
        <is>
          <t>1099-DIV</t>
        </is>
      </c>
      <c r="E8" t="inlineStr"/>
      <c r="F8" t="inlineStr"/>
      <c r="I8" t="inlineStr"/>
      <c r="J8" t="inlineStr">
        <is>
          <t>Div_Qualified</t>
        </is>
      </c>
      <c r="K8" t="inlineStr">
        <is>
          <t>No</t>
        </is>
      </c>
      <c r="L8" t="inlineStr">
        <is>
          <t>Portfolio</t>
        </is>
      </c>
      <c r="M8" t="inlineStr">
        <is>
          <t>No</t>
        </is>
      </c>
      <c r="N8" t="inlineStr">
        <is>
          <t>QD/NonQD</t>
        </is>
      </c>
      <c r="O8" t="inlineStr">
        <is>
          <t>1099-DIV</t>
        </is>
      </c>
      <c r="P8" t="inlineStr"/>
      <c r="Q8" t="inlineStr"/>
      <c r="W8" t="inlineStr">
        <is>
          <t>2b</t>
        </is>
      </c>
      <c r="X8" t="inlineStr">
        <is>
          <t>Taxable interest</t>
        </is>
      </c>
      <c r="Y8">
        <f>SUMIFS(tblY2025_Inputs[Baseline_Amount], tblY2025_Inputs[Bucket], "*")</f>
        <v/>
      </c>
      <c r="AA8">
        <f>AA8*0+IF(ISNUMBER(Z8),Z8,Y8)</f>
        <v/>
      </c>
      <c r="AC8">
        <f>IFERROR(AA8+AB8,0)</f>
        <v/>
      </c>
      <c r="AE8">
        <f>IFERROR(AA8+AD8,0)</f>
        <v/>
      </c>
    </row>
    <row r="9">
      <c r="A9" t="inlineStr">
        <is>
          <t>Y25-004</t>
        </is>
      </c>
      <c r="B9" t="inlineStr">
        <is>
          <t>Capital Gains</t>
        </is>
      </c>
      <c r="C9" t="inlineStr">
        <is>
          <t>Brokerage</t>
        </is>
      </c>
      <c r="D9" t="inlineStr">
        <is>
          <t>1099-B</t>
        </is>
      </c>
      <c r="E9" t="inlineStr"/>
      <c r="F9" t="inlineStr"/>
      <c r="I9" t="inlineStr"/>
      <c r="J9" t="inlineStr">
        <is>
          <t>LTCG_Stock</t>
        </is>
      </c>
      <c r="K9" t="inlineStr">
        <is>
          <t>No</t>
        </is>
      </c>
      <c r="L9" t="inlineStr">
        <is>
          <t>Portfolio</t>
        </is>
      </c>
      <c r="M9" t="inlineStr">
        <is>
          <t>No</t>
        </is>
      </c>
      <c r="N9" t="inlineStr">
        <is>
          <t>LTCG/STCG</t>
        </is>
      </c>
      <c r="O9" t="inlineStr">
        <is>
          <t>1099-B</t>
        </is>
      </c>
      <c r="P9" t="inlineStr"/>
      <c r="Q9" t="inlineStr"/>
      <c r="W9" t="inlineStr">
        <is>
          <t>3a</t>
        </is>
      </c>
      <c r="X9" t="inlineStr">
        <is>
          <t>Qualified dividends</t>
        </is>
      </c>
      <c r="Y9">
        <f>SUMIFS(tblY2025_Inputs[Baseline_Amount], tblY2025_Inputs[Bucket], "*")</f>
        <v/>
      </c>
      <c r="AA9">
        <f>AA9*0+IF(ISNUMBER(Z9),Z9,Y9)</f>
        <v/>
      </c>
      <c r="AC9">
        <f>IFERROR(AA9+AB9,0)</f>
        <v/>
      </c>
      <c r="AE9">
        <f>IFERROR(AA9+AD9,0)</f>
        <v/>
      </c>
    </row>
    <row r="10">
      <c r="A10" t="inlineStr">
        <is>
          <t>Y25-005</t>
        </is>
      </c>
      <c r="B10" t="inlineStr">
        <is>
          <t>Adjustment</t>
        </is>
      </c>
      <c r="C10" t="inlineStr">
        <is>
          <t>HSA</t>
        </is>
      </c>
      <c r="D10" t="inlineStr">
        <is>
          <t>PBC</t>
        </is>
      </c>
      <c r="E10" t="inlineStr"/>
      <c r="F10" t="inlineStr"/>
      <c r="I10" t="inlineStr"/>
      <c r="J10" t="inlineStr">
        <is>
          <t>Adjustment_Generic</t>
        </is>
      </c>
      <c r="K10" t="inlineStr">
        <is>
          <t>No</t>
        </is>
      </c>
      <c r="L10" t="inlineStr">
        <is>
          <t>N/A</t>
        </is>
      </c>
      <c r="M10" t="inlineStr">
        <is>
          <t>No</t>
        </is>
      </c>
      <c r="N10" t="inlineStr">
        <is>
          <t>Deduction</t>
        </is>
      </c>
      <c r="O10" t="inlineStr">
        <is>
          <t>PBC</t>
        </is>
      </c>
      <c r="P10" t="inlineStr"/>
      <c r="Q10" t="inlineStr"/>
      <c r="W10" t="inlineStr">
        <is>
          <t>3b</t>
        </is>
      </c>
      <c r="X10" t="inlineStr">
        <is>
          <t>Ordinary dividends (total)</t>
        </is>
      </c>
      <c r="Y10">
        <f>SUMIFS(tblY2025_Inputs[Baseline_Amount], tblY2025_Inputs[Bucket], "*")</f>
        <v/>
      </c>
      <c r="AA10">
        <f>AA10*0+IF(ISNUMBER(Z10),Z10,Y10)</f>
        <v/>
      </c>
      <c r="AC10">
        <f>IFERROR(AA10+AB10,0)</f>
        <v/>
      </c>
      <c r="AE10">
        <f>IFERROR(AA10+AD10,0)</f>
        <v/>
      </c>
    </row>
    <row r="11">
      <c r="W11" t="inlineStr">
        <is>
          <t>7</t>
        </is>
      </c>
      <c r="X11" t="inlineStr">
        <is>
          <t>Capital gain or (loss)</t>
        </is>
      </c>
      <c r="Y11">
        <f>SUMIFS(tblY2025_Inputs[Baseline_Amount], tblY2025_Inputs[Bucket], "*")</f>
        <v/>
      </c>
      <c r="AA11">
        <f>AA11*0+IF(ISNUMBER(Z11),Z11,Y11)</f>
        <v/>
      </c>
      <c r="AC11">
        <f>IFERROR(AA11+AB11,0)</f>
        <v/>
      </c>
      <c r="AE11">
        <f>IFERROR(AA11+AD11,0)</f>
        <v/>
      </c>
    </row>
    <row r="12">
      <c r="W12" t="inlineStr">
        <is>
          <t>8</t>
        </is>
      </c>
      <c r="X12" t="inlineStr">
        <is>
          <t>Other income (Sch 1)</t>
        </is>
      </c>
      <c r="Y12">
        <f>SUMIFS(tblY2025_Inputs[Baseline_Amount], tblY2025_Inputs[Bucket], "*")</f>
        <v/>
      </c>
      <c r="AA12">
        <f>AA12*0+IF(ISNUMBER(Z12),Z12,Y12)</f>
        <v/>
      </c>
      <c r="AC12">
        <f>IFERROR(AA12+AB12,0)</f>
        <v/>
      </c>
      <c r="AE12">
        <f>IFERROR(AA12+AD12,0)</f>
        <v/>
      </c>
    </row>
    <row r="13">
      <c r="W13" t="inlineStr">
        <is>
          <t>9</t>
        </is>
      </c>
      <c r="X13" t="inlineStr">
        <is>
          <t>TOTAL INCOME (aggregator)</t>
        </is>
      </c>
      <c r="Y13">
        <f>SUMIFS(tblY2025_Inputs[Baseline_Amount], tblY2025_Inputs[Bucket], "*")</f>
        <v/>
      </c>
      <c r="AA13">
        <f>AA13*0+IF(ISNUMBER(Z13),Z13,Y13)</f>
        <v/>
      </c>
      <c r="AC13">
        <f>IFERROR(AA13+AB13,0)</f>
        <v/>
      </c>
      <c r="AE13">
        <f>IFERROR(AA13+AD13,0)</f>
        <v/>
      </c>
    </row>
    <row r="14">
      <c r="W14" t="inlineStr">
        <is>
          <t>10</t>
        </is>
      </c>
      <c r="X14" t="inlineStr">
        <is>
          <t>Adjustments to income</t>
        </is>
      </c>
      <c r="Y14">
        <f>SUMIFS(tblY2025_Inputs[Baseline_Amount], tblY2025_Inputs[Bucket], "*")</f>
        <v/>
      </c>
      <c r="AA14">
        <f>AA14*0+IF(ISNUMBER(Z14),Z14,Y14)</f>
        <v/>
      </c>
      <c r="AC14">
        <f>IFERROR(AA14+AB14,0)</f>
        <v/>
      </c>
      <c r="AE14">
        <f>IFERROR(AA14+AD14,0)</f>
        <v/>
      </c>
    </row>
    <row r="15">
      <c r="W15" t="inlineStr">
        <is>
          <t>11</t>
        </is>
      </c>
      <c r="X15" t="inlineStr">
        <is>
          <t>AGI (aggregator)</t>
        </is>
      </c>
      <c r="Y15">
        <f>SUMIFS(tblY2025_Inputs[Baseline_Amount], tblY2025_Inputs[Bucket], "*")</f>
        <v/>
      </c>
      <c r="AA15">
        <f>AA15*0+IF(ISNUMBER(Z15),Z15,Y15)</f>
        <v/>
      </c>
      <c r="AC15">
        <f>IFERROR(AA15+AB15,0)</f>
        <v/>
      </c>
      <c r="AE15">
        <f>IFERROR(AA15+AD15,0)</f>
        <v/>
      </c>
    </row>
    <row r="16">
      <c r="W16" t="inlineStr">
        <is>
          <t>12</t>
        </is>
      </c>
      <c r="X16" t="inlineStr">
        <is>
          <t>Std/Itemized deduction</t>
        </is>
      </c>
      <c r="Y16">
        <f>SUMIFS(tblY2025_Inputs[Baseline_Amount], tblY2025_Inputs[Bucket], "*")</f>
        <v/>
      </c>
      <c r="AA16">
        <f>AA16*0+IF(ISNUMBER(Z16),Z16,Y16)</f>
        <v/>
      </c>
      <c r="AC16">
        <f>IFERROR(AA16+AB16,0)</f>
        <v/>
      </c>
      <c r="AE16">
        <f>IFERROR(AA16+AD16,0)</f>
        <v/>
      </c>
    </row>
    <row r="17">
      <c r="W17" t="inlineStr">
        <is>
          <t>13</t>
        </is>
      </c>
      <c r="X17" t="inlineStr">
        <is>
          <t>QBI deduction</t>
        </is>
      </c>
      <c r="Y17">
        <f>SUMIFS(tblY2025_Inputs[Baseline_Amount], tblY2025_Inputs[Bucket], "*")</f>
        <v/>
      </c>
      <c r="AA17">
        <f>AA17*0+IF(ISNUMBER(Z17),Z17,Y17)</f>
        <v/>
      </c>
      <c r="AC17">
        <f>IFERROR(AA17+AB17,0)</f>
        <v/>
      </c>
      <c r="AE17">
        <f>IFERROR(AA17+AD17,0)</f>
        <v/>
      </c>
    </row>
    <row r="18">
      <c r="W18" t="inlineStr">
        <is>
          <t>15</t>
        </is>
      </c>
      <c r="X18" t="inlineStr">
        <is>
          <t>TAXABLE INCOME (aggregator)</t>
        </is>
      </c>
      <c r="Y18">
        <f>SUMIFS(tblY2025_Inputs[Baseline_Amount], tblY2025_Inputs[Bucket], "*")</f>
        <v/>
      </c>
      <c r="AA18">
        <f>AA18*0+IF(ISNUMBER(Z18),Z18,Y18)</f>
        <v/>
      </c>
      <c r="AC18">
        <f>IFERROR(AA18+AB18,0)</f>
        <v/>
      </c>
      <c r="AE18">
        <f>IFERROR(AA18+AD18,0)</f>
        <v/>
      </c>
    </row>
    <row r="21">
      <c r="W21" s="3" t="inlineStr">
        <is>
          <t>TAX COMPUTATION (real workbook uses 7 KISS LAMBDAs — placeholders shown)</t>
        </is>
      </c>
    </row>
    <row r="22">
      <c r="W22" s="8" t="inlineStr">
        <is>
          <t>Ord Tax</t>
        </is>
      </c>
      <c r="X22" s="2" t="inlineStr">
        <is>
          <t>Calc_OrdinaryTax(TI, FS)</t>
        </is>
      </c>
      <c r="Y22" s="2">
        <f>0  (replace with =Calc_OrdinaryTax(TI, FilingStatus))</f>
        <v/>
      </c>
    </row>
    <row r="23">
      <c r="W23" s="8" t="inlineStr">
        <is>
          <t>LTCG Tax</t>
        </is>
      </c>
      <c r="X23" s="2" t="inlineStr">
        <is>
          <t>Calc_CapGainsTax(LTCG, ord, FS)</t>
        </is>
      </c>
      <c r="Y23" s="2">
        <f>0  (replace with LAMBDA call)</f>
        <v/>
      </c>
    </row>
    <row r="24">
      <c r="W24" s="8" t="inlineStr">
        <is>
          <t>SE Tax</t>
        </is>
      </c>
      <c r="X24" s="2" t="inlineStr">
        <is>
          <t>Calc_SE_Tax(SE_inc, W2, FS)</t>
        </is>
      </c>
      <c r="Y24" s="2">
        <f>0</f>
        <v/>
      </c>
    </row>
    <row r="25">
      <c r="W25" s="8" t="inlineStr">
        <is>
          <t>NIIT</t>
        </is>
      </c>
      <c r="X25" s="2" t="inlineStr">
        <is>
          <t>Calc_NIIT(MAGI, NII, FS)</t>
        </is>
      </c>
      <c r="Y25" s="2">
        <f>0</f>
        <v/>
      </c>
    </row>
    <row r="26">
      <c r="W26" s="8" t="inlineStr">
        <is>
          <t>Addl Medicare</t>
        </is>
      </c>
      <c r="X26" s="2" t="inlineStr">
        <is>
          <t>AddlMedicareTax_FN(W2, SE, FS)</t>
        </is>
      </c>
      <c r="Y26" s="2">
        <f>0</f>
        <v/>
      </c>
    </row>
    <row r="27">
      <c r="W27" s="4" t="inlineStr">
        <is>
          <t>TOTAL FED TAX</t>
        </is>
      </c>
      <c r="X27" s="2" t="inlineStr">
        <is>
          <t>sum of above</t>
        </is>
      </c>
      <c r="Y27" s="2">
        <f>0</f>
        <v/>
      </c>
    </row>
    <row r="30">
      <c r="W30" s="3" t="inlineStr">
        <is>
          <t>PLANNING ADJUSTMENTS — edit here; flows back into rollup via SUMIFS</t>
        </is>
      </c>
    </row>
    <row r="31">
      <c r="W31" s="7" t="inlineStr">
        <is>
          <t>AdjID</t>
        </is>
      </c>
      <c r="X31" s="7" t="inlineStr">
        <is>
          <t>Strategy</t>
        </is>
      </c>
      <c r="Y31" s="7" t="inlineStr">
        <is>
          <t>Status</t>
        </is>
      </c>
      <c r="Z31" s="7" t="inlineStr">
        <is>
          <t>TargetLine</t>
        </is>
      </c>
      <c r="AA31" s="7" t="inlineStr">
        <is>
          <t>Description</t>
        </is>
      </c>
      <c r="AB31" s="7" t="inlineStr">
        <is>
          <t>S1_Amount</t>
        </is>
      </c>
      <c r="AC31" s="7" t="inlineStr">
        <is>
          <t>S2_Amount</t>
        </is>
      </c>
      <c r="AD31" s="7" t="inlineStr">
        <is>
          <t>ProposedDate</t>
        </is>
      </c>
      <c r="AE31" s="7" t="inlineStr">
        <is>
          <t>Notes</t>
        </is>
      </c>
    </row>
  </sheetData>
  <dataValidations count="6">
    <dataValidation sqref="B6:B200" showDropDown="0" showInputMessage="0" showErrorMessage="0" allowBlank="1" type="list">
      <formula1>=Bucket</formula1>
    </dataValidation>
    <dataValidation sqref="J6:J200" showDropDown="0" showInputMessage="0" showErrorMessage="0" allowBlank="1" type="list">
      <formula1>=Treatment_Profile</formula1>
    </dataValidation>
    <dataValidation sqref="K6:K200" showDropDown="0" showInputMessage="0" showErrorMessage="0" allowBlank="1" type="list">
      <formula1>=Yes_No</formula1>
    </dataValidation>
    <dataValidation sqref="L6:L200" showDropDown="0" showInputMessage="0" showErrorMessage="0" allowBlank="1" type="list">
      <formula1>=NIIT_Class</formula1>
    </dataValidation>
    <dataValidation sqref="M6:M200" showDropDown="0" showInputMessage="0" showErrorMessage="0" allowBlank="1" type="list">
      <formula1>=Yes_No</formula1>
    </dataValidation>
    <dataValidation sqref="N6:N200" showDropDown="0" showInputMessage="0" showErrorMessage="0" allowBlank="1" type="list">
      <formula1>=Char_Type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9" customWidth="1" min="4" max="4"/>
    <col width="11" customWidth="1" min="5" max="5"/>
    <col width="14" customWidth="1" min="6" max="6"/>
    <col width="12" customWidth="1" min="7" max="7"/>
    <col width="18" customWidth="1" min="8" max="8"/>
    <col width="22" customWidth="1" min="9" max="9"/>
    <col width="14" customWidth="1" min="10" max="10"/>
    <col width="22" customWidth="1" min="11" max="11"/>
    <col width="11" customWidth="1" min="12" max="12"/>
    <col width="12" customWidth="1" min="13" max="13"/>
    <col width="13" customWidth="1" min="14" max="14"/>
    <col width="13" customWidth="1" min="15" max="15"/>
    <col width="12" customWidth="1" min="16" max="16"/>
    <col width="18" customWidth="1" min="17" max="17"/>
    <col width="18" customWidth="1" min="18" max="18"/>
    <col width="14" customWidth="1" min="19" max="19"/>
    <col width="18" customWidth="1" min="20" max="20"/>
    <col width="12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8" customWidth="1" min="27" max="27"/>
    <col width="14" customWidth="1" min="28" max="28"/>
    <col width="12" customWidth="1" min="29" max="29"/>
    <col width="14" customWidth="1" min="30" max="30"/>
    <col width="30" customWidth="1" min="31" max="31"/>
  </cols>
  <sheetData>
    <row r="1">
      <c r="A1" s="1" t="inlineStr">
        <is>
          <t>MASTER INPUTS — long-format parent store. Auto-synced from year sheets in real workbook.</t>
        </is>
      </c>
    </row>
    <row r="2">
      <c r="A2" s="2" t="inlineStr">
        <is>
          <t>Schema: one row per (Client, Year, Bucket, Input_Type, Source_Layer, Scenario) entry.</t>
        </is>
      </c>
    </row>
    <row r="4">
      <c r="A4" s="7" t="inlineStr">
        <is>
          <t>InputID</t>
        </is>
      </c>
      <c r="B4" s="7" t="inlineStr">
        <is>
          <t>ClientID</t>
        </is>
      </c>
      <c r="C4" s="7" t="inlineStr">
        <is>
          <t>ClientName</t>
        </is>
      </c>
      <c r="D4" s="7" t="inlineStr">
        <is>
          <t>TaxYear</t>
        </is>
      </c>
      <c r="E4" s="7" t="inlineStr">
        <is>
          <t>Scenario</t>
        </is>
      </c>
      <c r="F4" s="7" t="inlineStr">
        <is>
          <t>Source_Layer</t>
        </is>
      </c>
      <c r="G4" s="7" t="inlineStr">
        <is>
          <t>Status</t>
        </is>
      </c>
      <c r="H4" s="7" t="inlineStr">
        <is>
          <t>Bucket</t>
        </is>
      </c>
      <c r="I4" s="7" t="inlineStr">
        <is>
          <t>Input_Type</t>
        </is>
      </c>
      <c r="J4" s="7" t="inlineStr">
        <is>
          <t>Source_Type</t>
        </is>
      </c>
      <c r="K4" s="7" t="inlineStr">
        <is>
          <t>Treatment_Profile</t>
        </is>
      </c>
      <c r="L4" s="7" t="inlineStr">
        <is>
          <t>SE_Subject</t>
        </is>
      </c>
      <c r="M4" s="7" t="inlineStr">
        <is>
          <t>NIIT_Class</t>
        </is>
      </c>
      <c r="N4" s="7" t="inlineStr">
        <is>
          <t>QBI_Eligible</t>
        </is>
      </c>
      <c r="O4" s="7" t="inlineStr">
        <is>
          <t>Char_Type</t>
        </is>
      </c>
      <c r="P4" s="7" t="inlineStr">
        <is>
          <t>Primary_Line</t>
        </is>
      </c>
      <c r="Q4" s="7" t="inlineStr">
        <is>
          <t>Helper_Treatment</t>
        </is>
      </c>
      <c r="R4" s="7" t="inlineStr">
        <is>
          <t>Payor</t>
        </is>
      </c>
      <c r="S4" s="7" t="inlineStr">
        <is>
          <t>EIN</t>
        </is>
      </c>
      <c r="T4" s="7" t="inlineStr">
        <is>
          <t>Source_Document</t>
        </is>
      </c>
      <c r="U4" s="7" t="inlineStr">
        <is>
          <t>Doc_Status</t>
        </is>
      </c>
      <c r="V4" s="7" t="inlineStr">
        <is>
          <t>Baseline_Amount</t>
        </is>
      </c>
      <c r="W4" s="7" t="inlineStr">
        <is>
          <t>Helper_Amount</t>
        </is>
      </c>
      <c r="X4" s="7" t="inlineStr">
        <is>
          <t>CE_Basis</t>
        </is>
      </c>
      <c r="Y4" s="7" t="inlineStr">
        <is>
          <t>CE_Proceeds</t>
        </is>
      </c>
      <c r="Z4" s="7" t="inlineStr">
        <is>
          <t>CE_AcqDate</t>
        </is>
      </c>
      <c r="AA4" s="7" t="inlineStr">
        <is>
          <t>CE_LT_ST</t>
        </is>
      </c>
      <c r="AB4" s="7" t="inlineStr">
        <is>
          <t>LastUpdated</t>
        </is>
      </c>
      <c r="AC4" s="7" t="inlineStr">
        <is>
          <t>UpdatedBy</t>
        </is>
      </c>
      <c r="AD4" s="7" t="inlineStr">
        <is>
          <t>ReviewStatus</t>
        </is>
      </c>
      <c r="AE4" s="7" t="inlineStr">
        <is>
          <t>Notes</t>
        </is>
      </c>
    </row>
    <row r="5">
      <c r="A5" t="inlineStr">
        <is>
          <t>CEDILLO|2024|Wages|W-2|Baseline|01</t>
        </is>
      </c>
      <c r="B5" t="inlineStr">
        <is>
          <t>CEDILLO</t>
        </is>
      </c>
      <c r="C5" t="inlineStr">
        <is>
          <t>Ron Cedillo</t>
        </is>
      </c>
      <c r="D5" t="n">
        <v>2024</v>
      </c>
      <c r="E5" t="inlineStr">
        <is>
          <t>Baseline</t>
        </is>
      </c>
      <c r="F5" t="inlineStr">
        <is>
          <t>Baseline</t>
        </is>
      </c>
      <c r="G5" t="inlineStr">
        <is>
          <t>Approved</t>
        </is>
      </c>
      <c r="H5" t="inlineStr">
        <is>
          <t>Wages</t>
        </is>
      </c>
      <c r="I5" t="inlineStr">
        <is>
          <t>W2 - Self Pay</t>
        </is>
      </c>
      <c r="J5" t="inlineStr">
        <is>
          <t>W-2</t>
        </is>
      </c>
      <c r="K5" t="inlineStr">
        <is>
          <t>W2_SCorpOwner</t>
        </is>
      </c>
      <c r="L5" t="inlineStr">
        <is>
          <t>No</t>
        </is>
      </c>
      <c r="M5" t="inlineStr">
        <is>
          <t>Active</t>
        </is>
      </c>
      <c r="N5" t="inlineStr">
        <is>
          <t>No</t>
        </is>
      </c>
      <c r="O5" t="inlineStr">
        <is>
          <t>Ordinary</t>
        </is>
      </c>
      <c r="P5" t="inlineStr">
        <is>
          <t>1z</t>
        </is>
      </c>
      <c r="Q5" t="inlineStr">
        <is>
          <t>OWNER_PAY</t>
        </is>
      </c>
      <c r="R5" t="inlineStr">
        <is>
          <t>Acme S-Corp</t>
        </is>
      </c>
      <c r="S5" t="inlineStr">
        <is>
          <t>00-0000000</t>
        </is>
      </c>
      <c r="T5" t="inlineStr">
        <is>
          <t>W-2 form</t>
        </is>
      </c>
      <c r="U5" t="inlineStr">
        <is>
          <t>Received</t>
        </is>
      </c>
      <c r="V5" t="n">
        <v>153648</v>
      </c>
      <c r="W5" t="n">
        <v>0</v>
      </c>
      <c r="AB5" t="inlineStr">
        <is>
          <t>2026-05-15</t>
        </is>
      </c>
      <c r="AC5" t="inlineStr">
        <is>
          <t>SMJ</t>
        </is>
      </c>
      <c r="AD5" t="inlineStr">
        <is>
          <t>Approved</t>
        </is>
      </c>
      <c r="AE5" t="inlineStr">
        <is>
          <t>Sample row — Cedillo $7,213.92 validation case</t>
        </is>
      </c>
    </row>
    <row r="6">
      <c r="A6" t="inlineStr">
        <is>
          <t>CEDILLO|2024|Business Income|K-1|Baseline|01</t>
        </is>
      </c>
      <c r="B6" t="inlineStr">
        <is>
          <t>CEDILLO</t>
        </is>
      </c>
      <c r="C6" t="inlineStr">
        <is>
          <t>Ron Cedillo</t>
        </is>
      </c>
      <c r="D6" t="n">
        <v>2024</v>
      </c>
      <c r="E6" t="inlineStr">
        <is>
          <t>Baseline</t>
        </is>
      </c>
      <c r="F6" t="inlineStr">
        <is>
          <t>Baseline</t>
        </is>
      </c>
      <c r="G6" t="inlineStr">
        <is>
          <t>Approved</t>
        </is>
      </c>
      <c r="H6" t="inlineStr">
        <is>
          <t>Business Income</t>
        </is>
      </c>
      <c r="I6" t="inlineStr">
        <is>
          <t>Partnership K-1</t>
        </is>
      </c>
      <c r="J6" t="inlineStr">
        <is>
          <t>K-1</t>
        </is>
      </c>
      <c r="K6" t="inlineStr">
        <is>
          <t>K1_PTP_Passive</t>
        </is>
      </c>
      <c r="L6" t="inlineStr">
        <is>
          <t>No</t>
        </is>
      </c>
      <c r="M6" t="inlineStr">
        <is>
          <t>Passive</t>
        </is>
      </c>
      <c r="N6" t="inlineStr">
        <is>
          <t>Yes</t>
        </is>
      </c>
      <c r="O6" t="inlineStr">
        <is>
          <t>Ordinary</t>
        </is>
      </c>
      <c r="P6" t="inlineStr">
        <is>
          <t>10</t>
        </is>
      </c>
      <c r="Q6" t="inlineStr">
        <is>
          <t>K1_SPLIT</t>
        </is>
      </c>
      <c r="R6" t="inlineStr">
        <is>
          <t>Cedillo Partnership</t>
        </is>
      </c>
      <c r="S6" t="inlineStr">
        <is>
          <t>00-0000000</t>
        </is>
      </c>
      <c r="T6" t="inlineStr">
        <is>
          <t>K-1 form</t>
        </is>
      </c>
      <c r="U6" t="inlineStr">
        <is>
          <t>Received</t>
        </is>
      </c>
      <c r="V6" t="n">
        <v>-100766</v>
      </c>
      <c r="W6" t="n">
        <v>0</v>
      </c>
      <c r="AB6" t="inlineStr">
        <is>
          <t>2026-05-15</t>
        </is>
      </c>
      <c r="AC6" t="inlineStr">
        <is>
          <t>SMJ</t>
        </is>
      </c>
      <c r="AD6" t="inlineStr">
        <is>
          <t>Approved</t>
        </is>
      </c>
      <c r="AE6" t="inlineStr">
        <is>
          <t>Passive loss</t>
        </is>
      </c>
    </row>
    <row r="7">
      <c r="A7" t="inlineStr">
        <is>
          <t>CEDILLO|2024|Investment Income|1099-DIV|Baseline|01</t>
        </is>
      </c>
      <c r="B7" t="inlineStr">
        <is>
          <t>CEDILLO</t>
        </is>
      </c>
      <c r="C7" t="inlineStr">
        <is>
          <t>Ron Cedillo</t>
        </is>
      </c>
      <c r="D7" t="n">
        <v>2024</v>
      </c>
      <c r="E7" t="inlineStr">
        <is>
          <t>Baseline</t>
        </is>
      </c>
      <c r="F7" t="inlineStr">
        <is>
          <t>Baseline</t>
        </is>
      </c>
      <c r="G7" t="inlineStr">
        <is>
          <t>Approved</t>
        </is>
      </c>
      <c r="H7" t="inlineStr">
        <is>
          <t>Investment Income</t>
        </is>
      </c>
      <c r="I7" t="inlineStr">
        <is>
          <t>Dividend</t>
        </is>
      </c>
      <c r="J7" t="inlineStr">
        <is>
          <t>1099-DIV</t>
        </is>
      </c>
      <c r="K7" t="inlineStr">
        <is>
          <t>Div_Ordinary</t>
        </is>
      </c>
      <c r="L7" t="inlineStr">
        <is>
          <t>No</t>
        </is>
      </c>
      <c r="M7" t="inlineStr">
        <is>
          <t>Portfolio</t>
        </is>
      </c>
      <c r="N7" t="inlineStr">
        <is>
          <t>No</t>
        </is>
      </c>
      <c r="O7" t="inlineStr">
        <is>
          <t>QD/NonQD</t>
        </is>
      </c>
      <c r="P7" t="inlineStr">
        <is>
          <t>3b</t>
        </is>
      </c>
      <c r="Q7" t="inlineStr">
        <is>
          <t>QUAL_DIV</t>
        </is>
      </c>
      <c r="R7" t="inlineStr">
        <is>
          <t>Brokerage</t>
        </is>
      </c>
      <c r="S7" t="inlineStr">
        <is>
          <t>00-0000000</t>
        </is>
      </c>
      <c r="T7" t="inlineStr">
        <is>
          <t>1099-DIV form</t>
        </is>
      </c>
      <c r="U7" t="inlineStr">
        <is>
          <t>Received</t>
        </is>
      </c>
      <c r="V7" t="n">
        <v>25922</v>
      </c>
      <c r="W7" t="n">
        <v>0</v>
      </c>
      <c r="AB7" t="inlineStr">
        <is>
          <t>2026-05-15</t>
        </is>
      </c>
      <c r="AC7" t="inlineStr">
        <is>
          <t>SMJ</t>
        </is>
      </c>
      <c r="AD7" t="inlineStr">
        <is>
          <t>Approved</t>
        </is>
      </c>
      <c r="AE7" t="inlineStr">
        <is>
          <t>Non-qualified dividends</t>
        </is>
      </c>
    </row>
    <row r="8">
      <c r="A8" t="inlineStr">
        <is>
          <t>CEDILLO|2024|Capital Gains|1099-B|Baseline|01</t>
        </is>
      </c>
      <c r="B8" t="inlineStr">
        <is>
          <t>CEDILLO</t>
        </is>
      </c>
      <c r="C8" t="inlineStr">
        <is>
          <t>Ron Cedillo</t>
        </is>
      </c>
      <c r="D8" t="n">
        <v>2024</v>
      </c>
      <c r="E8" t="inlineStr">
        <is>
          <t>Baseline</t>
        </is>
      </c>
      <c r="F8" t="inlineStr">
        <is>
          <t>Baseline</t>
        </is>
      </c>
      <c r="G8" t="inlineStr">
        <is>
          <t>Approved</t>
        </is>
      </c>
      <c r="H8" t="inlineStr">
        <is>
          <t>Capital Gains</t>
        </is>
      </c>
      <c r="I8" t="inlineStr">
        <is>
          <t>Brokerage</t>
        </is>
      </c>
      <c r="J8" t="inlineStr">
        <is>
          <t>1099-B</t>
        </is>
      </c>
      <c r="K8" t="inlineStr">
        <is>
          <t>LTCG_Stock</t>
        </is>
      </c>
      <c r="L8" t="inlineStr">
        <is>
          <t>No</t>
        </is>
      </c>
      <c r="M8" t="inlineStr">
        <is>
          <t>Portfolio</t>
        </is>
      </c>
      <c r="N8" t="inlineStr">
        <is>
          <t>No</t>
        </is>
      </c>
      <c r="O8" t="inlineStr">
        <is>
          <t>LTCG/STCG</t>
        </is>
      </c>
      <c r="P8" t="inlineStr">
        <is>
          <t>7</t>
        </is>
      </c>
      <c r="Q8" t="inlineStr">
        <is>
          <t>LTCG_SPLIT</t>
        </is>
      </c>
      <c r="R8" t="inlineStr">
        <is>
          <t>Brokerage</t>
        </is>
      </c>
      <c r="S8" t="inlineStr">
        <is>
          <t>00-0000000</t>
        </is>
      </c>
      <c r="T8" t="inlineStr">
        <is>
          <t>1099-B form</t>
        </is>
      </c>
      <c r="U8" t="inlineStr">
        <is>
          <t>Received</t>
        </is>
      </c>
      <c r="V8" t="n">
        <v>14487</v>
      </c>
      <c r="W8" t="n">
        <v>0</v>
      </c>
      <c r="AA8" t="inlineStr">
        <is>
          <t>LT</t>
        </is>
      </c>
      <c r="AB8" t="inlineStr">
        <is>
          <t>2026-05-15</t>
        </is>
      </c>
      <c r="AC8" t="inlineStr">
        <is>
          <t>SMJ</t>
        </is>
      </c>
      <c r="AD8" t="inlineStr">
        <is>
          <t>Approved</t>
        </is>
      </c>
      <c r="AE8" t="inlineStr">
        <is>
          <t>Long-term capital gain</t>
        </is>
      </c>
    </row>
    <row r="9">
      <c r="A9" t="inlineStr">
        <is>
          <t>SAMPLE|2025|Adjustment|HSA|Adjustment|S1|01</t>
        </is>
      </c>
      <c r="B9" t="inlineStr">
        <is>
          <t>SAMPLE</t>
        </is>
      </c>
      <c r="C9" t="inlineStr">
        <is>
          <t>Sample Client</t>
        </is>
      </c>
      <c r="D9" t="n">
        <v>2025</v>
      </c>
      <c r="E9" t="inlineStr">
        <is>
          <t>S1</t>
        </is>
      </c>
      <c r="F9" t="inlineStr">
        <is>
          <t>Adjustment</t>
        </is>
      </c>
      <c r="G9" t="inlineStr">
        <is>
          <t>Approved</t>
        </is>
      </c>
      <c r="H9" t="inlineStr">
        <is>
          <t>Adjustment</t>
        </is>
      </c>
      <c r="I9" t="inlineStr">
        <is>
          <t>HSA</t>
        </is>
      </c>
      <c r="J9" t="inlineStr">
        <is>
          <t>PBC</t>
        </is>
      </c>
      <c r="K9" t="inlineStr">
        <is>
          <t>Adjustment_Generic</t>
        </is>
      </c>
      <c r="L9" t="inlineStr">
        <is>
          <t>No</t>
        </is>
      </c>
      <c r="M9" t="inlineStr">
        <is>
          <t>N/A</t>
        </is>
      </c>
      <c r="N9" t="inlineStr">
        <is>
          <t>No</t>
        </is>
      </c>
      <c r="O9" t="inlineStr">
        <is>
          <t>Deduction</t>
        </is>
      </c>
      <c r="P9" t="inlineStr">
        <is>
          <t>10</t>
        </is>
      </c>
      <c r="Q9" t="inlineStr">
        <is>
          <t>HSA</t>
        </is>
      </c>
      <c r="V9" t="n">
        <v>-8550</v>
      </c>
      <c r="W9" t="n">
        <v>0</v>
      </c>
      <c r="AB9" t="inlineStr">
        <is>
          <t>2026-05-15</t>
        </is>
      </c>
      <c r="AC9" t="inlineStr">
        <is>
          <t>SMJ</t>
        </is>
      </c>
      <c r="AD9" t="inlineStr">
        <is>
          <t>Approved</t>
        </is>
      </c>
      <c r="AE9" t="inlineStr">
        <is>
          <t>Family HSA max for 2025</t>
        </is>
      </c>
    </row>
    <row r="10">
      <c r="A10" t="inlineStr">
        <is>
          <t>SAMPLE|2025|Business Income|S-Corp K-1|Strategy|S1|01</t>
        </is>
      </c>
      <c r="B10" t="inlineStr">
        <is>
          <t>SAMPLE</t>
        </is>
      </c>
      <c r="C10" t="inlineStr">
        <is>
          <t>Sample Client</t>
        </is>
      </c>
      <c r="D10" t="n">
        <v>2025</v>
      </c>
      <c r="E10" t="inlineStr">
        <is>
          <t>S1</t>
        </is>
      </c>
      <c r="F10" t="inlineStr">
        <is>
          <t>Tax Strategy</t>
        </is>
      </c>
      <c r="G10" t="inlineStr">
        <is>
          <t>Approved</t>
        </is>
      </c>
      <c r="H10" t="inlineStr">
        <is>
          <t>Wages</t>
        </is>
      </c>
      <c r="I10" t="inlineStr">
        <is>
          <t>W2 - Self Pay</t>
        </is>
      </c>
      <c r="J10" t="inlineStr">
        <is>
          <t>W-2</t>
        </is>
      </c>
      <c r="K10" t="inlineStr">
        <is>
          <t>W2_SCorpOwner</t>
        </is>
      </c>
      <c r="L10" t="inlineStr">
        <is>
          <t>No</t>
        </is>
      </c>
      <c r="M10" t="inlineStr">
        <is>
          <t>Active</t>
        </is>
      </c>
      <c r="N10" t="inlineStr">
        <is>
          <t>No</t>
        </is>
      </c>
      <c r="O10" t="inlineStr">
        <is>
          <t>Ordinary</t>
        </is>
      </c>
      <c r="P10" t="inlineStr">
        <is>
          <t>1z</t>
        </is>
      </c>
      <c r="Q10" t="inlineStr">
        <is>
          <t>OWNER_PAY</t>
        </is>
      </c>
      <c r="V10" t="n">
        <v>-25000</v>
      </c>
      <c r="W10" t="n">
        <v>0</v>
      </c>
      <c r="AB10" t="inlineStr">
        <is>
          <t>2026-05-15</t>
        </is>
      </c>
      <c r="AC10" t="inlineStr">
        <is>
          <t>SMJ</t>
        </is>
      </c>
      <c r="AD10" t="inlineStr">
        <is>
          <t>Approved</t>
        </is>
      </c>
      <c r="AE10" t="inlineStr">
        <is>
          <t>S-Corp salary reduction strategy (STD-008)</t>
        </is>
      </c>
    </row>
  </sheetData>
  <dataValidations count="10">
    <dataValidation sqref="E5:E1000" showDropDown="0" showInputMessage="0" showErrorMessage="0" allowBlank="1" type="list">
      <formula1>=Scenario</formula1>
    </dataValidation>
    <dataValidation sqref="F5:F1000" showDropDown="0" showInputMessage="0" showErrorMessage="0" allowBlank="1" type="list">
      <formula1>=Source_Layer</formula1>
    </dataValidation>
    <dataValidation sqref="G5:G1000" showDropDown="0" showInputMessage="0" showErrorMessage="0" allowBlank="1" type="list">
      <formula1>=Status</formula1>
    </dataValidation>
    <dataValidation sqref="H5:H1000" showDropDown="0" showInputMessage="0" showErrorMessage="0" allowBlank="1" type="list">
      <formula1>=Bucket</formula1>
    </dataValidation>
    <dataValidation sqref="K5:K1000" showDropDown="0" showInputMessage="0" showErrorMessage="0" allowBlank="1" type="list">
      <formula1>=Treatment_Profile</formula1>
    </dataValidation>
    <dataValidation sqref="L5:L1000" showDropDown="0" showInputMessage="0" showErrorMessage="0" allowBlank="1" type="list">
      <formula1>=Yes_No</formula1>
    </dataValidation>
    <dataValidation sqref="M5:M1000" showDropDown="0" showInputMessage="0" showErrorMessage="0" allowBlank="1" type="list">
      <formula1>=NIIT_Class</formula1>
    </dataValidation>
    <dataValidation sqref="N5:N1000" showDropDown="0" showInputMessage="0" showErrorMessage="0" allowBlank="1" type="list">
      <formula1>=Yes_No</formula1>
    </dataValidation>
    <dataValidation sqref="O5:O1000" showDropDown="0" showInputMessage="0" showErrorMessage="0" allowBlank="1" type="list">
      <formula1>=Char_Type</formula1>
    </dataValidation>
    <dataValidation sqref="T5:T1000" showDropDown="0" showInputMessage="0" showErrorMessage="0" allowBlank="1" type="list">
      <formula1>=Doc_Types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1" customWidth="1" min="4" max="4"/>
    <col width="38" customWidth="1" min="5" max="5"/>
    <col width="28" customWidth="1" min="6" max="6"/>
    <col width="18" customWidth="1" min="7" max="7"/>
    <col width="12" customWidth="1" min="8" max="8"/>
    <col width="12" customWidth="1" min="9" max="9"/>
    <col width="35" customWidth="1" min="10" max="10"/>
    <col width="12" customWidth="1" min="11" max="11"/>
    <col width="14" customWidth="1" min="12" max="12"/>
    <col width="14" customWidth="1" min="13" max="13"/>
    <col width="38" customWidth="1" min="14" max="14"/>
  </cols>
  <sheetData>
    <row r="1">
      <c r="A1" s="1" t="inlineStr">
        <is>
          <t>PLANNING ADJUSTMENTS — current year strategy table</t>
        </is>
      </c>
    </row>
    <row r="2">
      <c r="A2" s="2" t="inlineStr">
        <is>
          <t>Status workflow: Proposed → Approved → Committed → Converted_To_Input.</t>
        </is>
      </c>
    </row>
    <row r="4">
      <c r="A4" s="7" t="inlineStr">
        <is>
          <t>AdjID</t>
        </is>
      </c>
      <c r="B4" s="7" t="inlineStr">
        <is>
          <t>ClientID</t>
        </is>
      </c>
      <c r="C4" s="7" t="inlineStr">
        <is>
          <t>TaxYear</t>
        </is>
      </c>
      <c r="D4" s="7" t="inlineStr">
        <is>
          <t>TargetLine</t>
        </is>
      </c>
      <c r="E4" s="7" t="inlineStr">
        <is>
          <t>TargetInputID</t>
        </is>
      </c>
      <c r="F4" s="7" t="inlineStr">
        <is>
          <t>Strategy</t>
        </is>
      </c>
      <c r="G4" s="7" t="inlineStr">
        <is>
          <t>Status</t>
        </is>
      </c>
      <c r="H4" s="7" t="inlineStr">
        <is>
          <t>S1_Amount</t>
        </is>
      </c>
      <c r="I4" s="7" t="inlineStr">
        <is>
          <t>S2_Amount</t>
        </is>
      </c>
      <c r="J4" s="7" t="inlineStr">
        <is>
          <t>Description</t>
        </is>
      </c>
      <c r="K4" s="7" t="inlineStr">
        <is>
          <t>ProposedBy</t>
        </is>
      </c>
      <c r="L4" s="7" t="inlineStr">
        <is>
          <t>ProposedDate</t>
        </is>
      </c>
      <c r="M4" s="7" t="inlineStr">
        <is>
          <t>CommittedDate</t>
        </is>
      </c>
      <c r="N4" s="7" t="inlineStr">
        <is>
          <t>ConvertedInputID</t>
        </is>
      </c>
    </row>
    <row r="5">
      <c r="A5" t="inlineStr">
        <is>
          <t>ADJ-2025-001</t>
        </is>
      </c>
      <c r="B5" t="inlineStr">
        <is>
          <t>SAMPLE</t>
        </is>
      </c>
      <c r="C5" t="n">
        <v>2025</v>
      </c>
      <c r="D5" t="inlineStr">
        <is>
          <t>10</t>
        </is>
      </c>
      <c r="F5" t="inlineStr">
        <is>
          <t>SEP-IRA contribution</t>
        </is>
      </c>
      <c r="G5" t="inlineStr">
        <is>
          <t>Approved</t>
        </is>
      </c>
      <c r="H5" t="n">
        <v>0</v>
      </c>
      <c r="I5" t="n">
        <v>-7000</v>
      </c>
      <c r="J5" t="inlineStr">
        <is>
          <t>$7K SEP-IRA Y2025</t>
        </is>
      </c>
      <c r="K5" t="inlineStr">
        <is>
          <t>SMJ</t>
        </is>
      </c>
      <c r="L5" t="inlineStr">
        <is>
          <t>2025-09-01</t>
        </is>
      </c>
    </row>
    <row r="6">
      <c r="A6" t="inlineStr">
        <is>
          <t>ADJ-2025-002</t>
        </is>
      </c>
      <c r="B6" t="inlineStr">
        <is>
          <t>SAMPLE</t>
        </is>
      </c>
      <c r="C6" t="n">
        <v>2025</v>
      </c>
      <c r="D6" t="inlineStr">
        <is>
          <t>12</t>
        </is>
      </c>
      <c r="F6" t="inlineStr">
        <is>
          <t>DAF stack (Itemized)</t>
        </is>
      </c>
      <c r="G6" t="inlineStr">
        <is>
          <t>Proposed</t>
        </is>
      </c>
      <c r="H6" t="n">
        <v>15000</v>
      </c>
      <c r="I6" t="n">
        <v>15000</v>
      </c>
      <c r="J6" t="inlineStr">
        <is>
          <t>DAF stack to bunch itemized</t>
        </is>
      </c>
      <c r="K6" t="inlineStr">
        <is>
          <t>SMJ</t>
        </is>
      </c>
      <c r="L6" t="inlineStr">
        <is>
          <t>2025-10-15</t>
        </is>
      </c>
    </row>
    <row r="7">
      <c r="A7" t="inlineStr">
        <is>
          <t>ADJ-2025-003</t>
        </is>
      </c>
      <c r="B7" t="inlineStr">
        <is>
          <t>SAMPLE</t>
        </is>
      </c>
      <c r="C7" t="n">
        <v>2025</v>
      </c>
      <c r="D7" t="inlineStr">
        <is>
          <t>1z</t>
        </is>
      </c>
      <c r="F7" t="inlineStr">
        <is>
          <t>S-Corp salary reduction</t>
        </is>
      </c>
      <c r="G7" t="inlineStr">
        <is>
          <t>Committed</t>
        </is>
      </c>
      <c r="H7" t="n">
        <v>-25000</v>
      </c>
      <c r="I7" t="n">
        <v>-25000</v>
      </c>
      <c r="J7" t="inlineStr">
        <is>
          <t>Reduce W-2 by $25K</t>
        </is>
      </c>
      <c r="K7" t="inlineStr">
        <is>
          <t>SMJ</t>
        </is>
      </c>
      <c r="L7" t="inlineStr">
        <is>
          <t>2025-08-01</t>
        </is>
      </c>
      <c r="M7" t="inlineStr">
        <is>
          <t>2025-08-15</t>
        </is>
      </c>
    </row>
    <row r="8">
      <c r="A8" t="inlineStr">
        <is>
          <t>ADJ-2025-004</t>
        </is>
      </c>
      <c r="B8" t="inlineStr">
        <is>
          <t>SAMPLE</t>
        </is>
      </c>
      <c r="C8" t="n">
        <v>2025</v>
      </c>
      <c r="D8" t="inlineStr">
        <is>
          <t>10</t>
        </is>
      </c>
      <c r="F8" t="inlineStr">
        <is>
          <t>HSA family max</t>
        </is>
      </c>
      <c r="G8" t="inlineStr">
        <is>
          <t>Converted_To_Input</t>
        </is>
      </c>
      <c r="H8" t="n">
        <v>-8550</v>
      </c>
      <c r="I8" t="n">
        <v>-8550</v>
      </c>
      <c r="J8" t="inlineStr">
        <is>
          <t>Family HSA max — converted to baseline</t>
        </is>
      </c>
      <c r="K8" t="inlineStr">
        <is>
          <t>SMJ</t>
        </is>
      </c>
      <c r="L8" t="inlineStr">
        <is>
          <t>2025-07-01</t>
        </is>
      </c>
      <c r="M8" t="inlineStr">
        <is>
          <t>2025-07-15</t>
        </is>
      </c>
      <c r="N8" t="inlineStr">
        <is>
          <t>SAMPLE|2025|Adjustment|HSA|Adjustment|S1|01</t>
        </is>
      </c>
    </row>
  </sheetData>
  <dataValidations count="1">
    <dataValidation sqref="G5:G1000" showDropDown="0" showInputMessage="0" showErrorMessage="0" allowBlank="1" type="list">
      <formula1>=Status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50" customWidth="1" min="4" max="4"/>
    <col width="12" customWidth="1" min="5" max="5"/>
    <col width="12" customWidth="1" min="6" max="6"/>
    <col width="30" customWidth="1" min="7" max="7"/>
    <col width="12" customWidth="1" min="8" max="8"/>
    <col width="25" customWidth="1" min="9" max="9"/>
  </cols>
  <sheetData>
    <row r="1">
      <c r="A1" s="1" t="inlineStr">
        <is>
          <t>TAX PLANNING STRATEGIES — library / catalog</t>
        </is>
      </c>
    </row>
    <row r="2">
      <c r="A2" s="2" t="inlineStr">
        <is>
          <t>Preparers draw FROM this catalog into Planning_Adjustments for a specific year/client.</t>
        </is>
      </c>
    </row>
    <row r="4">
      <c r="A4" s="7" t="inlineStr">
        <is>
          <t>ID</t>
        </is>
      </c>
      <c r="B4" s="7" t="inlineStr">
        <is>
          <t>Group</t>
        </is>
      </c>
      <c r="C4" s="7" t="inlineStr">
        <is>
          <t>Strategy Name</t>
        </is>
      </c>
      <c r="D4" s="7" t="inlineStr">
        <is>
          <t>Description</t>
        </is>
      </c>
      <c r="E4" s="7" t="inlineStr">
        <is>
          <t>Impact Type</t>
        </is>
      </c>
      <c r="F4" s="7" t="inlineStr">
        <is>
          <t>Complexity</t>
        </is>
      </c>
      <c r="G4" s="7" t="inlineStr">
        <is>
          <t>Tax Lines Affected</t>
        </is>
      </c>
      <c r="H4" s="7" t="inlineStr">
        <is>
          <t>Est. Savings</t>
        </is>
      </c>
      <c r="I4" s="7" t="inlineStr">
        <is>
          <t>Notes</t>
        </is>
      </c>
    </row>
    <row r="5">
      <c r="A5" t="inlineStr">
        <is>
          <t>STD-001</t>
        </is>
      </c>
      <c r="B5" t="inlineStr">
        <is>
          <t>Low Hanging Fruit</t>
        </is>
      </c>
      <c r="C5" t="inlineStr">
        <is>
          <t>Retirement Plan Contributions</t>
        </is>
      </c>
      <c r="D5" t="inlineStr">
        <is>
          <t>Solo 401k, SEP IRA, or Cash Balance plan contributions</t>
        </is>
      </c>
      <c r="E5" t="inlineStr">
        <is>
          <t>Single</t>
        </is>
      </c>
      <c r="F5" t="inlineStr">
        <is>
          <t>Low</t>
        </is>
      </c>
      <c r="G5" t="inlineStr">
        <is>
          <t>Line 10 (Non-SE) ↓</t>
        </is>
      </c>
      <c r="I5" t="inlineStr"/>
    </row>
    <row r="6">
      <c r="A6" t="inlineStr">
        <is>
          <t>STD-002</t>
        </is>
      </c>
      <c r="B6" t="inlineStr">
        <is>
          <t>Low Hanging Fruit</t>
        </is>
      </c>
      <c r="C6" t="inlineStr">
        <is>
          <t>Augusta Rule</t>
        </is>
      </c>
      <c r="D6" t="inlineStr">
        <is>
          <t>Rent home to business up to 14 days tax-free</t>
        </is>
      </c>
      <c r="E6" t="inlineStr">
        <is>
          <t>Single</t>
        </is>
      </c>
      <c r="F6" t="inlineStr">
        <is>
          <t>Low</t>
        </is>
      </c>
      <c r="G6" t="inlineStr">
        <is>
          <t>Line 10 (Non-SE) ↑</t>
        </is>
      </c>
      <c r="I6" t="inlineStr"/>
    </row>
    <row r="7">
      <c r="A7" t="inlineStr">
        <is>
          <t>STD-003</t>
        </is>
      </c>
      <c r="B7" t="inlineStr">
        <is>
          <t>Low Hanging Fruit</t>
        </is>
      </c>
      <c r="C7" t="inlineStr">
        <is>
          <t>Accountable Plan</t>
        </is>
      </c>
      <c r="D7" t="inlineStr">
        <is>
          <t>Reimburse business expenses tax-free</t>
        </is>
      </c>
      <c r="E7" t="inlineStr">
        <is>
          <t>Single</t>
        </is>
      </c>
      <c r="F7" t="inlineStr">
        <is>
          <t>Low</t>
        </is>
      </c>
      <c r="G7" t="inlineStr">
        <is>
          <t>Line 10 (Non-SE) ↑</t>
        </is>
      </c>
      <c r="I7" t="inlineStr"/>
    </row>
    <row r="8">
      <c r="A8" t="inlineStr">
        <is>
          <t>STD-004</t>
        </is>
      </c>
      <c r="B8" t="inlineStr">
        <is>
          <t>Low Hanging Fruit</t>
        </is>
      </c>
      <c r="C8" t="inlineStr">
        <is>
          <t>Employee Health/Fringe Benefits</t>
        </is>
      </c>
      <c r="D8" t="inlineStr">
        <is>
          <t>Health insurance and fringe benefits through business</t>
        </is>
      </c>
      <c r="E8" t="inlineStr">
        <is>
          <t>Single</t>
        </is>
      </c>
      <c r="F8" t="inlineStr">
        <is>
          <t>Low</t>
        </is>
      </c>
      <c r="G8" t="inlineStr">
        <is>
          <t>Line 10 (Non-SE) ↑</t>
        </is>
      </c>
      <c r="I8" t="inlineStr"/>
    </row>
    <row r="9">
      <c r="A9" t="inlineStr">
        <is>
          <t>STD-005</t>
        </is>
      </c>
      <c r="B9" t="inlineStr">
        <is>
          <t>Low Hanging Fruit</t>
        </is>
      </c>
      <c r="C9" t="inlineStr">
        <is>
          <t>Hiring Children</t>
        </is>
      </c>
      <c r="D9" t="inlineStr">
        <is>
          <t>Pay children for legitimate work in business</t>
        </is>
      </c>
      <c r="E9" t="inlineStr">
        <is>
          <t>Single</t>
        </is>
      </c>
      <c r="F9" t="inlineStr">
        <is>
          <t>Medium</t>
        </is>
      </c>
      <c r="G9" t="inlineStr">
        <is>
          <t>Line 10 (Non-SE) ↑, Line 1 ↑</t>
        </is>
      </c>
      <c r="I9" t="inlineStr"/>
    </row>
    <row r="10">
      <c r="A10" t="inlineStr">
        <is>
          <t>STD-006</t>
        </is>
      </c>
      <c r="B10" t="inlineStr">
        <is>
          <t>Low Hanging Fruit</t>
        </is>
      </c>
      <c r="C10" t="inlineStr">
        <is>
          <t>Income Timing</t>
        </is>
      </c>
      <c r="D10" t="inlineStr">
        <is>
          <t>Defer/accelerate income between tax years</t>
        </is>
      </c>
      <c r="E10" t="inlineStr">
        <is>
          <t>Single</t>
        </is>
      </c>
      <c r="F10" t="inlineStr">
        <is>
          <t>Low</t>
        </is>
      </c>
      <c r="G10" t="inlineStr">
        <is>
          <t>Various</t>
        </is>
      </c>
      <c r="I10" t="inlineStr"/>
    </row>
    <row r="11">
      <c r="A11" t="inlineStr">
        <is>
          <t>STD-007</t>
        </is>
      </c>
      <c r="B11" t="inlineStr">
        <is>
          <t>SE Tax</t>
        </is>
      </c>
      <c r="C11" t="inlineStr">
        <is>
          <t>Entity Restructure (S-Corp)</t>
        </is>
      </c>
      <c r="D11" t="inlineStr">
        <is>
          <t>Convert Schedule C to S-Corp for wage/distribution split</t>
        </is>
      </c>
      <c r="E11" t="inlineStr">
        <is>
          <t>Multi</t>
        </is>
      </c>
      <c r="F11" t="inlineStr">
        <is>
          <t>High</t>
        </is>
      </c>
      <c r="G11" t="inlineStr">
        <is>
          <t>Line 9 ↓, Line 10 ↑, Line 1 ↑</t>
        </is>
      </c>
      <c r="I11" t="inlineStr"/>
    </row>
    <row r="12">
      <c r="A12" t="inlineStr">
        <is>
          <t>STD-008</t>
        </is>
      </c>
      <c r="B12" t="inlineStr">
        <is>
          <t>SE Tax</t>
        </is>
      </c>
      <c r="C12" t="inlineStr">
        <is>
          <t>Wage Optimization</t>
        </is>
      </c>
      <c r="D12" t="inlineStr">
        <is>
          <t>Optimize S-Corp salary for SE tax vs QBI</t>
        </is>
      </c>
      <c r="E12" t="inlineStr">
        <is>
          <t>Multi</t>
        </is>
      </c>
      <c r="F12" t="inlineStr">
        <is>
          <t>Medium</t>
        </is>
      </c>
      <c r="G12" t="inlineStr">
        <is>
          <t>Line 1, Line 10</t>
        </is>
      </c>
      <c r="I12" t="inlineStr"/>
    </row>
    <row r="13">
      <c r="A13" t="inlineStr">
        <is>
          <t>STD-009</t>
        </is>
      </c>
      <c r="B13" t="inlineStr">
        <is>
          <t>Cap Gain</t>
        </is>
      </c>
      <c r="C13" t="inlineStr">
        <is>
          <t>1031 Exchange</t>
        </is>
      </c>
      <c r="D13" t="inlineStr">
        <is>
          <t>Defer gains on real estate sale</t>
        </is>
      </c>
      <c r="E13" t="inlineStr">
        <is>
          <t>Single</t>
        </is>
      </c>
      <c r="F13" t="inlineStr">
        <is>
          <t>High</t>
        </is>
      </c>
      <c r="G13" t="inlineStr">
        <is>
          <t>Line 7 (LTCG) ↓</t>
        </is>
      </c>
      <c r="I13" t="inlineStr"/>
    </row>
    <row r="14">
      <c r="A14" t="inlineStr">
        <is>
          <t>STD-010</t>
        </is>
      </c>
      <c r="B14" t="inlineStr">
        <is>
          <t>Cap Gain</t>
        </is>
      </c>
      <c r="C14" t="inlineStr">
        <is>
          <t>Opportunity Zone</t>
        </is>
      </c>
      <c r="D14" t="inlineStr">
        <is>
          <t>Invest gains in OZ for deferral/exclusion</t>
        </is>
      </c>
      <c r="E14" t="inlineStr">
        <is>
          <t>Single</t>
        </is>
      </c>
      <c r="F14" t="inlineStr">
        <is>
          <t>High</t>
        </is>
      </c>
      <c r="G14" t="inlineStr">
        <is>
          <t>Line 7 (LTCG) ↓</t>
        </is>
      </c>
      <c r="I14" t="inlineStr"/>
    </row>
    <row r="15">
      <c r="A15" t="inlineStr">
        <is>
          <t>STD-011</t>
        </is>
      </c>
      <c r="B15" t="inlineStr">
        <is>
          <t>Cap Gain</t>
        </is>
      </c>
      <c r="C15" t="inlineStr">
        <is>
          <t>Tax Loss Harvesting</t>
        </is>
      </c>
      <c r="D15" t="inlineStr">
        <is>
          <t>Sell losers to offset gains</t>
        </is>
      </c>
      <c r="E15" t="inlineStr">
        <is>
          <t>Single</t>
        </is>
      </c>
      <c r="F15" t="inlineStr">
        <is>
          <t>Medium</t>
        </is>
      </c>
      <c r="G15" t="inlineStr">
        <is>
          <t>Line 7 ↓</t>
        </is>
      </c>
      <c r="I15" t="inlineStr"/>
    </row>
    <row r="16">
      <c r="A16" t="inlineStr">
        <is>
          <t>STD-012</t>
        </is>
      </c>
      <c r="B16" t="inlineStr">
        <is>
          <t>CRE</t>
        </is>
      </c>
      <c r="C16" t="inlineStr">
        <is>
          <t>Cost Segregation</t>
        </is>
      </c>
      <c r="D16" t="inlineStr">
        <is>
          <t>Accelerate depreciation via cost seg study</t>
        </is>
      </c>
      <c r="E16" t="inlineStr">
        <is>
          <t>Single</t>
        </is>
      </c>
      <c r="F16" t="inlineStr">
        <is>
          <t>High</t>
        </is>
      </c>
      <c r="G16" t="inlineStr">
        <is>
          <t>Line 10 (Non-SE) ↓</t>
        </is>
      </c>
      <c r="I16" t="inlineStr"/>
    </row>
    <row r="17">
      <c r="A17" t="inlineStr">
        <is>
          <t>STD-013</t>
        </is>
      </c>
      <c r="B17" t="inlineStr">
        <is>
          <t>CRE</t>
        </is>
      </c>
      <c r="C17" t="inlineStr">
        <is>
          <t>RE Professional Election</t>
        </is>
      </c>
      <c r="D17" t="inlineStr">
        <is>
          <t>Convert passive to active for loss utilization</t>
        </is>
      </c>
      <c r="E17" t="inlineStr">
        <is>
          <t>Multi</t>
        </is>
      </c>
      <c r="F17" t="inlineStr">
        <is>
          <t>High</t>
        </is>
      </c>
      <c r="G17" t="inlineStr">
        <is>
          <t>Line 14 → Line 10</t>
        </is>
      </c>
      <c r="I17" t="inlineStr"/>
    </row>
    <row r="18">
      <c r="A18" t="inlineStr">
        <is>
          <t>STD-014</t>
        </is>
      </c>
      <c r="B18" t="inlineStr">
        <is>
          <t>CRE</t>
        </is>
      </c>
      <c r="C18" t="inlineStr">
        <is>
          <t>Section 179 Expensing</t>
        </is>
      </c>
      <c r="D18" t="inlineStr">
        <is>
          <t>Immediate expense vs depreciation</t>
        </is>
      </c>
      <c r="E18" t="inlineStr">
        <is>
          <t>Single</t>
        </is>
      </c>
      <c r="F18" t="inlineStr">
        <is>
          <t>Medium</t>
        </is>
      </c>
      <c r="G18" t="inlineStr">
        <is>
          <t>Line 10 (Non-SE) ↓</t>
        </is>
      </c>
      <c r="I18" t="inlineStr"/>
    </row>
    <row r="19">
      <c r="A19" t="inlineStr">
        <is>
          <t>ADV-001</t>
        </is>
      </c>
      <c r="B19" t="inlineStr">
        <is>
          <t>Advanced</t>
        </is>
      </c>
      <c r="C19" t="inlineStr">
        <is>
          <t>Cash Balance Plan</t>
        </is>
      </c>
      <c r="D19" t="inlineStr">
        <is>
          <t>Defined benefit plan for high earners</t>
        </is>
      </c>
      <c r="E19" t="inlineStr">
        <is>
          <t>Single</t>
        </is>
      </c>
      <c r="F19" t="inlineStr">
        <is>
          <t>High</t>
        </is>
      </c>
      <c r="G19" t="inlineStr">
        <is>
          <t>Line 10 (Non-SE) ↓</t>
        </is>
      </c>
      <c r="I19" t="inlineStr"/>
    </row>
    <row r="20">
      <c r="A20" t="inlineStr">
        <is>
          <t>ADV-002</t>
        </is>
      </c>
      <c r="B20" t="inlineStr">
        <is>
          <t>Advanced</t>
        </is>
      </c>
      <c r="C20" t="inlineStr">
        <is>
          <t>Charitable Strategies</t>
        </is>
      </c>
      <c r="D20" t="inlineStr">
        <is>
          <t>CRUT, CRAT, DAF for charitable deductions</t>
        </is>
      </c>
      <c r="E20" t="inlineStr">
        <is>
          <t>Single</t>
        </is>
      </c>
      <c r="F20" t="inlineStr">
        <is>
          <t>High</t>
        </is>
      </c>
      <c r="G20" t="inlineStr">
        <is>
          <t>Line 12 (Itemized) ↑</t>
        </is>
      </c>
      <c r="I20" t="inlineStr"/>
    </row>
    <row r="21">
      <c r="A21" t="inlineStr">
        <is>
          <t>ADV-003</t>
        </is>
      </c>
      <c r="B21" t="inlineStr">
        <is>
          <t>Advanced</t>
        </is>
      </c>
      <c r="C21" t="inlineStr">
        <is>
          <t>QBI Optimization</t>
        </is>
      </c>
      <c r="D21" t="inlineStr">
        <is>
          <t>Grouping and aggregation elections</t>
        </is>
      </c>
      <c r="E21" t="inlineStr">
        <is>
          <t>Computed</t>
        </is>
      </c>
      <c r="F21" t="inlineStr">
        <is>
          <t>High</t>
        </is>
      </c>
      <c r="G21" t="inlineStr">
        <is>
          <t>QBI Deduction</t>
        </is>
      </c>
      <c r="I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TAX SUMMARY — cross-year view, GROUPBY-driven from Master_Inputs</t>
        </is>
      </c>
    </row>
    <row r="2">
      <c r="A2" s="2" t="inlineStr">
        <is>
          <t>In real workbook, this uses Excel 365 GROUPBY/PIVOTBY to aggregate Master_Inputs by Year/Scenario/Bucket. Below shows the formula pattern.</t>
        </is>
      </c>
    </row>
    <row r="4">
      <c r="A4" s="3" t="inlineStr">
        <is>
          <t>PATTERN — GROUPBY example</t>
        </is>
      </c>
    </row>
    <row r="5">
      <c r="A5" s="9" t="inlineStr">
        <is>
          <t>Type into a cell on a 365 build:</t>
        </is>
      </c>
    </row>
    <row r="6">
      <c r="A6" s="10">
        <f>GROUPBY( tblMaster_Inputs[[TaxYear]:[Bucket]], tblMaster_Inputs[Baseline_Amount], SUM, 3, 0 )</f>
        <v/>
      </c>
    </row>
    <row r="8">
      <c r="A8" s="3" t="inlineStr">
        <is>
          <t>PATTERN — PIVOTBY example (rows × columns)</t>
        </is>
      </c>
    </row>
    <row r="9">
      <c r="A9" s="10">
        <f>PIVOTBY( tblMaster_Inputs[Bucket], tblMaster_Inputs[TaxYear], tblMaster_Inputs[Baseline_Amount], SUM, 3, 0, 2 )</f>
        <v/>
      </c>
    </row>
    <row r="11">
      <c r="A11" s="3" t="inlineStr">
        <is>
          <t>PATTERN — SUMIFS fallback (works on any Excel version)</t>
        </is>
      </c>
    </row>
    <row r="12">
      <c r="A12" s="10" t="inlineStr">
        <is>
          <t>Wages 2024 baseline = SUMIFS(tblMaster_Inputs[Baseline_Amount], tblMaster_Inputs[TaxYear], 2024, tblMaster_Inputs[Bucket], "Wages", tblMaster_Inputs[Source_Layer], "Baseline")</t>
        </is>
      </c>
    </row>
    <row r="14">
      <c r="A14" s="3" t="inlineStr">
        <is>
          <t>EXAMPLE CROSS-YEAR ROLLUP (using SUMIFS)</t>
        </is>
      </c>
    </row>
    <row r="15">
      <c r="A15" s="7" t="inlineStr">
        <is>
          <t>Bucket</t>
        </is>
      </c>
      <c r="B15" s="7" t="inlineStr">
        <is>
          <t>2023</t>
        </is>
      </c>
      <c r="C15" s="7" t="inlineStr">
        <is>
          <t>2024</t>
        </is>
      </c>
      <c r="D15" s="7" t="inlineStr">
        <is>
          <t>2025</t>
        </is>
      </c>
      <c r="E15" s="7" t="inlineStr">
        <is>
          <t>2026</t>
        </is>
      </c>
    </row>
    <row r="16">
      <c r="A16" t="inlineStr">
        <is>
          <t>Wages</t>
        </is>
      </c>
      <c r="B16">
        <f>SUMIFS(tblMaster_Inputs[Baseline_Amount], tblMaster_Inputs[TaxYear], 2023, tblMaster_Inputs[Bucket], A16, tblMaster_Inputs[Source_Layer], "Baseline")</f>
        <v/>
      </c>
      <c r="C16">
        <f>SUMIFS(tblMaster_Inputs[Baseline_Amount], tblMaster_Inputs[TaxYear], 2024, tblMaster_Inputs[Bucket], A16, tblMaster_Inputs[Source_Layer], "Baseline")</f>
        <v/>
      </c>
      <c r="D16">
        <f>SUMIFS(tblMaster_Inputs[Baseline_Amount], tblMaster_Inputs[TaxYear], 2025, tblMaster_Inputs[Bucket], A16, tblMaster_Inputs[Source_Layer], "Baseline")</f>
        <v/>
      </c>
      <c r="E16">
        <f>SUMIFS(tblMaster_Inputs[Baseline_Amount], tblMaster_Inputs[TaxYear], 2026, tblMaster_Inputs[Bucket], A16, tblMaster_Inputs[Source_Layer], "Baseline")</f>
        <v/>
      </c>
    </row>
    <row r="17">
      <c r="A17" t="inlineStr">
        <is>
          <t>Business Income</t>
        </is>
      </c>
      <c r="B17">
        <f>SUMIFS(tblMaster_Inputs[Baseline_Amount], tblMaster_Inputs[TaxYear], 2023, tblMaster_Inputs[Bucket], A17, tblMaster_Inputs[Source_Layer], "Baseline")</f>
        <v/>
      </c>
      <c r="C17">
        <f>SUMIFS(tblMaster_Inputs[Baseline_Amount], tblMaster_Inputs[TaxYear], 2024, tblMaster_Inputs[Bucket], A17, tblMaster_Inputs[Source_Layer], "Baseline")</f>
        <v/>
      </c>
      <c r="D17">
        <f>SUMIFS(tblMaster_Inputs[Baseline_Amount], tblMaster_Inputs[TaxYear], 2025, tblMaster_Inputs[Bucket], A17, tblMaster_Inputs[Source_Layer], "Baseline")</f>
        <v/>
      </c>
      <c r="E17">
        <f>SUMIFS(tblMaster_Inputs[Baseline_Amount], tblMaster_Inputs[TaxYear], 2026, tblMaster_Inputs[Bucket], A17, tblMaster_Inputs[Source_Layer], "Baseline")</f>
        <v/>
      </c>
    </row>
    <row r="18">
      <c r="A18" t="inlineStr">
        <is>
          <t>Investment Income</t>
        </is>
      </c>
      <c r="B18">
        <f>SUMIFS(tblMaster_Inputs[Baseline_Amount], tblMaster_Inputs[TaxYear], 2023, tblMaster_Inputs[Bucket], A18, tblMaster_Inputs[Source_Layer], "Baseline")</f>
        <v/>
      </c>
      <c r="C18">
        <f>SUMIFS(tblMaster_Inputs[Baseline_Amount], tblMaster_Inputs[TaxYear], 2024, tblMaster_Inputs[Bucket], A18, tblMaster_Inputs[Source_Layer], "Baseline")</f>
        <v/>
      </c>
      <c r="D18">
        <f>SUMIFS(tblMaster_Inputs[Baseline_Amount], tblMaster_Inputs[TaxYear], 2025, tblMaster_Inputs[Bucket], A18, tblMaster_Inputs[Source_Layer], "Baseline")</f>
        <v/>
      </c>
      <c r="E18">
        <f>SUMIFS(tblMaster_Inputs[Baseline_Amount], tblMaster_Inputs[TaxYear], 2026, tblMaster_Inputs[Bucket], A18, tblMaster_Inputs[Source_Layer], "Baseline")</f>
        <v/>
      </c>
    </row>
    <row r="19">
      <c r="A19" t="inlineStr">
        <is>
          <t>Capital Gains</t>
        </is>
      </c>
      <c r="B19">
        <f>SUMIFS(tblMaster_Inputs[Baseline_Amount], tblMaster_Inputs[TaxYear], 2023, tblMaster_Inputs[Bucket], A19, tblMaster_Inputs[Source_Layer], "Baseline")</f>
        <v/>
      </c>
      <c r="C19">
        <f>SUMIFS(tblMaster_Inputs[Baseline_Amount], tblMaster_Inputs[TaxYear], 2024, tblMaster_Inputs[Bucket], A19, tblMaster_Inputs[Source_Layer], "Baseline")</f>
        <v/>
      </c>
      <c r="D19">
        <f>SUMIFS(tblMaster_Inputs[Baseline_Amount], tblMaster_Inputs[TaxYear], 2025, tblMaster_Inputs[Bucket], A19, tblMaster_Inputs[Source_Layer], "Baseline")</f>
        <v/>
      </c>
      <c r="E19">
        <f>SUMIFS(tblMaster_Inputs[Baseline_Amount], tblMaster_Inputs[TaxYear], 2026, tblMaster_Inputs[Bucket], A19, tblMaster_Inputs[Source_Layer], "Baseline")</f>
        <v/>
      </c>
    </row>
    <row r="20">
      <c r="A20" t="inlineStr">
        <is>
          <t>Adjustment</t>
        </is>
      </c>
      <c r="B20">
        <f>SUMIFS(tblMaster_Inputs[Baseline_Amount], tblMaster_Inputs[TaxYear], 2023, tblMaster_Inputs[Bucket], A20, tblMaster_Inputs[Source_Layer], "Baseline")</f>
        <v/>
      </c>
      <c r="C20">
        <f>SUMIFS(tblMaster_Inputs[Baseline_Amount], tblMaster_Inputs[TaxYear], 2024, tblMaster_Inputs[Bucket], A20, tblMaster_Inputs[Source_Layer], "Baseline")</f>
        <v/>
      </c>
      <c r="D20">
        <f>SUMIFS(tblMaster_Inputs[Baseline_Amount], tblMaster_Inputs[TaxYear], 2025, tblMaster_Inputs[Bucket], A20, tblMaster_Inputs[Source_Layer], "Baseline")</f>
        <v/>
      </c>
      <c r="E20">
        <f>SUMIFS(tblMaster_Inputs[Baseline_Amount], tblMaster_Inputs[TaxYear], 2026, tblMaster_Inputs[Bucket], A20, tblMaster_Inputs[Source_Layer], "Baseline")</f>
        <v/>
      </c>
    </row>
    <row r="21">
      <c r="A21" t="inlineStr">
        <is>
          <t>Itemized</t>
        </is>
      </c>
      <c r="B21">
        <f>SUMIFS(tblMaster_Inputs[Baseline_Amount], tblMaster_Inputs[TaxYear], 2023, tblMaster_Inputs[Bucket], A21, tblMaster_Inputs[Source_Layer], "Baseline")</f>
        <v/>
      </c>
      <c r="C21">
        <f>SUMIFS(tblMaster_Inputs[Baseline_Amount], tblMaster_Inputs[TaxYear], 2024, tblMaster_Inputs[Bucket], A21, tblMaster_Inputs[Source_Layer], "Baseline")</f>
        <v/>
      </c>
      <c r="D21">
        <f>SUMIFS(tblMaster_Inputs[Baseline_Amount], tblMaster_Inputs[TaxYear], 2025, tblMaster_Inputs[Bucket], A21, tblMaster_Inputs[Source_Layer], "Baseline")</f>
        <v/>
      </c>
      <c r="E21">
        <f>SUMIFS(tblMaster_Inputs[Baseline_Amount], tblMaster_Inputs[TaxYear], 2026, tblMaster_Inputs[Bucket], A21, tblMaster_Inputs[Source_Layer], "Baseline")</f>
        <v/>
      </c>
    </row>
    <row r="22">
      <c r="A22" t="inlineStr">
        <is>
          <t>Credit</t>
        </is>
      </c>
      <c r="B22">
        <f>SUMIFS(tblMaster_Inputs[Baseline_Amount], tblMaster_Inputs[TaxYear], 2023, tblMaster_Inputs[Bucket], A22, tblMaster_Inputs[Source_Layer], "Baseline")</f>
        <v/>
      </c>
      <c r="C22">
        <f>SUMIFS(tblMaster_Inputs[Baseline_Amount], tblMaster_Inputs[TaxYear], 2024, tblMaster_Inputs[Bucket], A22, tblMaster_Inputs[Source_Layer], "Baseline")</f>
        <v/>
      </c>
      <c r="D22">
        <f>SUMIFS(tblMaster_Inputs[Baseline_Amount], tblMaster_Inputs[TaxYear], 2025, tblMaster_Inputs[Bucket], A22, tblMaster_Inputs[Source_Layer], "Baseline")</f>
        <v/>
      </c>
      <c r="E22">
        <f>SUMIFS(tblMaster_Inputs[Baseline_Amount], tblMaster_Inputs[TaxYear], 2026, tblMaster_Inputs[Bucket], A22, tblMaster_Inputs[Source_Layer], "Baseline")</f>
        <v/>
      </c>
    </row>
    <row r="23">
      <c r="A23" t="inlineStr">
        <is>
          <t>Payment</t>
        </is>
      </c>
      <c r="B23">
        <f>SUMIFS(tblMaster_Inputs[Baseline_Amount], tblMaster_Inputs[TaxYear], 2023, tblMaster_Inputs[Bucket], A23, tblMaster_Inputs[Source_Layer], "Baseline")</f>
        <v/>
      </c>
      <c r="C23">
        <f>SUMIFS(tblMaster_Inputs[Baseline_Amount], tblMaster_Inputs[TaxYear], 2024, tblMaster_Inputs[Bucket], A23, tblMaster_Inputs[Source_Layer], "Baseline")</f>
        <v/>
      </c>
      <c r="D23">
        <f>SUMIFS(tblMaster_Inputs[Baseline_Amount], tblMaster_Inputs[TaxYear], 2025, tblMaster_Inputs[Bucket], A23, tblMaster_Inputs[Source_Layer], "Baseline")</f>
        <v/>
      </c>
      <c r="E23">
        <f>SUMIFS(tblMaster_Inputs[Baseline_Amount], tblMaster_Inputs[TaxYear], 2026, tblMaster_Inputs[Bucket], A23, tblMaster_Inputs[Source_Layer], "Baseline")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8" customWidth="1" min="4" max="4"/>
    <col width="22" customWidth="1" min="5" max="5"/>
  </cols>
  <sheetData>
    <row r="1">
      <c r="A1" s="1" t="inlineStr">
        <is>
          <t>PBC CHECKLIST — auto-generated from Master_Inputs</t>
        </is>
      </c>
    </row>
    <row r="2">
      <c r="A2" s="2" t="inlineStr">
        <is>
          <t>Filtered to Source_Layer = "Baseline" and TaxYear = active. Real workbook uses GROUPBY; below shows the pattern.</t>
        </is>
      </c>
    </row>
    <row r="4">
      <c r="A4" s="3" t="inlineStr">
        <is>
          <t>GROUPBY pattern (Excel 365)</t>
        </is>
      </c>
    </row>
    <row r="5">
      <c r="A5" s="11">
        <f>GROUPBY( CHOOSECOLS(FILTER(tblMaster_Inputs, (tblMaster_Inputs[TaxYear]=TaxYear)*(tblMaster_Inputs[Source_Layer]="Baseline")), MATCH("Bucket",tblMaster_Inputs[#Headers],0), MATCH("Source_Type",tblMaster_Inputs[#Headers],0), MATCH("Payor",tblMaster_Inputs[#Headers],0), MATCH("Source_Document",tblMaster_Inputs[#Headers],0)), 1, COUNTA, 3, 0 )</f>
        <v/>
      </c>
    </row>
    <row r="7">
      <c r="A7" s="3" t="inlineStr">
        <is>
          <t>EXAMPLE OUTPUT</t>
        </is>
      </c>
    </row>
    <row r="8">
      <c r="A8" s="7" t="inlineStr">
        <is>
          <t>Received</t>
        </is>
      </c>
      <c r="B8" s="7" t="inlineStr">
        <is>
          <t>Bucket</t>
        </is>
      </c>
      <c r="C8" s="7" t="inlineStr">
        <is>
          <t>Source_Type</t>
        </is>
      </c>
      <c r="D8" s="7" t="inlineStr">
        <is>
          <t>Payor</t>
        </is>
      </c>
      <c r="E8" s="7" t="inlineStr">
        <is>
          <t>Source_Document</t>
        </is>
      </c>
    </row>
    <row r="9">
      <c r="A9" t="inlineStr">
        <is>
          <t>[ ]</t>
        </is>
      </c>
      <c r="B9" t="inlineStr">
        <is>
          <t>Wages</t>
        </is>
      </c>
      <c r="C9" t="inlineStr">
        <is>
          <t>W2 - Self Pay</t>
        </is>
      </c>
      <c r="D9" t="inlineStr">
        <is>
          <t>Acme S-Corp</t>
        </is>
      </c>
      <c r="E9" t="inlineStr">
        <is>
          <t>W-2</t>
        </is>
      </c>
    </row>
    <row r="10">
      <c r="A10" t="inlineStr">
        <is>
          <t>[ ]</t>
        </is>
      </c>
      <c r="B10" t="inlineStr">
        <is>
          <t>Business Income</t>
        </is>
      </c>
      <c r="C10" t="inlineStr">
        <is>
          <t>Partnership K-1</t>
        </is>
      </c>
      <c r="D10" t="inlineStr">
        <is>
          <t>Cedillo Partnership</t>
        </is>
      </c>
      <c r="E10" t="inlineStr">
        <is>
          <t>K-1 form</t>
        </is>
      </c>
    </row>
    <row r="11">
      <c r="A11" t="inlineStr">
        <is>
          <t>[ ]</t>
        </is>
      </c>
      <c r="B11" t="inlineStr">
        <is>
          <t>Investment Income</t>
        </is>
      </c>
      <c r="C11" t="inlineStr">
        <is>
          <t>Dividend</t>
        </is>
      </c>
      <c r="D11" t="inlineStr">
        <is>
          <t>Brokerage</t>
        </is>
      </c>
      <c r="E11" t="inlineStr">
        <is>
          <t>1099-DIV</t>
        </is>
      </c>
    </row>
    <row r="12">
      <c r="A12" t="inlineStr">
        <is>
          <t>[ ]</t>
        </is>
      </c>
      <c r="B12" t="inlineStr">
        <is>
          <t>Capital Gains</t>
        </is>
      </c>
      <c r="C12" t="inlineStr">
        <is>
          <t>Brokerage</t>
        </is>
      </c>
      <c r="D12" t="inlineStr">
        <is>
          <t>Brokerage</t>
        </is>
      </c>
      <c r="E12" t="inlineStr">
        <is>
          <t>1099-B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28" customWidth="1" min="4" max="4"/>
  </cols>
  <sheetData>
    <row r="1">
      <c r="A1" s="1" t="inlineStr">
        <is>
          <t>DASHBOARD EXPORT — stable named-range block for downstream consumers</t>
        </is>
      </c>
    </row>
    <row r="2">
      <c r="A2" s="2" t="inlineStr">
        <is>
          <t>Downstream dashboards (Jeff, leadership, Power BI) pull from these named ranges. Layout below is the CONTRACT — do not move cells.</t>
        </is>
      </c>
    </row>
    <row r="4">
      <c r="B4" s="12" t="inlineStr">
        <is>
          <t>METRIC</t>
        </is>
      </c>
      <c r="C4" s="12" t="inlineStr">
        <is>
          <t>VALUE</t>
        </is>
      </c>
      <c r="D4" s="12" t="inlineStr">
        <is>
          <t>NAMED RANGE</t>
        </is>
      </c>
    </row>
    <row r="5">
      <c r="B5" s="4" t="inlineStr">
        <is>
          <t>Active Tax Year</t>
        </is>
      </c>
      <c r="C5">
        <f>TaxYear</f>
        <v/>
      </c>
      <c r="D5" s="2" t="inlineStr">
        <is>
          <t>Dashboard_TaxYear</t>
        </is>
      </c>
    </row>
    <row r="6">
      <c r="B6" s="4" t="inlineStr">
        <is>
          <t>Filing Status</t>
        </is>
      </c>
      <c r="C6">
        <f>FilingStatus</f>
        <v/>
      </c>
      <c r="D6" s="2" t="inlineStr">
        <is>
          <t>Dashboard_FilingStatus</t>
        </is>
      </c>
    </row>
    <row r="7">
      <c r="B7" s="4" t="inlineStr">
        <is>
          <t>Total Income</t>
        </is>
      </c>
      <c r="C7">
        <f>SUMIFS(tblMaster_Inputs[Baseline_Amount], tblMaster_Inputs[TaxYear], TaxYear, tblMaster_Inputs[Source_Layer], "Baseline")</f>
        <v/>
      </c>
      <c r="D7" s="2" t="inlineStr">
        <is>
          <t>Dashboard_TotalIncome</t>
        </is>
      </c>
    </row>
    <row r="8">
      <c r="B8" s="4" t="inlineStr">
        <is>
          <t>AGI</t>
        </is>
      </c>
      <c r="C8">
        <f>Dashboard_TotalIncome - SUMIFS(tblMaster_Inputs[Baseline_Amount], tblMaster_Inputs[TaxYear], TaxYear, tblMaster_Inputs[Bucket], "Adjustment")</f>
        <v/>
      </c>
      <c r="D8" s="2" t="inlineStr">
        <is>
          <t>Dashboard_AGI</t>
        </is>
      </c>
    </row>
    <row r="9">
      <c r="B9" s="4" t="inlineStr">
        <is>
          <t>Std Deduction (lookup)</t>
        </is>
      </c>
      <c r="C9">
        <f>INDEX(Tax_Brackets!$B$25:$E$26, MATCH(TaxYear, Tax_Brackets!$A$25:$A$26, 0), MATCH(FilingStatus, {"Single","MFJ","MFS","HOH"}, 0))</f>
        <v/>
      </c>
      <c r="D9" s="2" t="inlineStr">
        <is>
          <t>Dashboard_StdDed</t>
        </is>
      </c>
    </row>
    <row r="10">
      <c r="B10" s="4" t="inlineStr">
        <is>
          <t>Taxable Income (est)</t>
        </is>
      </c>
      <c r="C10">
        <f>Dashboard_AGI - Dashboard_StdDed</f>
        <v/>
      </c>
      <c r="D10" s="2" t="inlineStr">
        <is>
          <t>Dashboard_TaxableIncome</t>
        </is>
      </c>
    </row>
    <row r="11">
      <c r="B11" s="4" t="inlineStr">
        <is>
          <t>Total Federal Tax</t>
        </is>
      </c>
      <c r="C11" t="inlineStr">
        <is>
          <t>placeholder — wire to year-sheet rollup in real workbook</t>
        </is>
      </c>
      <c r="D11" s="2" t="inlineStr">
        <is>
          <t>Dashboard_TotalFedTax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8" customWidth="1" min="4" max="4"/>
    <col width="16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40" customWidth="1" min="11" max="11"/>
  </cols>
  <sheetData>
    <row r="1">
      <c r="A1" s="1" t="inlineStr">
        <is>
          <t>PROJECTION HISTORY — snapshot archive and tie-out workpaper</t>
        </is>
      </c>
    </row>
    <row r="2">
      <c r="A2" s="2" t="inlineStr">
        <is>
          <t>Year-end rollover macro appends a row per line per scenario. Accuracy_Grade = how close the projection came to actual filed.</t>
        </is>
      </c>
    </row>
    <row r="4">
      <c r="A4" s="7" t="inlineStr">
        <is>
          <t>Year</t>
        </is>
      </c>
      <c r="B4" s="7" t="inlineStr">
        <is>
          <t>Scenario</t>
        </is>
      </c>
      <c r="C4" s="7" t="inlineStr">
        <is>
          <t>Line</t>
        </is>
      </c>
      <c r="D4" s="7" t="inlineStr">
        <is>
          <t>Description</t>
        </is>
      </c>
      <c r="E4" s="7" t="inlineStr">
        <is>
          <t>Projected (when made)</t>
        </is>
      </c>
      <c r="F4" s="7" t="inlineStr">
        <is>
          <t>Filed (actual)</t>
        </is>
      </c>
      <c r="G4" s="7" t="inlineStr">
        <is>
          <t>Variance $</t>
        </is>
      </c>
      <c r="H4" s="7" t="inlineStr">
        <is>
          <t>Variance %</t>
        </is>
      </c>
      <c r="I4" s="7" t="inlineStr">
        <is>
          <t>Accuracy Grade</t>
        </is>
      </c>
      <c r="J4" s="7" t="inlineStr">
        <is>
          <t>Snapshot Date</t>
        </is>
      </c>
      <c r="K4" s="7" t="inlineStr">
        <is>
          <t>Notes</t>
        </is>
      </c>
    </row>
    <row r="5">
      <c r="A5" t="n">
        <v>2023</v>
      </c>
      <c r="B5" t="inlineStr">
        <is>
          <t>AsFiled</t>
        </is>
      </c>
      <c r="C5" t="inlineStr">
        <is>
          <t>1z</t>
        </is>
      </c>
      <c r="D5" t="inlineStr">
        <is>
          <t>Wages</t>
        </is>
      </c>
      <c r="E5" t="n">
        <v>105000</v>
      </c>
      <c r="F5" t="n">
        <v>108500</v>
      </c>
      <c r="G5" t="n">
        <v>3500</v>
      </c>
      <c r="H5" t="n">
        <v>0.0333</v>
      </c>
      <c r="I5" t="inlineStr">
        <is>
          <t>A</t>
        </is>
      </c>
      <c r="J5" t="inlineStr">
        <is>
          <t>2024-04-15</t>
        </is>
      </c>
      <c r="K5" t="inlineStr">
        <is>
          <t>Minor variance</t>
        </is>
      </c>
    </row>
    <row r="6">
      <c r="A6" t="n">
        <v>2023</v>
      </c>
      <c r="B6" t="inlineStr">
        <is>
          <t>AsFiled</t>
        </is>
      </c>
      <c r="C6" t="inlineStr">
        <is>
          <t>2b</t>
        </is>
      </c>
      <c r="D6" t="inlineStr">
        <is>
          <t>Taxable interest</t>
        </is>
      </c>
      <c r="E6" t="n">
        <v>8500</v>
      </c>
      <c r="F6" t="n">
        <v>8200</v>
      </c>
      <c r="G6" t="n">
        <v>-300</v>
      </c>
      <c r="H6" t="n">
        <v>-0.0353</v>
      </c>
      <c r="I6" t="inlineStr">
        <is>
          <t>A</t>
        </is>
      </c>
      <c r="J6" t="inlineStr">
        <is>
          <t>2024-04-15</t>
        </is>
      </c>
      <c r="K6" t="inlineStr"/>
    </row>
    <row r="7">
      <c r="A7" t="n">
        <v>2024</v>
      </c>
      <c r="B7" t="inlineStr">
        <is>
          <t>S1 (Extension)</t>
        </is>
      </c>
      <c r="C7" t="inlineStr">
        <is>
          <t>1z</t>
        </is>
      </c>
      <c r="D7" t="inlineStr">
        <is>
          <t>Wages</t>
        </is>
      </c>
      <c r="E7" t="n">
        <v>112000</v>
      </c>
      <c r="J7" t="inlineStr">
        <is>
          <t>2024-04-15</t>
        </is>
      </c>
      <c r="K7" t="inlineStr">
        <is>
          <t>Projected at extension; actual not yet filed at snapshot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22" customWidth="1" min="6" max="6"/>
    <col width="45" customWidth="1" min="7" max="7"/>
  </cols>
  <sheetData>
    <row r="1">
      <c r="A1" s="1" t="inlineStr">
        <is>
          <t>TREATMENT PROFILE MAP</t>
        </is>
      </c>
    </row>
    <row r="2">
      <c r="A2" s="2" t="inlineStr">
        <is>
          <t>Selecting a Treatment_Profile auto-fills SE_Subject / NIIT_Class / QBI_Eligible / Char_Type. Real workbook uses Get_TreatmentDefault LAMBDA; here we expose the source table directly.</t>
        </is>
      </c>
    </row>
    <row r="4">
      <c r="A4" s="7" t="inlineStr">
        <is>
          <t>Profile</t>
        </is>
      </c>
      <c r="B4" s="7" t="inlineStr">
        <is>
          <t>SE_Subject</t>
        </is>
      </c>
      <c r="C4" s="7" t="inlineStr">
        <is>
          <t>NIIT_Class</t>
        </is>
      </c>
      <c r="D4" s="7" t="inlineStr">
        <is>
          <t>QBI_Eligible</t>
        </is>
      </c>
      <c r="E4" s="7" t="inlineStr">
        <is>
          <t>Char_Type</t>
        </is>
      </c>
      <c r="F4" s="7" t="inlineStr">
        <is>
          <t>Default_Bucket</t>
        </is>
      </c>
      <c r="G4" s="7" t="inlineStr">
        <is>
          <t>Notes</t>
        </is>
      </c>
    </row>
    <row r="5">
      <c r="A5" t="inlineStr">
        <is>
          <t>W2_Employee</t>
        </is>
      </c>
      <c r="B5" t="inlineStr">
        <is>
          <t>No</t>
        </is>
      </c>
      <c r="C5" t="inlineStr">
        <is>
          <t>Active</t>
        </is>
      </c>
      <c r="D5" t="inlineStr">
        <is>
          <t>No</t>
        </is>
      </c>
      <c r="E5" t="inlineStr">
        <is>
          <t>Ordinary</t>
        </is>
      </c>
      <c r="F5" t="inlineStr">
        <is>
          <t>Wages</t>
        </is>
      </c>
      <c r="G5" t="inlineStr">
        <is>
          <t>Standard W-2 wages</t>
        </is>
      </c>
    </row>
    <row r="6">
      <c r="A6" t="inlineStr">
        <is>
          <t>W2_SCorpOwner</t>
        </is>
      </c>
      <c r="B6" t="inlineStr">
        <is>
          <t>No</t>
        </is>
      </c>
      <c r="C6" t="inlineStr">
        <is>
          <t>Active</t>
        </is>
      </c>
      <c r="D6" t="inlineStr">
        <is>
          <t>No</t>
        </is>
      </c>
      <c r="E6" t="inlineStr">
        <is>
          <t>Ordinary</t>
        </is>
      </c>
      <c r="F6" t="inlineStr">
        <is>
          <t>Wages</t>
        </is>
      </c>
      <c r="G6" t="inlineStr">
        <is>
          <t>S-Corp owner reasonable comp on W-2</t>
        </is>
      </c>
    </row>
    <row r="7">
      <c r="A7" t="inlineStr">
        <is>
          <t>K1_SCorp_Active</t>
        </is>
      </c>
      <c r="B7" t="inlineStr">
        <is>
          <t>No</t>
        </is>
      </c>
      <c r="C7" t="inlineStr">
        <is>
          <t>Active</t>
        </is>
      </c>
      <c r="D7" t="inlineStr">
        <is>
          <t>Yes</t>
        </is>
      </c>
      <c r="E7" t="inlineStr">
        <is>
          <t>Ordinary</t>
        </is>
      </c>
      <c r="F7" t="inlineStr">
        <is>
          <t>Business Income</t>
        </is>
      </c>
      <c r="G7" t="inlineStr">
        <is>
          <t>Active S-Corp K-1 box 1</t>
        </is>
      </c>
    </row>
    <row r="8">
      <c r="A8" t="inlineStr">
        <is>
          <t>K1_SCorp_Passive</t>
        </is>
      </c>
      <c r="B8" t="inlineStr">
        <is>
          <t>No</t>
        </is>
      </c>
      <c r="C8" t="inlineStr">
        <is>
          <t>Passive</t>
        </is>
      </c>
      <c r="D8" t="inlineStr">
        <is>
          <t>Yes</t>
        </is>
      </c>
      <c r="E8" t="inlineStr">
        <is>
          <t>Ordinary</t>
        </is>
      </c>
      <c r="F8" t="inlineStr">
        <is>
          <t>Business Income</t>
        </is>
      </c>
      <c r="G8" t="inlineStr">
        <is>
          <t>Passive S-Corp K-1 (rare)</t>
        </is>
      </c>
    </row>
    <row r="9">
      <c r="A9" t="inlineStr">
        <is>
          <t>K1_PTP_Active</t>
        </is>
      </c>
      <c r="B9" t="inlineStr">
        <is>
          <t>Yes</t>
        </is>
      </c>
      <c r="C9" t="inlineStr">
        <is>
          <t>Active</t>
        </is>
      </c>
      <c r="D9" t="inlineStr">
        <is>
          <t>Yes</t>
        </is>
      </c>
      <c r="E9" t="inlineStr">
        <is>
          <t>Ordinary</t>
        </is>
      </c>
      <c r="F9" t="inlineStr">
        <is>
          <t>Business Income</t>
        </is>
      </c>
      <c r="G9" t="inlineStr">
        <is>
          <t>Active partnership K-1 (SE subject)</t>
        </is>
      </c>
    </row>
    <row r="10">
      <c r="A10" t="inlineStr">
        <is>
          <t>K1_PTP_Passive</t>
        </is>
      </c>
      <c r="B10" t="inlineStr">
        <is>
          <t>No</t>
        </is>
      </c>
      <c r="C10" t="inlineStr">
        <is>
          <t>Passive</t>
        </is>
      </c>
      <c r="D10" t="inlineStr">
        <is>
          <t>Yes</t>
        </is>
      </c>
      <c r="E10" t="inlineStr">
        <is>
          <t>Ordinary</t>
        </is>
      </c>
      <c r="F10" t="inlineStr">
        <is>
          <t>Business Income</t>
        </is>
      </c>
      <c r="G10" t="inlineStr">
        <is>
          <t>Passive partnership K-1</t>
        </is>
      </c>
    </row>
    <row r="11">
      <c r="A11" t="inlineStr">
        <is>
          <t>SchC_Active</t>
        </is>
      </c>
      <c r="B11" t="inlineStr">
        <is>
          <t>Yes</t>
        </is>
      </c>
      <c r="C11" t="inlineStr">
        <is>
          <t>Active</t>
        </is>
      </c>
      <c r="D11" t="inlineStr">
        <is>
          <t>Yes</t>
        </is>
      </c>
      <c r="E11" t="inlineStr">
        <is>
          <t>Ordinary</t>
        </is>
      </c>
      <c r="F11" t="inlineStr">
        <is>
          <t>Business Income</t>
        </is>
      </c>
      <c r="G11" t="inlineStr">
        <is>
          <t>Sole prop active SE</t>
        </is>
      </c>
    </row>
    <row r="12">
      <c r="A12" t="inlineStr">
        <is>
          <t>SchE_Rental</t>
        </is>
      </c>
      <c r="B12" t="inlineStr">
        <is>
          <t>No</t>
        </is>
      </c>
      <c r="C12" t="inlineStr">
        <is>
          <t>Passive</t>
        </is>
      </c>
      <c r="D12" t="inlineStr">
        <is>
          <t>No</t>
        </is>
      </c>
      <c r="E12" t="inlineStr">
        <is>
          <t>Ordinary</t>
        </is>
      </c>
      <c r="F12" t="inlineStr">
        <is>
          <t>Business Income</t>
        </is>
      </c>
      <c r="G12" t="inlineStr">
        <is>
          <t>Rental real estate default passive</t>
        </is>
      </c>
    </row>
    <row r="13">
      <c r="A13" t="inlineStr">
        <is>
          <t>Trust_K1</t>
        </is>
      </c>
      <c r="B13" t="inlineStr">
        <is>
          <t>No</t>
        </is>
      </c>
      <c r="C13" t="inlineStr">
        <is>
          <t>Portfolio</t>
        </is>
      </c>
      <c r="D13" t="inlineStr">
        <is>
          <t>No</t>
        </is>
      </c>
      <c r="E13" t="inlineStr">
        <is>
          <t>Ordinary</t>
        </is>
      </c>
      <c r="F13" t="inlineStr">
        <is>
          <t>Business Income</t>
        </is>
      </c>
      <c r="G13" t="inlineStr">
        <is>
          <t>Trust K-1</t>
        </is>
      </c>
    </row>
    <row r="14">
      <c r="A14" t="inlineStr">
        <is>
          <t>Int_Taxable</t>
        </is>
      </c>
      <c r="B14" t="inlineStr">
        <is>
          <t>No</t>
        </is>
      </c>
      <c r="C14" t="inlineStr">
        <is>
          <t>Portfolio</t>
        </is>
      </c>
      <c r="D14" t="inlineStr">
        <is>
          <t>No</t>
        </is>
      </c>
      <c r="E14" t="inlineStr">
        <is>
          <t>Ordinary</t>
        </is>
      </c>
      <c r="F14" t="inlineStr">
        <is>
          <t>Investment Income</t>
        </is>
      </c>
      <c r="G14" t="inlineStr">
        <is>
          <t>Taxable interest income</t>
        </is>
      </c>
    </row>
    <row r="15">
      <c r="A15" t="inlineStr">
        <is>
          <t>Int_Exempt</t>
        </is>
      </c>
      <c r="B15" t="inlineStr">
        <is>
          <t>No</t>
        </is>
      </c>
      <c r="C15" t="inlineStr">
        <is>
          <t>N/A</t>
        </is>
      </c>
      <c r="D15" t="inlineStr">
        <is>
          <t>No</t>
        </is>
      </c>
      <c r="E15" t="inlineStr">
        <is>
          <t>Ordinary</t>
        </is>
      </c>
      <c r="F15" t="inlineStr">
        <is>
          <t>Investment Income</t>
        </is>
      </c>
      <c r="G15" t="inlineStr">
        <is>
          <t>Tax-exempt interest</t>
        </is>
      </c>
    </row>
    <row r="16">
      <c r="A16" t="inlineStr">
        <is>
          <t>Div_Qualified</t>
        </is>
      </c>
      <c r="B16" t="inlineStr">
        <is>
          <t>No</t>
        </is>
      </c>
      <c r="C16" t="inlineStr">
        <is>
          <t>Portfolio</t>
        </is>
      </c>
      <c r="D16" t="inlineStr">
        <is>
          <t>No</t>
        </is>
      </c>
      <c r="E16" t="inlineStr">
        <is>
          <t>QD/NonQD</t>
        </is>
      </c>
      <c r="F16" t="inlineStr">
        <is>
          <t>Investment Income</t>
        </is>
      </c>
      <c r="G16" t="inlineStr">
        <is>
          <t>Qualified dividends</t>
        </is>
      </c>
    </row>
    <row r="17">
      <c r="A17" t="inlineStr">
        <is>
          <t>Div_Ordinary</t>
        </is>
      </c>
      <c r="B17" t="inlineStr">
        <is>
          <t>No</t>
        </is>
      </c>
      <c r="C17" t="inlineStr">
        <is>
          <t>Portfolio</t>
        </is>
      </c>
      <c r="D17" t="inlineStr">
        <is>
          <t>No</t>
        </is>
      </c>
      <c r="E17" t="inlineStr">
        <is>
          <t>QD/NonQD</t>
        </is>
      </c>
      <c r="F17" t="inlineStr">
        <is>
          <t>Investment Income</t>
        </is>
      </c>
      <c r="G17" t="inlineStr">
        <is>
          <t>Ordinary (non-qualified) dividends</t>
        </is>
      </c>
    </row>
    <row r="18">
      <c r="A18" t="inlineStr">
        <is>
          <t>LTCG_Stock</t>
        </is>
      </c>
      <c r="B18" t="inlineStr">
        <is>
          <t>No</t>
        </is>
      </c>
      <c r="C18" t="inlineStr">
        <is>
          <t>Portfolio</t>
        </is>
      </c>
      <c r="D18" t="inlineStr">
        <is>
          <t>No</t>
        </is>
      </c>
      <c r="E18" t="inlineStr">
        <is>
          <t>LTCG/STCG</t>
        </is>
      </c>
      <c r="F18" t="inlineStr">
        <is>
          <t>Capital Gains</t>
        </is>
      </c>
      <c r="G18" t="inlineStr">
        <is>
          <t>Long-term capital gains, equities</t>
        </is>
      </c>
    </row>
    <row r="19">
      <c r="A19" t="inlineStr">
        <is>
          <t>STCG_Stock</t>
        </is>
      </c>
      <c r="B19" t="inlineStr">
        <is>
          <t>No</t>
        </is>
      </c>
      <c r="C19" t="inlineStr">
        <is>
          <t>Portfolio</t>
        </is>
      </c>
      <c r="D19" t="inlineStr">
        <is>
          <t>No</t>
        </is>
      </c>
      <c r="E19" t="inlineStr">
        <is>
          <t>LTCG/STCG</t>
        </is>
      </c>
      <c r="F19" t="inlineStr">
        <is>
          <t>Capital Gains</t>
        </is>
      </c>
      <c r="G19" t="inlineStr">
        <is>
          <t>Short-term capital gains</t>
        </is>
      </c>
    </row>
    <row r="20">
      <c r="A20" t="inlineStr">
        <is>
          <t>LTCG_RE</t>
        </is>
      </c>
      <c r="B20" t="inlineStr">
        <is>
          <t>No</t>
        </is>
      </c>
      <c r="C20" t="inlineStr">
        <is>
          <t>Passive</t>
        </is>
      </c>
      <c r="D20" t="inlineStr">
        <is>
          <t>No</t>
        </is>
      </c>
      <c r="E20" t="inlineStr">
        <is>
          <t>LTCG/STCG</t>
        </is>
      </c>
      <c r="F20" t="inlineStr">
        <is>
          <t>Capital Gains</t>
        </is>
      </c>
      <c r="G20" t="inlineStr">
        <is>
          <t>Long-term cap gain on real estate</t>
        </is>
      </c>
    </row>
    <row r="21">
      <c r="A21" t="inlineStr">
        <is>
          <t>Sec1250_Recap</t>
        </is>
      </c>
      <c r="B21" t="inlineStr">
        <is>
          <t>No</t>
        </is>
      </c>
      <c r="C21" t="inlineStr">
        <is>
          <t>Passive</t>
        </is>
      </c>
      <c r="D21" t="inlineStr">
        <is>
          <t>No</t>
        </is>
      </c>
      <c r="E21" t="inlineStr">
        <is>
          <t>LTCG/1250</t>
        </is>
      </c>
      <c r="F21" t="inlineStr">
        <is>
          <t>Capital Gains</t>
        </is>
      </c>
      <c r="G21" t="inlineStr">
        <is>
          <t>Unrecaptured §1250 gain</t>
        </is>
      </c>
    </row>
    <row r="22">
      <c r="A22" t="inlineStr">
        <is>
          <t>Adjustment_Generic</t>
        </is>
      </c>
      <c r="B22" t="inlineStr">
        <is>
          <t>No</t>
        </is>
      </c>
      <c r="C22" t="inlineStr">
        <is>
          <t>N/A</t>
        </is>
      </c>
      <c r="D22" t="inlineStr">
        <is>
          <t>No</t>
        </is>
      </c>
      <c r="E22" t="inlineStr">
        <is>
          <t>Deduction</t>
        </is>
      </c>
      <c r="F22" t="inlineStr">
        <is>
          <t>Adjustment</t>
        </is>
      </c>
      <c r="G22" t="inlineStr">
        <is>
          <t>Generic adjustment (HSA, IRA, etc.)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3" customWidth="1" min="4" max="4"/>
    <col width="22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TAX BRACKETS &amp; CONSTANTS — 2024 &amp; 2025</t>
        </is>
      </c>
    </row>
    <row r="3">
      <c r="A3" s="3" t="inlineStr">
        <is>
          <t>2025 ORDINARY — Single</t>
        </is>
      </c>
      <c r="G3" s="3" t="inlineStr">
        <is>
          <t>2025 ORDINARY — MFJ</t>
        </is>
      </c>
    </row>
    <row r="4">
      <c r="A4" s="7" t="inlineStr">
        <is>
          <t>Rate</t>
        </is>
      </c>
      <c r="B4" s="7" t="inlineStr">
        <is>
          <t>Low</t>
        </is>
      </c>
      <c r="C4" s="7" t="inlineStr">
        <is>
          <t>High</t>
        </is>
      </c>
      <c r="G4" s="7" t="inlineStr">
        <is>
          <t>Rate</t>
        </is>
      </c>
      <c r="H4" s="7" t="inlineStr">
        <is>
          <t>Low</t>
        </is>
      </c>
      <c r="I4" s="7" t="inlineStr">
        <is>
          <t>High</t>
        </is>
      </c>
    </row>
    <row r="5">
      <c r="A5" s="13" t="n">
        <v>0.1</v>
      </c>
      <c r="B5" t="n">
        <v>0</v>
      </c>
      <c r="C5" t="n">
        <v>11925</v>
      </c>
      <c r="G5" s="13" t="n">
        <v>0.1</v>
      </c>
      <c r="H5" t="n">
        <v>0</v>
      </c>
      <c r="I5" t="n">
        <v>23850</v>
      </c>
    </row>
    <row r="6">
      <c r="A6" s="13" t="n">
        <v>0.12</v>
      </c>
      <c r="B6" t="n">
        <v>11925</v>
      </c>
      <c r="C6" t="n">
        <v>48475</v>
      </c>
      <c r="G6" s="13" t="n">
        <v>0.12</v>
      </c>
      <c r="H6" t="n">
        <v>23850</v>
      </c>
      <c r="I6" t="n">
        <v>96950</v>
      </c>
    </row>
    <row r="7">
      <c r="A7" s="13" t="n">
        <v>0.22</v>
      </c>
      <c r="B7" t="n">
        <v>48475</v>
      </c>
      <c r="C7" t="n">
        <v>103350</v>
      </c>
      <c r="G7" s="13" t="n">
        <v>0.22</v>
      </c>
      <c r="H7" t="n">
        <v>96950</v>
      </c>
      <c r="I7" t="n">
        <v>206700</v>
      </c>
    </row>
    <row r="8">
      <c r="A8" s="13" t="n">
        <v>0.24</v>
      </c>
      <c r="B8" t="n">
        <v>103350</v>
      </c>
      <c r="C8" t="n">
        <v>197300</v>
      </c>
      <c r="G8" s="13" t="n">
        <v>0.24</v>
      </c>
      <c r="H8" t="n">
        <v>206700</v>
      </c>
      <c r="I8" t="n">
        <v>394600</v>
      </c>
    </row>
    <row r="9">
      <c r="A9" s="13" t="n">
        <v>0.32</v>
      </c>
      <c r="B9" t="n">
        <v>197300</v>
      </c>
      <c r="C9" t="n">
        <v>250525</v>
      </c>
      <c r="G9" s="13" t="n">
        <v>0.32</v>
      </c>
      <c r="H9" t="n">
        <v>394600</v>
      </c>
      <c r="I9" t="n">
        <v>501050</v>
      </c>
    </row>
    <row r="10">
      <c r="A10" s="13" t="n">
        <v>0.35</v>
      </c>
      <c r="B10" t="n">
        <v>250525</v>
      </c>
      <c r="C10" t="n">
        <v>626350</v>
      </c>
      <c r="G10" s="13" t="n">
        <v>0.35</v>
      </c>
      <c r="H10" t="n">
        <v>501050</v>
      </c>
      <c r="I10" t="n">
        <v>751600</v>
      </c>
    </row>
    <row r="11">
      <c r="A11" s="13" t="n">
        <v>0.37</v>
      </c>
      <c r="B11" t="n">
        <v>626350</v>
      </c>
      <c r="C11" t="n">
        <v>99999999</v>
      </c>
      <c r="G11" s="13" t="n">
        <v>0.37</v>
      </c>
      <c r="H11" t="n">
        <v>751600</v>
      </c>
      <c r="I11" t="n">
        <v>99999999</v>
      </c>
    </row>
    <row r="16">
      <c r="A16" s="3" t="inlineStr">
        <is>
          <t>2025 LTCG — Single</t>
        </is>
      </c>
      <c r="E16" s="3" t="inlineStr">
        <is>
          <t>2025 LTCG — MFJ</t>
        </is>
      </c>
    </row>
    <row r="17">
      <c r="A17" s="7" t="inlineStr">
        <is>
          <t>Rate</t>
        </is>
      </c>
      <c r="B17" s="7" t="inlineStr">
        <is>
          <t>Low</t>
        </is>
      </c>
      <c r="C17" s="7" t="inlineStr">
        <is>
          <t>High</t>
        </is>
      </c>
      <c r="E17" s="7" t="inlineStr">
        <is>
          <t>Rate</t>
        </is>
      </c>
      <c r="F17" s="7" t="inlineStr">
        <is>
          <t>Low</t>
        </is>
      </c>
      <c r="G17" s="7" t="inlineStr">
        <is>
          <t>High</t>
        </is>
      </c>
    </row>
    <row r="18">
      <c r="A18" s="13" t="n">
        <v>0</v>
      </c>
      <c r="B18" t="n">
        <v>0</v>
      </c>
      <c r="C18" t="n">
        <v>48350</v>
      </c>
      <c r="E18" s="13" t="n">
        <v>0</v>
      </c>
      <c r="F18" t="n">
        <v>0</v>
      </c>
      <c r="G18" t="n">
        <v>96700</v>
      </c>
    </row>
    <row r="19">
      <c r="A19" s="13" t="n">
        <v>0.15</v>
      </c>
      <c r="B19" t="n">
        <v>48350</v>
      </c>
      <c r="C19" t="n">
        <v>533400</v>
      </c>
      <c r="E19" s="13" t="n">
        <v>0.15</v>
      </c>
      <c r="F19" t="n">
        <v>96700</v>
      </c>
      <c r="G19" t="n">
        <v>600050</v>
      </c>
    </row>
    <row r="20">
      <c r="A20" s="13" t="n">
        <v>0.2</v>
      </c>
      <c r="B20" t="n">
        <v>533400</v>
      </c>
      <c r="C20" t="n">
        <v>99999999</v>
      </c>
      <c r="E20" s="13" t="n">
        <v>0.2</v>
      </c>
      <c r="F20" t="n">
        <v>600050</v>
      </c>
      <c r="G20" t="n">
        <v>99999999</v>
      </c>
    </row>
    <row r="23">
      <c r="A23" s="3" t="inlineStr">
        <is>
          <t>STANDARD DEDUCTIONS</t>
        </is>
      </c>
    </row>
    <row r="24">
      <c r="A24" s="7" t="inlineStr">
        <is>
          <t>Year</t>
        </is>
      </c>
      <c r="B24" s="7" t="inlineStr">
        <is>
          <t>Single</t>
        </is>
      </c>
      <c r="C24" s="7" t="inlineStr">
        <is>
          <t>MFJ</t>
        </is>
      </c>
      <c r="D24" s="7" t="inlineStr">
        <is>
          <t>MFS</t>
        </is>
      </c>
      <c r="E24" s="7" t="inlineStr">
        <is>
          <t>HOH</t>
        </is>
      </c>
    </row>
    <row r="25">
      <c r="A25" t="n">
        <v>2024</v>
      </c>
      <c r="B25" t="n">
        <v>14600</v>
      </c>
      <c r="C25" t="n">
        <v>29200</v>
      </c>
      <c r="D25" t="n">
        <v>14600</v>
      </c>
      <c r="E25" t="n">
        <v>21900</v>
      </c>
    </row>
    <row r="26">
      <c r="A26" t="n">
        <v>2025</v>
      </c>
      <c r="B26" t="n">
        <v>15000</v>
      </c>
      <c r="C26" t="n">
        <v>30000</v>
      </c>
      <c r="D26" t="n">
        <v>15000</v>
      </c>
      <c r="E26" t="n">
        <v>22500</v>
      </c>
    </row>
    <row r="29">
      <c r="A29" s="3" t="inlineStr">
        <is>
          <t>NIIT / SE / FICA CONSTANTS (2025)</t>
        </is>
      </c>
    </row>
    <row r="30">
      <c r="A30" s="4" t="inlineStr">
        <is>
          <t>NIIT_THRESH_MFJ</t>
        </is>
      </c>
      <c r="B30" t="n">
        <v>250000</v>
      </c>
      <c r="C30" s="2" t="inlineStr">
        <is>
          <t>NIIT $250K threshold (MFJ)</t>
        </is>
      </c>
    </row>
    <row r="31">
      <c r="A31" s="4" t="inlineStr">
        <is>
          <t>NIIT_THRESH_S</t>
        </is>
      </c>
      <c r="B31" t="n">
        <v>200000</v>
      </c>
      <c r="C31" s="2" t="inlineStr">
        <is>
          <t>NIIT $200K threshold (Single/HOH)</t>
        </is>
      </c>
    </row>
    <row r="32">
      <c r="A32" s="4" t="inlineStr">
        <is>
          <t>NIIT_THRESH_MFS</t>
        </is>
      </c>
      <c r="B32" t="n">
        <v>125000</v>
      </c>
      <c r="C32" s="2" t="inlineStr">
        <is>
          <t>NIIT $125K threshold (MFS)</t>
        </is>
      </c>
    </row>
    <row r="33">
      <c r="A33" s="4" t="inlineStr">
        <is>
          <t>NIIT_RATE</t>
        </is>
      </c>
      <c r="B33" t="n">
        <v>0.038</v>
      </c>
      <c r="C33" s="2" t="inlineStr">
        <is>
          <t>3.8% NIIT rate</t>
        </is>
      </c>
    </row>
    <row r="34">
      <c r="A34" s="4" t="inlineStr">
        <is>
          <t>SS_WAGE_BASE_2025</t>
        </is>
      </c>
      <c r="B34" t="n">
        <v>176100</v>
      </c>
      <c r="C34" s="2" t="inlineStr">
        <is>
          <t>Social Security wage base 2025</t>
        </is>
      </c>
    </row>
    <row r="35">
      <c r="A35" s="4" t="inlineStr">
        <is>
          <t>SE_BASE_MULT</t>
        </is>
      </c>
      <c r="B35" t="n">
        <v>0.9235</v>
      </c>
      <c r="C35" s="2" t="inlineStr">
        <is>
          <t>SE base multiplier (92.35%)</t>
        </is>
      </c>
    </row>
    <row r="36">
      <c r="A36" s="4" t="inlineStr">
        <is>
          <t>SE_SS_RATE</t>
        </is>
      </c>
      <c r="B36" t="n">
        <v>0.124</v>
      </c>
      <c r="C36" s="2" t="inlineStr">
        <is>
          <t>SE SS rate (12.4%)</t>
        </is>
      </c>
    </row>
    <row r="37">
      <c r="A37" s="4" t="inlineStr">
        <is>
          <t>SE_MED_RATE</t>
        </is>
      </c>
      <c r="B37" t="n">
        <v>0.029</v>
      </c>
      <c r="C37" s="2" t="inlineStr">
        <is>
          <t>SE Medicare rate (2.9%)</t>
        </is>
      </c>
    </row>
    <row r="38">
      <c r="A38" s="4" t="inlineStr">
        <is>
          <t>ADDL_MED_RATE</t>
        </is>
      </c>
      <c r="B38" t="n">
        <v>0.008999999999999999</v>
      </c>
      <c r="C38" s="2" t="inlineStr">
        <is>
          <t>Additional Medicare tax 0.9%</t>
        </is>
      </c>
    </row>
    <row r="39">
      <c r="A39" s="4" t="inlineStr">
        <is>
          <t>ADDL_MED_THRESH_MFJ</t>
        </is>
      </c>
      <c r="B39" t="n">
        <v>250000</v>
      </c>
      <c r="C39" s="2" t="inlineStr">
        <is>
          <t>Addl Medicare threshold MFJ</t>
        </is>
      </c>
    </row>
    <row r="40">
      <c r="A40" s="4" t="inlineStr">
        <is>
          <t>ADDL_MED_THRESH_S</t>
        </is>
      </c>
      <c r="B40" t="n">
        <v>200000</v>
      </c>
      <c r="C40" s="2" t="inlineStr">
        <is>
          <t>Addl Medicare threshold Single</t>
        </is>
      </c>
    </row>
    <row r="41">
      <c r="A41" s="4" t="inlineStr">
        <is>
          <t>EBL_LIMIT_MFJ</t>
        </is>
      </c>
      <c r="B41" t="n">
        <v>626000</v>
      </c>
      <c r="C41" s="2" t="inlineStr">
        <is>
          <t>Excess Business Loss limit MFJ 2025</t>
        </is>
      </c>
    </row>
    <row r="42">
      <c r="A42" s="4" t="inlineStr">
        <is>
          <t>EBL_LIMIT_S</t>
        </is>
      </c>
      <c r="B42" t="n">
        <v>313000</v>
      </c>
      <c r="C42" s="2" t="inlineStr">
        <is>
          <t>Excess Business Loss limit Single 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4" customWidth="1" min="4" max="4"/>
    <col width="18" customWidth="1" min="5" max="5"/>
  </cols>
  <sheetData>
    <row r="1">
      <c r="A1" s="1" t="inlineStr">
        <is>
          <t>TAX LINE MAP — Bucket + Input_Type → 1040 line + helper treatment</t>
        </is>
      </c>
    </row>
    <row r="3">
      <c r="A3" s="7" t="inlineStr">
        <is>
          <t>Bucket</t>
        </is>
      </c>
      <c r="B3" s="7" t="inlineStr">
        <is>
          <t>Input_Type</t>
        </is>
      </c>
      <c r="C3" s="7" t="inlineStr">
        <is>
          <t>Consider_Prompt</t>
        </is>
      </c>
      <c r="D3" s="7" t="inlineStr">
        <is>
          <t>Primary_Line</t>
        </is>
      </c>
      <c r="E3" s="7" t="inlineStr">
        <is>
          <t>Helper_Treatment</t>
        </is>
      </c>
    </row>
    <row r="4">
      <c r="A4" t="inlineStr">
        <is>
          <t>Wages</t>
        </is>
      </c>
      <c r="B4" t="inlineStr">
        <is>
          <t>W-2</t>
        </is>
      </c>
      <c r="C4" t="inlineStr">
        <is>
          <t>owner pay portion (S-corp owner)?</t>
        </is>
      </c>
      <c r="D4" t="inlineStr">
        <is>
          <t>1z</t>
        </is>
      </c>
      <c r="E4" t="inlineStr">
        <is>
          <t>OWNER_PAY</t>
        </is>
      </c>
    </row>
    <row r="5">
      <c r="A5" t="inlineStr">
        <is>
          <t>Wages</t>
        </is>
      </c>
      <c r="B5" t="inlineStr">
        <is>
          <t>W2 - Self Pay</t>
        </is>
      </c>
      <c r="C5" t="inlineStr">
        <is>
          <t>owner pay portion (S-corp owner)?</t>
        </is>
      </c>
      <c r="D5" t="inlineStr">
        <is>
          <t>1z</t>
        </is>
      </c>
      <c r="E5" t="inlineStr">
        <is>
          <t>OWNER_PAY</t>
        </is>
      </c>
    </row>
    <row r="6">
      <c r="A6" t="inlineStr">
        <is>
          <t>Wages</t>
        </is>
      </c>
      <c r="B6" t="inlineStr">
        <is>
          <t>W2 - 3rd Party</t>
        </is>
      </c>
      <c r="C6" t="inlineStr">
        <is>
          <t>(n/a)</t>
        </is>
      </c>
      <c r="D6" t="inlineStr">
        <is>
          <t>1z</t>
        </is>
      </c>
      <c r="E6" t="inlineStr">
        <is>
          <t>NONE</t>
        </is>
      </c>
    </row>
    <row r="7">
      <c r="A7" t="inlineStr">
        <is>
          <t>Investment Income</t>
        </is>
      </c>
      <c r="B7" t="inlineStr">
        <is>
          <t>Interest</t>
        </is>
      </c>
      <c r="C7" t="inlineStr">
        <is>
          <t>tax-exempt portion?</t>
        </is>
      </c>
      <c r="D7" t="inlineStr">
        <is>
          <t>2b</t>
        </is>
      </c>
      <c r="E7" t="inlineStr">
        <is>
          <t>TAX_EXEMPT</t>
        </is>
      </c>
    </row>
    <row r="8">
      <c r="A8" t="inlineStr">
        <is>
          <t>Investment Income</t>
        </is>
      </c>
      <c r="B8" t="inlineStr">
        <is>
          <t>1099-INT</t>
        </is>
      </c>
      <c r="C8" t="inlineStr">
        <is>
          <t>tax-exempt portion?</t>
        </is>
      </c>
      <c r="D8" t="inlineStr">
        <is>
          <t>2b</t>
        </is>
      </c>
      <c r="E8" t="inlineStr">
        <is>
          <t>TAX_EXEMPT</t>
        </is>
      </c>
    </row>
    <row r="9">
      <c r="A9" t="inlineStr">
        <is>
          <t>Investment Income</t>
        </is>
      </c>
      <c r="B9" t="inlineStr">
        <is>
          <t>Dividend</t>
        </is>
      </c>
      <c r="C9" t="inlineStr">
        <is>
          <t>qualified dividend portion?</t>
        </is>
      </c>
      <c r="D9" t="inlineStr">
        <is>
          <t>3b</t>
        </is>
      </c>
      <c r="E9" t="inlineStr">
        <is>
          <t>QUAL_DIV</t>
        </is>
      </c>
    </row>
    <row r="10">
      <c r="A10" t="inlineStr">
        <is>
          <t>Investment Income</t>
        </is>
      </c>
      <c r="B10" t="inlineStr">
        <is>
          <t>1099-DIV</t>
        </is>
      </c>
      <c r="C10" t="inlineStr">
        <is>
          <t>qualified dividend portion?</t>
        </is>
      </c>
      <c r="D10" t="inlineStr">
        <is>
          <t>3b</t>
        </is>
      </c>
      <c r="E10" t="inlineStr">
        <is>
          <t>QUAL_DIV</t>
        </is>
      </c>
    </row>
    <row r="11">
      <c r="A11" t="inlineStr">
        <is>
          <t>Capital Gains</t>
        </is>
      </c>
      <c r="B11" t="inlineStr">
        <is>
          <t>Brokerage</t>
        </is>
      </c>
      <c r="C11" t="inlineStr">
        <is>
          <t>LT/ST split + §1250?</t>
        </is>
      </c>
      <c r="D11" t="inlineStr">
        <is>
          <t>7</t>
        </is>
      </c>
      <c r="E11" t="inlineStr">
        <is>
          <t>LTCG_SPLIT</t>
        </is>
      </c>
    </row>
    <row r="12">
      <c r="A12" t="inlineStr">
        <is>
          <t>Capital Gains</t>
        </is>
      </c>
      <c r="B12" t="inlineStr">
        <is>
          <t>Real Estate</t>
        </is>
      </c>
      <c r="C12" t="inlineStr">
        <is>
          <t>LT/ST split + §1250?</t>
        </is>
      </c>
      <c r="D12" t="inlineStr">
        <is>
          <t>7</t>
        </is>
      </c>
      <c r="E12" t="inlineStr">
        <is>
          <t>LTCG_SPLIT</t>
        </is>
      </c>
    </row>
    <row r="13">
      <c r="A13" t="inlineStr">
        <is>
          <t>Capital Gains</t>
        </is>
      </c>
      <c r="B13" t="inlineStr">
        <is>
          <t>1099-B</t>
        </is>
      </c>
      <c r="C13" t="inlineStr">
        <is>
          <t>LT/ST split + §1250?</t>
        </is>
      </c>
      <c r="D13" t="inlineStr">
        <is>
          <t>7</t>
        </is>
      </c>
      <c r="E13" t="inlineStr">
        <is>
          <t>LTCG_SPLIT</t>
        </is>
      </c>
    </row>
    <row r="14">
      <c r="A14" t="inlineStr">
        <is>
          <t>Business Income</t>
        </is>
      </c>
      <c r="B14" t="inlineStr">
        <is>
          <t>Schedule C - Activity</t>
        </is>
      </c>
      <c r="C14" t="inlineStr">
        <is>
          <t>SE earnings?</t>
        </is>
      </c>
      <c r="D14" t="inlineStr">
        <is>
          <t>10</t>
        </is>
      </c>
      <c r="E14" t="inlineStr">
        <is>
          <t>SE_INCOME</t>
        </is>
      </c>
    </row>
    <row r="15">
      <c r="A15" t="inlineStr">
        <is>
          <t>Business Income</t>
        </is>
      </c>
      <c r="B15" t="inlineStr">
        <is>
          <t>Schedule E - Rental</t>
        </is>
      </c>
      <c r="C15" t="inlineStr">
        <is>
          <t>rental passive treatment?</t>
        </is>
      </c>
      <c r="D15" t="inlineStr">
        <is>
          <t>10</t>
        </is>
      </c>
      <c r="E15" t="inlineStr">
        <is>
          <t>PASSIVE</t>
        </is>
      </c>
    </row>
    <row r="16">
      <c r="A16" t="inlineStr">
        <is>
          <t>Business Income</t>
        </is>
      </c>
      <c r="B16" t="inlineStr">
        <is>
          <t>Partnership K-1</t>
        </is>
      </c>
      <c r="C16" t="inlineStr">
        <is>
          <t>active vs passive?</t>
        </is>
      </c>
      <c r="D16" t="inlineStr">
        <is>
          <t>10</t>
        </is>
      </c>
      <c r="E16" t="inlineStr">
        <is>
          <t>K1_SPLIT</t>
        </is>
      </c>
    </row>
    <row r="17">
      <c r="A17" t="inlineStr">
        <is>
          <t>Business Income</t>
        </is>
      </c>
      <c r="B17" t="inlineStr">
        <is>
          <t>S-Corp K-1</t>
        </is>
      </c>
      <c r="C17" t="inlineStr">
        <is>
          <t>active vs passive?</t>
        </is>
      </c>
      <c r="D17" t="inlineStr">
        <is>
          <t>10</t>
        </is>
      </c>
      <c r="E17" t="inlineStr">
        <is>
          <t>K1_SPLIT</t>
        </is>
      </c>
    </row>
    <row r="18">
      <c r="A18" t="inlineStr">
        <is>
          <t>Business Income</t>
        </is>
      </c>
      <c r="B18" t="inlineStr">
        <is>
          <t>Trust K-1</t>
        </is>
      </c>
      <c r="C18" t="inlineStr">
        <is>
          <t>character of distribution?</t>
        </is>
      </c>
      <c r="D18" t="inlineStr">
        <is>
          <t>10</t>
        </is>
      </c>
      <c r="E18" t="inlineStr">
        <is>
          <t>TRUST_DIST</t>
        </is>
      </c>
    </row>
    <row r="19">
      <c r="A19" t="inlineStr">
        <is>
          <t>Adjustment</t>
        </is>
      </c>
      <c r="B19" t="inlineStr">
        <is>
          <t>HSA</t>
        </is>
      </c>
      <c r="C19" t="inlineStr">
        <is>
          <t>family vs self limit?</t>
        </is>
      </c>
      <c r="D19" t="inlineStr">
        <is>
          <t>10</t>
        </is>
      </c>
      <c r="E19" t="inlineStr">
        <is>
          <t>HSA</t>
        </is>
      </c>
    </row>
    <row r="20">
      <c r="A20" t="inlineStr">
        <is>
          <t>Adjustment</t>
        </is>
      </c>
      <c r="B20" t="inlineStr">
        <is>
          <t>IRA</t>
        </is>
      </c>
      <c r="C20" t="inlineStr">
        <is>
          <t>deductible portion?</t>
        </is>
      </c>
      <c r="D20" t="inlineStr">
        <is>
          <t>10</t>
        </is>
      </c>
      <c r="E20" t="inlineStr">
        <is>
          <t>IRA</t>
        </is>
      </c>
    </row>
    <row r="21">
      <c r="A21" t="inlineStr">
        <is>
          <t>Adjustment</t>
        </is>
      </c>
      <c r="B21" t="inlineStr">
        <is>
          <t>Retirement</t>
        </is>
      </c>
      <c r="C21" t="inlineStr">
        <is>
          <t>plan type / limit?</t>
        </is>
      </c>
      <c r="D21" t="inlineStr">
        <is>
          <t>10</t>
        </is>
      </c>
      <c r="E21" t="inlineStr">
        <is>
          <t>RETIREMENT</t>
        </is>
      </c>
    </row>
    <row r="22">
      <c r="A22" t="inlineStr">
        <is>
          <t>Adjustment</t>
        </is>
      </c>
      <c r="B22" t="inlineStr">
        <is>
          <t>SE Health</t>
        </is>
      </c>
      <c r="C22" t="inlineStr">
        <is>
          <t>subject to SE earnings limit?</t>
        </is>
      </c>
      <c r="D22" t="inlineStr">
        <is>
          <t>10</t>
        </is>
      </c>
      <c r="E22" t="inlineStr">
        <is>
          <t>SE_HEALTH</t>
        </is>
      </c>
    </row>
    <row r="23">
      <c r="A23" t="inlineStr">
        <is>
          <t>Adjustment</t>
        </is>
      </c>
      <c r="B23" t="inlineStr">
        <is>
          <t>Student Loan</t>
        </is>
      </c>
      <c r="C23" t="inlineStr">
        <is>
          <t>phase-out by MAGI?</t>
        </is>
      </c>
      <c r="D23" t="inlineStr">
        <is>
          <t>10</t>
        </is>
      </c>
      <c r="E23" t="inlineStr">
        <is>
          <t>STUDENT_LOAN</t>
        </is>
      </c>
    </row>
    <row r="24">
      <c r="A24" t="inlineStr">
        <is>
          <t>Itemized</t>
        </is>
      </c>
      <c r="B24" t="inlineStr">
        <is>
          <t>Medical</t>
        </is>
      </c>
      <c r="C24" t="inlineStr">
        <is>
          <t>7.5% AGI floor</t>
        </is>
      </c>
      <c r="D24" t="inlineStr">
        <is>
          <t>12</t>
        </is>
      </c>
      <c r="E24" t="inlineStr">
        <is>
          <t>MEDICAL</t>
        </is>
      </c>
    </row>
    <row r="25">
      <c r="A25" t="inlineStr">
        <is>
          <t>Itemized</t>
        </is>
      </c>
      <c r="B25" t="inlineStr">
        <is>
          <t>SALT</t>
        </is>
      </c>
      <c r="C25" t="inlineStr">
        <is>
          <t>$10K cap</t>
        </is>
      </c>
      <c r="D25" t="inlineStr">
        <is>
          <t>12</t>
        </is>
      </c>
      <c r="E25" t="inlineStr">
        <is>
          <t>SALT</t>
        </is>
      </c>
    </row>
    <row r="26">
      <c r="A26" t="inlineStr">
        <is>
          <t>Itemized</t>
        </is>
      </c>
      <c r="B26" t="inlineStr">
        <is>
          <t>Mortgage</t>
        </is>
      </c>
      <c r="C26" t="inlineStr">
        <is>
          <t>principal cap by date</t>
        </is>
      </c>
      <c r="D26" t="inlineStr">
        <is>
          <t>12</t>
        </is>
      </c>
      <c r="E26" t="inlineStr">
        <is>
          <t>MORTGAGE</t>
        </is>
      </c>
    </row>
    <row r="27">
      <c r="A27" t="inlineStr">
        <is>
          <t>Itemized</t>
        </is>
      </c>
      <c r="B27" t="inlineStr">
        <is>
          <t>Charity</t>
        </is>
      </c>
      <c r="C27" t="inlineStr">
        <is>
          <t>60% AGI cap</t>
        </is>
      </c>
      <c r="D27" t="inlineStr">
        <is>
          <t>12</t>
        </is>
      </c>
      <c r="E27" t="inlineStr">
        <is>
          <t>CHARITY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CLOSED-SET LISTS — drive data validation across the workbook</t>
        </is>
      </c>
    </row>
    <row r="2">
      <c r="A2" s="12" t="inlineStr">
        <is>
          <t>Bucket</t>
        </is>
      </c>
      <c r="B2" s="12" t="inlineStr">
        <is>
          <t>Source_Layer</t>
        </is>
      </c>
      <c r="C2" s="12" t="inlineStr">
        <is>
          <t>Scenario</t>
        </is>
      </c>
      <c r="D2" s="12" t="inlineStr">
        <is>
          <t>Status</t>
        </is>
      </c>
      <c r="E2" s="12" t="inlineStr">
        <is>
          <t>FilingStatusOptions</t>
        </is>
      </c>
      <c r="F2" s="12" t="inlineStr">
        <is>
          <t>BusinessIncome_Sources</t>
        </is>
      </c>
      <c r="G2" s="12" t="inlineStr">
        <is>
          <t>Wages_Sources</t>
        </is>
      </c>
      <c r="H2" s="12" t="inlineStr">
        <is>
          <t>Investment_Sources</t>
        </is>
      </c>
      <c r="I2" s="12" t="inlineStr">
        <is>
          <t>CapitalGains_Sources</t>
        </is>
      </c>
      <c r="J2" s="12" t="inlineStr">
        <is>
          <t>Adjustment_Sources</t>
        </is>
      </c>
      <c r="K2" s="12" t="inlineStr">
        <is>
          <t>Itemized_Sources</t>
        </is>
      </c>
      <c r="L2" s="12" t="inlineStr">
        <is>
          <t>Credit_Sources</t>
        </is>
      </c>
      <c r="M2" s="12" t="inlineStr">
        <is>
          <t>Payment_Sources</t>
        </is>
      </c>
      <c r="N2" s="12" t="inlineStr">
        <is>
          <t>Doc_Types</t>
        </is>
      </c>
      <c r="O2" s="12" t="inlineStr">
        <is>
          <t>Yes_No</t>
        </is>
      </c>
      <c r="P2" s="12" t="inlineStr">
        <is>
          <t>NIIT_Class</t>
        </is>
      </c>
      <c r="Q2" s="12" t="inlineStr">
        <is>
          <t>Char_Type</t>
        </is>
      </c>
      <c r="R2" s="12" t="inlineStr">
        <is>
          <t>Treatment_Profile</t>
        </is>
      </c>
    </row>
    <row r="3">
      <c r="A3" t="inlineStr">
        <is>
          <t>Business Income</t>
        </is>
      </c>
      <c r="B3" t="inlineStr">
        <is>
          <t>Baseline</t>
        </is>
      </c>
      <c r="C3" t="inlineStr">
        <is>
          <t>Baseline</t>
        </is>
      </c>
      <c r="D3" t="inlineStr">
        <is>
          <t>Proposed</t>
        </is>
      </c>
      <c r="E3" t="inlineStr">
        <is>
          <t>Single</t>
        </is>
      </c>
      <c r="F3" t="inlineStr">
        <is>
          <t>Schedule C - Activity</t>
        </is>
      </c>
      <c r="G3" t="inlineStr">
        <is>
          <t>W2 - Self Pay</t>
        </is>
      </c>
      <c r="H3" t="inlineStr">
        <is>
          <t>Interest</t>
        </is>
      </c>
      <c r="I3" t="inlineStr">
        <is>
          <t>Brokerage</t>
        </is>
      </c>
      <c r="J3" t="inlineStr">
        <is>
          <t>HSA</t>
        </is>
      </c>
      <c r="K3" t="inlineStr">
        <is>
          <t>Medical</t>
        </is>
      </c>
      <c r="L3" t="inlineStr">
        <is>
          <t>CTC</t>
        </is>
      </c>
      <c r="M3" t="inlineStr">
        <is>
          <t>Withholding</t>
        </is>
      </c>
      <c r="N3" t="inlineStr">
        <is>
          <t>W-2</t>
        </is>
      </c>
      <c r="O3" t="inlineStr">
        <is>
          <t>Yes</t>
        </is>
      </c>
      <c r="P3" t="inlineStr">
        <is>
          <t>Active</t>
        </is>
      </c>
      <c r="Q3" t="inlineStr">
        <is>
          <t>Ordinary</t>
        </is>
      </c>
      <c r="R3" t="inlineStr">
        <is>
          <t>W2_Employee</t>
        </is>
      </c>
    </row>
    <row r="4">
      <c r="A4" t="inlineStr">
        <is>
          <t>Wages</t>
        </is>
      </c>
      <c r="B4" t="inlineStr">
        <is>
          <t>Adjustment</t>
        </is>
      </c>
      <c r="C4" t="inlineStr">
        <is>
          <t>Override</t>
        </is>
      </c>
      <c r="D4" t="inlineStr">
        <is>
          <t>Approved</t>
        </is>
      </c>
      <c r="E4" t="inlineStr">
        <is>
          <t>MFJ</t>
        </is>
      </c>
      <c r="F4" t="inlineStr">
        <is>
          <t>Schedule E - Rental</t>
        </is>
      </c>
      <c r="G4" t="inlineStr">
        <is>
          <t>W2 - 3rd Party</t>
        </is>
      </c>
      <c r="H4" t="inlineStr">
        <is>
          <t>Dividend</t>
        </is>
      </c>
      <c r="I4" t="inlineStr">
        <is>
          <t>Real Estate</t>
        </is>
      </c>
      <c r="J4" t="inlineStr">
        <is>
          <t>IRA</t>
        </is>
      </c>
      <c r="K4" t="inlineStr">
        <is>
          <t>SALT</t>
        </is>
      </c>
      <c r="L4" t="inlineStr">
        <is>
          <t>Education</t>
        </is>
      </c>
      <c r="M4" t="inlineStr">
        <is>
          <t>Est Tax</t>
        </is>
      </c>
      <c r="N4" t="inlineStr">
        <is>
          <t>K-1</t>
        </is>
      </c>
      <c r="O4" t="inlineStr">
        <is>
          <t>No</t>
        </is>
      </c>
      <c r="P4" t="inlineStr">
        <is>
          <t>Passive</t>
        </is>
      </c>
      <c r="Q4" t="inlineStr">
        <is>
          <t>QD/NonQD</t>
        </is>
      </c>
      <c r="R4" t="inlineStr">
        <is>
          <t>W2_SCorpOwner</t>
        </is>
      </c>
    </row>
    <row r="5">
      <c r="A5" t="inlineStr">
        <is>
          <t>Investment Income</t>
        </is>
      </c>
      <c r="B5" t="inlineStr">
        <is>
          <t>Tax Strategy</t>
        </is>
      </c>
      <c r="C5" t="inlineStr">
        <is>
          <t>S1</t>
        </is>
      </c>
      <c r="D5" t="inlineStr">
        <is>
          <t>Committed</t>
        </is>
      </c>
      <c r="E5" t="inlineStr">
        <is>
          <t>MFS</t>
        </is>
      </c>
      <c r="F5" t="inlineStr">
        <is>
          <t>Partnership K-1</t>
        </is>
      </c>
      <c r="J5" t="inlineStr">
        <is>
          <t>Retirement</t>
        </is>
      </c>
      <c r="K5" t="inlineStr">
        <is>
          <t>Mortgage</t>
        </is>
      </c>
      <c r="L5" t="inlineStr">
        <is>
          <t>FTC</t>
        </is>
      </c>
      <c r="N5" t="inlineStr">
        <is>
          <t>1099-DIV</t>
        </is>
      </c>
      <c r="P5" t="inlineStr">
        <is>
          <t>Portfolio</t>
        </is>
      </c>
      <c r="Q5" t="inlineStr">
        <is>
          <t>LTCG/STCG</t>
        </is>
      </c>
      <c r="R5" t="inlineStr">
        <is>
          <t>K1_SCorp_Active</t>
        </is>
      </c>
    </row>
    <row r="6">
      <c r="A6" t="inlineStr">
        <is>
          <t>Capital Gains</t>
        </is>
      </c>
      <c r="C6" t="inlineStr">
        <is>
          <t>S2</t>
        </is>
      </c>
      <c r="D6" t="inlineStr">
        <is>
          <t>Converted_To_Input</t>
        </is>
      </c>
      <c r="E6" t="inlineStr">
        <is>
          <t>HOH</t>
        </is>
      </c>
      <c r="F6" t="inlineStr">
        <is>
          <t>S-Corp K-1</t>
        </is>
      </c>
      <c r="J6" t="inlineStr">
        <is>
          <t>SE Health</t>
        </is>
      </c>
      <c r="K6" t="inlineStr">
        <is>
          <t>Charity</t>
        </is>
      </c>
      <c r="N6" t="inlineStr">
        <is>
          <t>1099-INT</t>
        </is>
      </c>
      <c r="P6" t="inlineStr">
        <is>
          <t>N/A</t>
        </is>
      </c>
      <c r="Q6" t="inlineStr">
        <is>
          <t>LTCG/1250</t>
        </is>
      </c>
      <c r="R6" t="inlineStr">
        <is>
          <t>K1_SCorp_Passive</t>
        </is>
      </c>
    </row>
    <row r="7">
      <c r="A7" t="inlineStr">
        <is>
          <t>Adjustment</t>
        </is>
      </c>
      <c r="C7" t="inlineStr">
        <is>
          <t>AsFiled</t>
        </is>
      </c>
      <c r="D7" t="inlineStr">
        <is>
          <t>Rejected</t>
        </is>
      </c>
      <c r="E7" t="inlineStr">
        <is>
          <t>QW</t>
        </is>
      </c>
      <c r="F7" t="inlineStr">
        <is>
          <t>Trust K-1</t>
        </is>
      </c>
      <c r="J7" t="inlineStr">
        <is>
          <t>Student Loan</t>
        </is>
      </c>
      <c r="N7" t="inlineStr">
        <is>
          <t>1099-B</t>
        </is>
      </c>
      <c r="Q7" t="inlineStr">
        <is>
          <t>Itemized</t>
        </is>
      </c>
      <c r="R7" t="inlineStr">
        <is>
          <t>K1_PTP_Active</t>
        </is>
      </c>
    </row>
    <row r="8">
      <c r="A8" t="inlineStr">
        <is>
          <t>Itemized</t>
        </is>
      </c>
      <c r="N8" t="inlineStr">
        <is>
          <t>Settlement</t>
        </is>
      </c>
      <c r="Q8" t="inlineStr">
        <is>
          <t>Credit</t>
        </is>
      </c>
      <c r="R8" t="inlineStr">
        <is>
          <t>K1_PTP_Passive</t>
        </is>
      </c>
    </row>
    <row r="9">
      <c r="A9" t="inlineStr">
        <is>
          <t>Credit</t>
        </is>
      </c>
      <c r="N9" t="inlineStr">
        <is>
          <t>PBC</t>
        </is>
      </c>
      <c r="Q9" t="inlineStr">
        <is>
          <t>Deduction</t>
        </is>
      </c>
      <c r="R9" t="inlineStr">
        <is>
          <t>SchC_Active</t>
        </is>
      </c>
    </row>
    <row r="10">
      <c r="A10" t="inlineStr">
        <is>
          <t>Payment</t>
        </is>
      </c>
      <c r="N10" t="inlineStr">
        <is>
          <t>Financials</t>
        </is>
      </c>
      <c r="R10" t="inlineStr">
        <is>
          <t>SchE_Rental</t>
        </is>
      </c>
    </row>
    <row r="11">
      <c r="A11" t="inlineStr">
        <is>
          <t>Other Income</t>
        </is>
      </c>
      <c r="N11" t="inlineStr">
        <is>
          <t>1098-E</t>
        </is>
      </c>
      <c r="R11" t="inlineStr">
        <is>
          <t>Trust_K1</t>
        </is>
      </c>
    </row>
    <row r="12">
      <c r="N12" t="inlineStr">
        <is>
          <t>1098-T</t>
        </is>
      </c>
      <c r="R12" t="inlineStr">
        <is>
          <t>Int_Taxable</t>
        </is>
      </c>
    </row>
    <row r="13">
      <c r="N13" t="inlineStr">
        <is>
          <t>1098</t>
        </is>
      </c>
      <c r="R13" t="inlineStr">
        <is>
          <t>Int_Exempt</t>
        </is>
      </c>
    </row>
    <row r="14">
      <c r="R14" t="inlineStr">
        <is>
          <t>Div_Qualified</t>
        </is>
      </c>
    </row>
    <row r="15">
      <c r="R15" t="inlineStr">
        <is>
          <t>Div_Ordinary</t>
        </is>
      </c>
    </row>
    <row r="16">
      <c r="R16" t="inlineStr">
        <is>
          <t>LTCG_Stock</t>
        </is>
      </c>
    </row>
    <row r="17">
      <c r="R17" t="inlineStr">
        <is>
          <t>STCG_Stock</t>
        </is>
      </c>
    </row>
    <row r="18">
      <c r="R18" t="inlineStr">
        <is>
          <t>LTCG_RE</t>
        </is>
      </c>
    </row>
    <row r="19">
      <c r="R19" t="inlineStr">
        <is>
          <t>Sec1250_Recap</t>
        </is>
      </c>
    </row>
    <row r="20">
      <c r="R20" t="inlineStr">
        <is>
          <t>Adjustment_Generic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2026-05-18T21:16:34Z</dcterms:created>
  <dcterms:modified xsi:type="dcterms:W3CDTF">2026-05-18T21:16:34Z</dcterms:modified>
</cp:coreProperties>
</file>
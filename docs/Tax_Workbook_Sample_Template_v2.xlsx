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TROL_PANEL" sheetId="2" state="visible" r:id="rId2"/>
    <sheet name="Y2025_Sample" sheetId="3" state="visible" r:id="rId3"/>
    <sheet name="Master_Inputs" sheetId="4" state="visible" r:id="rId4"/>
    <sheet name="Strategies_Library" sheetId="5" state="visible" r:id="rId5"/>
    <sheet name="Tax_Summary" sheetId="6" state="visible" r:id="rId6"/>
    <sheet name="PBC_List" sheetId="7" state="visible" r:id="rId7"/>
    <sheet name="Dashboard_Export" sheetId="8" state="visible" r:id="rId8"/>
    <sheet name="PROJECTION_HISTORY" sheetId="9" state="visible" r:id="rId9"/>
    <sheet name="Treatment_Profile_Map" sheetId="10" state="visible" r:id="rId10"/>
    <sheet name="Tax_Brackets" sheetId="11" state="visible" r:id="rId11"/>
    <sheet name="Dropdown_Lists" sheetId="12" state="visible" r:id="rId12"/>
  </sheets>
  <definedNames>
    <definedName name="TaxYear">'CONTROL_PANEL'!$C$6</definedName>
    <definedName name="FilingStatus">'CONTROL_PANEL'!$C$7</definedName>
    <definedName name="ClientID">'CONTROL_PANEL'!$C$8</definedName>
    <definedName name="ActiveScenario">'CONTROL_PANEL'!$C$9</definedName>
    <definedName name="Include_Strategies">'CONTROL_PANEL'!$C$10</definedName>
    <definedName name="Include_Adjustments">'CONTROL_PANEL'!$C$11</definedName>
    <definedName name="Bucket">'Dropdown_Lists'!$A$4:$A$11</definedName>
    <definedName name="Source_Layer">'Dropdown_Lists'!$B$4:$B$6</definedName>
    <definedName name="Scenario">'Dropdown_Lists'!$C$4:$C$8</definedName>
    <definedName name="Status">'Dropdown_Lists'!$D$4:$D$9</definedName>
    <definedName name="FilingStatusOptions">'Dropdown_Lists'!$E$4:$E$8</definedName>
    <definedName name="Yes_No">'Dropdown_Lists'!$F$4:$F$5</definedName>
    <definedName name="NIIT_Class">'Dropdown_Lists'!$G$4:$G$7</definedName>
    <definedName name="Provenance">'Dropdown_Lists'!$H$4:$H$13</definedName>
    <definedName name="BusinessIncome_Profiles">'Dropdown_Lists'!$A$17:$A$25</definedName>
    <definedName name="Wages_Profiles">'Dropdown_Lists'!$B$17:$B$18</definedName>
    <definedName name="InvestmentIncome_Profiles">'Dropdown_Lists'!$C$17:$C$20</definedName>
    <definedName name="CapitalGains_Profiles">'Dropdown_Lists'!$D$17:$D$21</definedName>
    <definedName name="Adjustment_Profiles">'Dropdown_Lists'!$E$17:$E$21</definedName>
    <definedName name="Itemized_Profiles">'Dropdown_Lists'!$F$17:$F$20</definedName>
    <definedName name="Credit_Profiles">'Dropdown_Lists'!$G$17:$G$19</definedName>
    <definedName name="Payment_Profiles">'Dropdown_Lists'!$H$17:$H$18</definedName>
    <definedName name="BusinessIncome_Docs">'Dropdown_Lists'!$A$32:$A$38</definedName>
    <definedName name="Wages_Docs">'Dropdown_Lists'!$B$32:$B$34</definedName>
    <definedName name="InvestmentIncome_Docs">'Dropdown_Lists'!$C$32:$C$34</definedName>
    <definedName name="CapitalGains_Docs">'Dropdown_Lists'!$D$32:$D$35</definedName>
    <definedName name="Adjustment_Docs">'Dropdown_Lists'!$E$32:$E$36</definedName>
    <definedName name="Itemized_Docs">'Dropdown_Lists'!$F$32:$F$35</definedName>
    <definedName name="Credit_Docs">'Dropdown_Lists'!$G$32:$G$34</definedName>
    <definedName name="Payment_Docs">'Dropdown_Lists'!$H$32:$H$33</definedName>
    <definedName name="NIIT_THRESH_MFJ">'Tax_Brackets'!$B$30</definedName>
    <definedName name="NIIT_THRESH_S">'Tax_Brackets'!$B$31</definedName>
    <definedName name="NIIT_THRESH_MFS">'Tax_Brackets'!$B$32</definedName>
    <definedName name="NIIT_RATE">'Tax_Brackets'!$B$33</definedName>
    <definedName name="SS_WAGE_BASE_2025">'Tax_Brackets'!$B$34</definedName>
    <definedName name="SE_BASE_MULT">'Tax_Brackets'!$B$35</definedName>
    <definedName name="SE_SS_RATE">'Tax_Brackets'!$B$36</definedName>
    <definedName name="SE_MED_RATE">'Tax_Brackets'!$B$37</definedName>
    <definedName name="FICA_SS_RATE_EE">'Tax_Brackets'!$B$38</definedName>
    <definedName name="FICA_SS_RATE_ER">'Tax_Brackets'!$B$39</definedName>
    <definedName name="FICA_MED_RATE_EE">'Tax_Brackets'!$B$40</definedName>
    <definedName name="FICA_MED_RATE_ER">'Tax_Brackets'!$B$41</definedName>
    <definedName name="ADDL_MED_RATE">'Tax_Brackets'!$B$42</definedName>
    <definedName name="ADDL_MED_THRESH_MFJ">'Tax_Brackets'!$B$43</definedName>
    <definedName name="ADDL_MED_THRESH_S">'Tax_Brackets'!$B$44</definedName>
    <definedName name="EBL_LIMIT_MFJ">'Tax_Brackets'!$B$45</definedName>
    <definedName name="EBL_LIMIT_S">'Tax_Brackets'!$B$46</definedName>
    <definedName name="Dashboard_TaxYear">'Dashboard_Export'!$C$5</definedName>
    <definedName name="Dashboard_FilingStatus">'Dashboard_Export'!$C$6</definedName>
    <definedName name="Dashboard_TotalIncome">'Dashboard_Export'!$C$7</definedName>
    <definedName name="Dashboard_TotalAdj">'Dashboard_Export'!$C$8</definedName>
    <definedName name="Dashboard_TotalStrat">'Dashboard_Export'!$C$9</definedName>
    <definedName name="Dashboard_EffectiveTotal">'Dashboard_Export'!$C$10</definedName>
    <definedName name="Dashboard_TotalFedTax">'Dashboard_Export'!$C$11</definedName>
    <definedName name="Dashboard_TrueTaxBurden">'Dashboard_Export'!$C$12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305496"/>
      <sz val="14"/>
    </font>
    <font>
      <name val="Calibri"/>
      <i val="1"/>
      <color rgb="00595959"/>
      <sz val="9"/>
    </font>
    <font>
      <name val="Calibri"/>
      <b val="1"/>
      <color rgb="00305496"/>
      <sz val="10"/>
    </font>
    <font>
      <b val="1"/>
    </font>
    <font>
      <b val="1"/>
      <color rgb="00305496"/>
    </font>
    <font>
      <name val="Calibri"/>
      <b val="1"/>
      <color rgb="00FFFFFF"/>
      <sz val="11"/>
    </font>
    <font>
      <i val="1"/>
      <color rgb="00595959"/>
      <sz val="8"/>
    </font>
    <font/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6" fillId="3" borderId="0" pivotButton="0" quotePrefix="0" xfId="0"/>
    <xf numFmtId="0" fontId="8" fillId="0" borderId="0" pivotButton="0" quotePrefix="0" xfId="0"/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0" fillId="2" borderId="0" pivotButton="0" quotePrefix="0" xfId="0"/>
    <xf numFmtId="0" fontId="9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blY2025_Inputs" displayName="tblY2025_Inputs" ref="A6:S14" headerRowCount="1">
  <autoFilter ref="A6:S14"/>
  <tableColumns count="19">
    <tableColumn id="1" name="Source_ID"/>
    <tableColumn id="2" name="Bucket"/>
    <tableColumn id="3" name="Treatment_Profile"/>
    <tableColumn id="4" name="Source_Document"/>
    <tableColumn id="5" name="Source_Layer"/>
    <tableColumn id="6" name="Status"/>
    <tableColumn id="7" name="Payor"/>
    <tableColumn id="8" name="Baseline_Amount"/>
    <tableColumn id="9" name="Helper_Amount"/>
    <tableColumn id="10" name="Adjustment_Amount"/>
    <tableColumn id="11" name="Consider"/>
    <tableColumn id="12" name="Provenance"/>
    <tableColumn id="13" name="Notes"/>
    <tableColumn id="14" name="SE_Subject"/>
    <tableColumn id="15" name="NIIT_Class"/>
    <tableColumn id="16" name="QBI_Eligible"/>
    <tableColumn id="17" name="Primary_Line"/>
    <tableColumn id="18" name="Helper_Treatment"/>
    <tableColumn id="19" name="Line"/>
  </tableColumns>
  <tableStyleInfo name="TableStyleMedium2" showRowStripes="1"/>
</table>
</file>

<file path=xl/tables/table2.xml><?xml version="1.0" encoding="utf-8"?>
<table xmlns="http://schemas.openxmlformats.org/spreadsheetml/2006/main" id="2" name="tblMaster_Inputs" displayName="tblMaster_Inputs" ref="A4:Z11" headerRowCount="1">
  <autoFilter ref="A4:Z11"/>
  <tableColumns count="26">
    <tableColumn id="1" name="InputID"/>
    <tableColumn id="2" name="Year"/>
    <tableColumn id="3" name="Scenario"/>
    <tableColumn id="4" name="ClientID"/>
    <tableColumn id="5" name="ClientName"/>
    <tableColumn id="6" name="Bucket"/>
    <tableColumn id="7" name="Treatment_Profile"/>
    <tableColumn id="8" name="Source_Document"/>
    <tableColumn id="9" name="Source_Layer"/>
    <tableColumn id="10" name="Status"/>
    <tableColumn id="11" name="Provenance"/>
    <tableColumn id="12" name="Payor"/>
    <tableColumn id="13" name="Baseline_Amount"/>
    <tableColumn id="14" name="Helper_Amount"/>
    <tableColumn id="15" name="Adjustment_Amount"/>
    <tableColumn id="16" name="Consider"/>
    <tableColumn id="17" name="Notes"/>
    <tableColumn id="18" name="SE_Subject"/>
    <tableColumn id="19" name="NIIT_Class"/>
    <tableColumn id="20" name="QBI_Eligible"/>
    <tableColumn id="21" name="Primary_Line"/>
    <tableColumn id="22" name="Helper_Treatment"/>
    <tableColumn id="23" name="Consider_Prompt"/>
    <tableColumn id="24" name="LastUpdated"/>
    <tableColumn id="25" name="UpdatedBy"/>
    <tableColumn id="26" name="ReviewStatus"/>
  </tableColumns>
  <tableStyleInfo name="TableStyleMedium2" showRowStripes="1"/>
</table>
</file>

<file path=xl/tables/table3.xml><?xml version="1.0" encoding="utf-8"?>
<table xmlns="http://schemas.openxmlformats.org/spreadsheetml/2006/main" id="3" name="tblStrategies_Library" displayName="tblStrategies_Library" ref="A4:J24" headerRowCount="1">
  <autoFilter ref="A4:J24"/>
  <tableColumns count="10">
    <tableColumn id="1" name="ID"/>
    <tableColumn id="2" name="Group"/>
    <tableColumn id="3" name="Strategy Name"/>
    <tableColumn id="4" name="Description"/>
    <tableColumn id="5" name="Buckets_Impacted"/>
    <tableColumn id="6" name="Impact Type"/>
    <tableColumn id="7" name="Complexity"/>
    <tableColumn id="8" name="Tax Lines Affected"/>
    <tableColumn id="9" name="Est. Savings"/>
    <tableColumn id="10" name="Notes"/>
  </tableColumns>
  <tableStyleInfo name="TableStyleMedium2" showRowStripes="1"/>
</table>
</file>

<file path=xl/tables/table4.xml><?xml version="1.0" encoding="utf-8"?>
<table xmlns="http://schemas.openxmlformats.org/spreadsheetml/2006/main" id="4" name="tblTreatmentProfileMap" displayName="tblTreatmentProfileMap" ref="A4:I38" headerRowCount="1">
  <autoFilter ref="A4:I38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TAX WORKBOOK — SAMPLE TEMPLATE v2 (final schema)</t>
        </is>
      </c>
    </row>
    <row r="2">
      <c r="A2" s="2" t="inlineStr">
        <is>
          <t>KISS architecture: year sheets primary, Master_Inputs aggregate, pivots feed downstream views.</t>
        </is>
      </c>
    </row>
    <row r="4">
      <c r="A4" s="3" t="inlineStr">
        <is>
          <t>FINAL SCHEMA (Master_Inputs and year-sheet input table)</t>
        </is>
      </c>
    </row>
    <row r="5">
      <c r="A5" t="inlineStr">
        <is>
          <t xml:space="preserve">  INPUT (preparer types these — yellow cells):</t>
        </is>
      </c>
    </row>
    <row r="6">
      <c r="A6" t="inlineStr">
        <is>
          <t xml:space="preserve">    Year, Scenario, ClientID, Bucket, Treatment_Profile, Source_Document,</t>
        </is>
      </c>
    </row>
    <row r="7">
      <c r="A7" t="inlineStr">
        <is>
          <t xml:space="preserve">    Source_Layer, Status, Provenance, Payor, Baseline_Amount, Helper_Amount,</t>
        </is>
      </c>
    </row>
    <row r="8">
      <c r="A8" t="inlineStr">
        <is>
          <t xml:space="preserve">    Adjustment_Amount, Consider, Notes</t>
        </is>
      </c>
    </row>
    <row r="9">
      <c r="A9" t="inlineStr"/>
    </row>
    <row r="10">
      <c r="A10" t="inlineStr">
        <is>
          <t xml:space="preserve">  DERIVED (formula-populated — gray cells, available for pivots):</t>
        </is>
      </c>
    </row>
    <row r="11">
      <c r="A11" t="inlineStr">
        <is>
          <t xml:space="preserve">    SE_Subject, NIIT_Class, QBI_Eligible, Primary_Line, Helper_Treatment,</t>
        </is>
      </c>
    </row>
    <row r="12">
      <c r="A12" t="inlineStr">
        <is>
          <t xml:space="preserve">    Consider_Prompt — all looked up via Treatment_Profile_Map and Tax_Line_Map</t>
        </is>
      </c>
    </row>
    <row r="14">
      <c r="A14" s="3" t="inlineStr">
        <is>
          <t>CASCADING DROPDOWNS (pick Bucket → narrows Profile and Source_Document)</t>
        </is>
      </c>
    </row>
    <row r="15">
      <c r="A15" t="inlineStr">
        <is>
          <t xml:space="preserve">  Bucket drives both:</t>
        </is>
      </c>
    </row>
    <row r="16">
      <c r="A16" t="inlineStr">
        <is>
          <t xml:space="preserve">    Treatment_Profile dropdown → INDIRECT(SUBSTITUTE(Bucket," ","")&amp;"_Profiles")</t>
        </is>
      </c>
    </row>
    <row r="17">
      <c r="A17" t="inlineStr">
        <is>
          <t xml:space="preserve">    Source_Document dropdown   → INDIRECT(SUBSTITUTE(Bucket," ","")&amp;"_Docs")</t>
        </is>
      </c>
    </row>
    <row r="18">
      <c r="A18" t="inlineStr">
        <is>
          <t xml:space="preserve">  Per-bucket named ranges live in Dropdown_Lists.</t>
        </is>
      </c>
    </row>
    <row r="20">
      <c r="A20" s="3" t="inlineStr">
        <is>
          <t>ADJUSTMENTS vs. STRATEGIES — different conceptual roles</t>
        </is>
      </c>
    </row>
    <row r="21">
      <c r="A21" t="inlineStr">
        <is>
          <t xml:space="preserve">  ADJUSTMENT = revision to an existing source-input row.</t>
        </is>
      </c>
    </row>
    <row r="22">
      <c r="A22" t="inlineStr">
        <is>
          <t xml:space="preserve">    Lives as a column (Adjustment_Amount) on the same input row.</t>
        </is>
      </c>
    </row>
    <row r="23">
      <c r="A23" t="inlineStr">
        <is>
          <t xml:space="preserve">    Pushed to Master_Inputs as a separate row with Source_Layer = "Adjustment".</t>
        </is>
      </c>
    </row>
    <row r="24">
      <c r="A24" t="inlineStr"/>
    </row>
    <row r="25">
      <c r="A25" t="inlineStr">
        <is>
          <t xml:space="preserve">  STRATEGY = new tax position (Cost Seg, Augusta Rule, S-Corp Election, etc.).</t>
        </is>
      </c>
    </row>
    <row r="26">
      <c r="A26" t="inlineStr">
        <is>
          <t xml:space="preserve">    Lives in a separate Strategies_Y2025 planning table on the year sheet.</t>
        </is>
      </c>
    </row>
    <row r="27">
      <c r="A27" t="inlineStr">
        <is>
          <t xml:space="preserve">    Pushed to Master_Inputs only when Status IN ("Committed", "Implemented").</t>
        </is>
      </c>
    </row>
    <row r="28">
      <c r="A28" t="inlineStr">
        <is>
          <t xml:space="preserve">    Once Status = "Converted_To_Input", strategy becomes next-year baseline row.</t>
        </is>
      </c>
    </row>
    <row r="30">
      <c r="A30" s="3" t="inlineStr">
        <is>
          <t>PROVENANCE — orthogonal to Scenario; tracks where the number came from</t>
        </is>
      </c>
    </row>
    <row r="31">
      <c r="A31" t="inlineStr">
        <is>
          <t xml:space="preserve">  PY Rolled Forward · PY Actuals · Estimate - Preparer · Estimate - Client</t>
        </is>
      </c>
    </row>
    <row r="32">
      <c r="A32" t="inlineStr">
        <is>
          <t xml:space="preserve">  PBC - Requested · PBC - Received · PBC - Reviewed</t>
        </is>
      </c>
    </row>
    <row r="33">
      <c r="A33" t="inlineStr">
        <is>
          <t xml:space="preserve">  Extraction - Imported · Extraction - Tied · System Calculated</t>
        </is>
      </c>
    </row>
    <row r="35">
      <c r="A35" s="3" t="inlineStr">
        <is>
          <t>INTEGRITY CHECK — year-sheet calc = pivot-over-master calc</t>
        </is>
      </c>
    </row>
    <row r="36">
      <c r="A36" t="inlineStr">
        <is>
          <t xml:space="preserve">  For any (Year, Scenario): year-sheet TOTAL FED TAX must equal</t>
        </is>
      </c>
    </row>
    <row r="37">
      <c r="A37" t="inlineStr">
        <is>
          <t xml:space="preserve">  pivot-over-Master_Inputs TOTAL FED TAX.</t>
        </is>
      </c>
    </row>
    <row r="38">
      <c r="A38" t="inlineStr">
        <is>
          <t xml:space="preserve">  Y2025_Sample sheet shows both side-by-side at the bottom of the rollup.</t>
        </is>
      </c>
    </row>
    <row r="40">
      <c r="A40" s="3" t="inlineStr">
        <is>
          <t>TRUE TAX BURDEN BOX — separate from 1040 federal tax</t>
        </is>
      </c>
    </row>
    <row r="41">
      <c r="A41" t="inlineStr">
        <is>
          <t xml:space="preserve">  Owner W-2 wages trigger BOTH employer-side and employee-side FICA.</t>
        </is>
      </c>
    </row>
    <row r="42">
      <c r="A42" t="inlineStr">
        <is>
          <t xml:space="preserve">  Total Fed Tax = 1040 federal tax (the standard computation).</t>
        </is>
      </c>
    </row>
    <row r="43">
      <c r="A43" t="inlineStr">
        <is>
          <t xml:space="preserve">  True Tax Burden = Total Fed Tax + FICA on owner W-2 (employer + employee).</t>
        </is>
      </c>
    </row>
    <row r="44">
      <c r="A44" t="inlineStr">
        <is>
          <t xml:space="preserve">  Computed via existing FICA_EmployerTax_FN / FICA_EmployeeTax_FN LAMBDAs.</t>
        </is>
      </c>
    </row>
    <row r="46">
      <c r="A46" s="3" t="inlineStr">
        <is>
          <t>NOT INCLUDED (require VBA install in real workbook)</t>
        </is>
      </c>
    </row>
    <row r="47">
      <c r="A47" t="inlineStr">
        <is>
          <t xml:space="preserve">  7 KISS LAMBDAs (Calc_OrdinaryTax, Calc_QBI_Simple, FICA_*_FN, etc.)</t>
        </is>
      </c>
    </row>
    <row r="48">
      <c r="A48" t="inlineStr">
        <is>
          <t xml:space="preserve">  Workbook_BeforeSave auto-sync handler</t>
        </is>
      </c>
    </row>
    <row r="49">
      <c r="A49" t="inlineStr">
        <is>
          <t xml:space="preserve">  modKissSync macros (PushAllYearsToMaster, CommitPlanningRow, etc.)</t>
        </is>
      </c>
    </row>
    <row r="50">
      <c r="A50" t="inlineStr">
        <is>
          <t xml:space="preserve">  All tax-computation cells show "=0  (placeholder — wire to LAMBDA)"</t>
        </is>
      </c>
    </row>
    <row r="52">
      <c r="A52" s="3" t="inlineStr">
        <is>
          <t>TAB MAP</t>
        </is>
      </c>
    </row>
    <row r="53">
      <c r="A53" t="inlineStr">
        <is>
          <t xml:space="preserve">  README</t>
        </is>
      </c>
    </row>
    <row r="54">
      <c r="A54" t="inlineStr">
        <is>
          <t xml:space="preserve">  CONTROL_PANEL</t>
        </is>
      </c>
    </row>
    <row r="55">
      <c r="A55" t="inlineStr">
        <is>
          <t xml:space="preserve">  Y2025_Sample           — bucket-pattern input table + rollup + strategies table + True Tax Burden box</t>
        </is>
      </c>
    </row>
    <row r="56">
      <c r="A56" t="inlineStr">
        <is>
          <t xml:space="preserve">  Master_Inputs          — long-format parent store (Cedillo Y2024 sample data)</t>
        </is>
      </c>
    </row>
    <row r="57">
      <c r="A57" t="inlineStr">
        <is>
          <t xml:space="preserve">  Strategies_Library     — 20 standard strategies with Buckets_Impacted</t>
        </is>
      </c>
    </row>
    <row r="58">
      <c r="A58" t="inlineStr">
        <is>
          <t xml:space="preserve">  Tax_Summary            — GROUPBY-driven cross-year view</t>
        </is>
      </c>
    </row>
    <row r="59">
      <c r="A59" t="inlineStr">
        <is>
          <t xml:space="preserve">  PBC_List               — GROUPBY-driven document inventory</t>
        </is>
      </c>
    </row>
    <row r="60">
      <c r="A60" t="inlineStr">
        <is>
          <t xml:space="preserve">  Dashboard_Export       — stable named-range block for Jeff</t>
        </is>
      </c>
    </row>
    <row r="61">
      <c r="A61" t="inlineStr">
        <is>
          <t xml:space="preserve">  PROJECTION_HISTORY     — snapshot archive / tie-out workpaper</t>
        </is>
      </c>
    </row>
    <row r="62">
      <c r="A62" t="inlineStr">
        <is>
          <t xml:space="preserve">  Treatment_Profile_Map  — 18 profiles × (Bucket | SE | NIIT | QBI | Primary_Line | Helper_Treatment | Consider_Prompt)</t>
        </is>
      </c>
    </row>
    <row r="63">
      <c r="A63" t="inlineStr">
        <is>
          <t xml:space="preserve">  Tax_Brackets           — 2024/2025 brackets, NIIT/SE/FICA constants</t>
        </is>
      </c>
    </row>
    <row r="64">
      <c r="A64" t="inlineStr">
        <is>
          <t xml:space="preserve">  Dropdown_Lists         — closed sets + per-bucket named ranges for cascading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3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3" customWidth="1" min="4" max="4"/>
    <col width="80" customWidth="1" min="5" max="5"/>
  </cols>
  <sheetData>
    <row r="2">
      <c r="B2" s="1" t="inlineStr">
        <is>
          <t>TAX WORKBOOK — CONTROL PANEL</t>
        </is>
      </c>
    </row>
    <row r="3">
      <c r="B3" s="2" t="inlineStr">
        <is>
          <t>Settings driving the rest of the workbook via named ranges</t>
        </is>
      </c>
    </row>
    <row r="5">
      <c r="B5" s="3" t="inlineStr">
        <is>
          <t>▸ SETTINGS</t>
        </is>
      </c>
    </row>
    <row r="6">
      <c r="B6" s="4" t="inlineStr">
        <is>
          <t>Tax Year Being Analyzed</t>
        </is>
      </c>
      <c r="C6" s="5" t="n">
        <v>2025</v>
      </c>
      <c r="E6" s="2" t="inlineStr">
        <is>
          <t>TaxYear — drives bracket/limit lookups</t>
        </is>
      </c>
    </row>
    <row r="7">
      <c r="B7" s="4" t="inlineStr">
        <is>
          <t>Filing Status</t>
        </is>
      </c>
      <c r="C7" s="5" t="inlineStr">
        <is>
          <t>MFJ</t>
        </is>
      </c>
      <c r="E7" s="2" t="inlineStr">
        <is>
          <t>FilingStatus — Single | MFJ | MFS | HOH</t>
        </is>
      </c>
    </row>
    <row r="8">
      <c r="B8" s="4" t="inlineStr">
        <is>
          <t>Client ID</t>
        </is>
      </c>
      <c r="C8" s="5" t="inlineStr">
        <is>
          <t>SAMPLE</t>
        </is>
      </c>
      <c r="E8" s="2" t="inlineStr">
        <is>
          <t>ClientID — Master_Inputs filtering key</t>
        </is>
      </c>
    </row>
    <row r="9">
      <c r="B9" s="4" t="inlineStr">
        <is>
          <t>Active Scenario</t>
        </is>
      </c>
      <c r="C9" s="5" t="inlineStr">
        <is>
          <t>S1</t>
        </is>
      </c>
      <c r="E9" s="2" t="inlineStr">
        <is>
          <t>Baseline | Override | S1 | S2 | AsFiled</t>
        </is>
      </c>
    </row>
    <row r="10">
      <c r="B10" s="4" t="inlineStr">
        <is>
          <t>Include Strategies</t>
        </is>
      </c>
      <c r="C10" s="5" t="b">
        <v>1</v>
      </c>
      <c r="E10" s="2" t="inlineStr">
        <is>
          <t>Include_Strategies — toggles strategy layer in rollup</t>
        </is>
      </c>
    </row>
    <row r="11">
      <c r="B11" s="4" t="inlineStr">
        <is>
          <t>Include Adjustments</t>
        </is>
      </c>
      <c r="C11" s="5" t="b">
        <v>1</v>
      </c>
      <c r="E11" s="2" t="inlineStr">
        <is>
          <t>Include_Adjustments — toggles adjustment layer</t>
        </is>
      </c>
    </row>
    <row r="14">
      <c r="B14" s="3" t="inlineStr">
        <is>
          <t>▸ MACRO SHORTCUTS (real workbook only — placeholders)</t>
        </is>
      </c>
    </row>
    <row r="15">
      <c r="B15" s="6" t="inlineStr">
        <is>
          <t>PushAllYearsToMaster</t>
        </is>
      </c>
      <c r="C15" s="2" t="inlineStr">
        <is>
          <t>Auto on Ctrl+S — pushes year sheets to Master_Inputs</t>
        </is>
      </c>
    </row>
    <row r="16">
      <c r="B16" s="6" t="inlineStr">
        <is>
          <t>PushCommittedStrategies</t>
        </is>
      </c>
      <c r="C16" s="2" t="inlineStr">
        <is>
          <t>Push only strategies with Status IN (Committed, Implemented)</t>
        </is>
      </c>
    </row>
    <row r="17">
      <c r="B17" s="6" t="inlineStr">
        <is>
          <t>RefreshInputsFromMaster</t>
        </is>
      </c>
      <c r="C17" s="2" t="inlineStr">
        <is>
          <t>Manual: master → active year sheet (overwrites!)</t>
        </is>
      </c>
    </row>
    <row r="18">
      <c r="B18" s="6" t="inlineStr">
        <is>
          <t>CommitPlanningRow</t>
        </is>
      </c>
      <c r="C18" s="2" t="inlineStr">
        <is>
          <t>Approved → Committed; stamps date; triggers master push</t>
        </is>
      </c>
    </row>
    <row r="19">
      <c r="B19" s="6" t="inlineStr">
        <is>
          <t>ConvertStrategyToInput</t>
        </is>
      </c>
      <c r="C19" s="2" t="inlineStr">
        <is>
          <t>Strategy → new Baseline row in next year</t>
        </is>
      </c>
    </row>
    <row r="20">
      <c r="B20" s="6" t="inlineStr">
        <is>
          <t>SnapshotProjection</t>
        </is>
      </c>
      <c r="C20" s="2" t="inlineStr">
        <is>
          <t>Captures current state to PROJECTION_HISTORY</t>
        </is>
      </c>
    </row>
    <row r="21">
      <c r="B21" s="6" t="inlineStr">
        <is>
          <t>RunRollover</t>
        </is>
      </c>
      <c r="C21" s="2" t="inlineStr">
        <is>
          <t>Year-end: snapshot, increment year, build next-year skeleton</t>
        </is>
      </c>
    </row>
    <row r="22">
      <c r="B22" s="6" t="inlineStr">
        <is>
          <t>InstallKissLambdas</t>
        </is>
      </c>
      <c r="C22" s="2" t="inlineStr">
        <is>
          <t>One-time: register 7+ KISS LAMBDAs</t>
        </is>
      </c>
    </row>
    <row r="23">
      <c r="B23" s="6" t="inlineStr">
        <is>
          <t>PullExtractionsToAsFiled</t>
        </is>
      </c>
      <c r="C23" s="2" t="inlineStr">
        <is>
          <t>Pull extraction file → AsFiled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30" customWidth="1" min="11" max="11"/>
    <col width="11" customWidth="1" min="12" max="12"/>
    <col width="12" customWidth="1" min="13" max="13"/>
    <col width="13" customWidth="1" min="14" max="14"/>
    <col width="11" customWidth="1" min="15" max="15"/>
    <col width="18" customWidth="1" min="16" max="16"/>
    <col width="50" customWidth="1" min="17" max="17"/>
    <col width="10" customWidth="1" min="19" max="19"/>
    <col width="32" customWidth="1" min="20" max="20"/>
    <col width="14" customWidth="1" min="21" max="21"/>
    <col width="12" customWidth="1" min="22" max="22"/>
    <col width="12" customWidth="1" min="23" max="23"/>
    <col width="14" customWidth="1" min="24" max="24"/>
    <col width="14" customWidth="1" min="25" max="25"/>
    <col width="12" customWidth="1" min="26" max="26"/>
    <col width="12" customWidth="1" min="27" max="27"/>
    <col width="14" customWidth="1" min="28" max="28"/>
    <col width="14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Y2025 — sample year sheet (KISS pattern)</t>
        </is>
      </c>
    </row>
    <row r="2">
      <c r="A2" s="2" t="inlineStr">
        <is>
          <t>LEFT (A:Q) = bucket-pattern input table.  RIGHT (S:AG) = rollup + LAMBDA calc + planning strategies + True Tax Burden.</t>
        </is>
      </c>
    </row>
    <row r="3">
      <c r="A3" s="2" t="inlineStr">
        <is>
          <t>Yellow = preparer input; Gray = derived formula; Blue = key/dropdown.</t>
        </is>
      </c>
    </row>
    <row r="5">
      <c r="A5" s="3" t="inlineStr">
        <is>
          <t>INPUTS — tblY2025_Inputs  (one table for Baseline + Adjustment + Tax Strategy; distinguished by Source_Layer + Status)</t>
        </is>
      </c>
      <c r="S5" s="3" t="inlineStr">
        <is>
          <t>TAX ROLLUP (S:AC)</t>
        </is>
      </c>
    </row>
    <row r="6">
      <c r="A6" s="7" t="inlineStr">
        <is>
          <t>Source_ID</t>
        </is>
      </c>
      <c r="B6" s="7" t="inlineStr">
        <is>
          <t>Bucket</t>
        </is>
      </c>
      <c r="C6" s="7" t="inlineStr">
        <is>
          <t>Treatment_Profile</t>
        </is>
      </c>
      <c r="D6" s="7" t="inlineStr">
        <is>
          <t>Source_Document</t>
        </is>
      </c>
      <c r="E6" s="7" t="inlineStr">
        <is>
          <t>Source_Layer</t>
        </is>
      </c>
      <c r="F6" s="7" t="inlineStr">
        <is>
          <t>Status</t>
        </is>
      </c>
      <c r="G6" s="7" t="inlineStr">
        <is>
          <t>Payor</t>
        </is>
      </c>
      <c r="H6" s="7" t="inlineStr">
        <is>
          <t>Baseline_Amount</t>
        </is>
      </c>
      <c r="I6" s="7" t="inlineStr">
        <is>
          <t>Helper_Amount</t>
        </is>
      </c>
      <c r="J6" s="7" t="inlineStr">
        <is>
          <t>Adjustment_Amount</t>
        </is>
      </c>
      <c r="K6" s="7" t="inlineStr">
        <is>
          <t>Consider</t>
        </is>
      </c>
      <c r="L6" s="7" t="inlineStr">
        <is>
          <t>Provenance</t>
        </is>
      </c>
      <c r="M6" s="7" t="inlineStr">
        <is>
          <t>Notes</t>
        </is>
      </c>
      <c r="N6" s="7" t="inlineStr">
        <is>
          <t>SE_Subject</t>
        </is>
      </c>
      <c r="O6" s="7" t="inlineStr">
        <is>
          <t>NIIT_Class</t>
        </is>
      </c>
      <c r="P6" s="7" t="inlineStr">
        <is>
          <t>QBI_Eligible</t>
        </is>
      </c>
      <c r="Q6" s="7" t="inlineStr">
        <is>
          <t>Primary_Line</t>
        </is>
      </c>
      <c r="R6" s="7" t="inlineStr">
        <is>
          <t>Helper_Treatment</t>
        </is>
      </c>
      <c r="S6" s="7" t="inlineStr">
        <is>
          <t>Line</t>
        </is>
      </c>
      <c r="T6" s="7" t="inlineStr">
        <is>
          <t>Description</t>
        </is>
      </c>
      <c r="U6" s="7" t="inlineStr">
        <is>
          <t>Baseline</t>
        </is>
      </c>
      <c r="V6" s="7" t="inlineStr">
        <is>
          <t>Σ Adj</t>
        </is>
      </c>
      <c r="W6" s="7" t="inlineStr">
        <is>
          <t>Σ Strat</t>
        </is>
      </c>
      <c r="X6" s="7" t="inlineStr">
        <is>
          <t>Total (Effective)</t>
        </is>
      </c>
    </row>
    <row r="7">
      <c r="A7" s="8" t="inlineStr">
        <is>
          <t>Y25-001</t>
        </is>
      </c>
      <c r="B7" s="8" t="inlineStr">
        <is>
          <t>Wages</t>
        </is>
      </c>
      <c r="C7" s="8" t="inlineStr">
        <is>
          <t>W2_SCorpOwner</t>
        </is>
      </c>
      <c r="D7" s="8" t="inlineStr">
        <is>
          <t>W-2</t>
        </is>
      </c>
      <c r="E7" s="8" t="inlineStr">
        <is>
          <t>Baseline</t>
        </is>
      </c>
      <c r="F7" s="8" t="inlineStr">
        <is>
          <t>Approved</t>
        </is>
      </c>
      <c r="G7" s="8" t="inlineStr">
        <is>
          <t>SampleCo S-Corp</t>
        </is>
      </c>
      <c r="H7" s="8" t="n">
        <v>100000</v>
      </c>
      <c r="I7" s="8" t="n">
        <v>100000</v>
      </c>
      <c r="J7" s="8" t="n">
        <v>0</v>
      </c>
      <c r="K7" s="8" t="inlineStr">
        <is>
          <t>Owner reasonable comp</t>
        </is>
      </c>
      <c r="L7" s="8" t="inlineStr">
        <is>
          <t>Estimate - Preparer</t>
        </is>
      </c>
      <c r="M7" s="8" t="inlineStr"/>
      <c r="N7" s="9">
        <f>IFERROR(XLOOKUP(C7, tblTreatmentProfileMap[Profile], tblTreatmentProfileMap[SE_Subject]), "")</f>
        <v/>
      </c>
      <c r="O7" s="9">
        <f>IFERROR(XLOOKUP(C7, tblTreatmentProfileMap[Profile], tblTreatmentProfileMap[NIIT_Class]), "")</f>
        <v/>
      </c>
      <c r="P7" s="9">
        <f>IFERROR(XLOOKUP(C7, tblTreatmentProfileMap[Profile], tblTreatmentProfileMap[QBI_Eligible]), "")</f>
        <v/>
      </c>
      <c r="Q7" s="9">
        <f>IFERROR(XLOOKUP(C7, tblTreatmentProfileMap[Profile], tblTreatmentProfileMap[Primary_Line]), "")</f>
        <v/>
      </c>
      <c r="R7" s="9">
        <f>IFERROR(XLOOKUP(C7, tblTreatmentProfileMap[Profile], tblTreatmentProfileMap[Helper_Treatment]), "")</f>
        <v/>
      </c>
      <c r="S7" s="9" t="inlineStr">
        <is>
          <t>1z</t>
        </is>
      </c>
      <c r="T7" t="inlineStr">
        <is>
          <t>Wages</t>
        </is>
      </c>
      <c r="U7">
        <f>SUMIFS(tblY2025_Inputs[Baseline_Amount], tblY2025_Inputs[Primary_Line], $S7, tblY2025_Inputs[Source_Layer], "Baseline")</f>
        <v/>
      </c>
      <c r="V7">
        <f>SUMIFS(tblY2025_Inputs[Adjustment_Amount], tblY2025_Inputs[Primary_Line], $S7)</f>
        <v/>
      </c>
      <c r="W7">
        <f>SUMIFS(tblY2025_Inputs[Baseline_Amount], tblY2025_Inputs[Primary_Line], $S7, tblY2025_Inputs[Source_Layer], "Tax Strategy", tblY2025_Inputs[Status], "Committed") + SUMIFS(tblY2025_Inputs[Baseline_Amount], tblY2025_Inputs[Primary_Line], $S7, tblY2025_Inputs[Source_Layer], "Tax Strategy", tblY2025_Inputs[Status], "Implemented")</f>
        <v/>
      </c>
      <c r="X7">
        <f>U7+V7+IF(Include_Strategies, W7, 0)</f>
        <v/>
      </c>
    </row>
    <row r="8">
      <c r="A8" s="8" t="inlineStr">
        <is>
          <t>Y25-002</t>
        </is>
      </c>
      <c r="B8" s="8" t="inlineStr">
        <is>
          <t>Business Income</t>
        </is>
      </c>
      <c r="C8" s="8" t="inlineStr">
        <is>
          <t>K1_SCorp_Active</t>
        </is>
      </c>
      <c r="D8" s="8" t="inlineStr">
        <is>
          <t>K-1</t>
        </is>
      </c>
      <c r="E8" s="8" t="inlineStr">
        <is>
          <t>Baseline</t>
        </is>
      </c>
      <c r="F8" s="8" t="inlineStr">
        <is>
          <t>Approved</t>
        </is>
      </c>
      <c r="G8" s="8" t="inlineStr">
        <is>
          <t>SampleCo S-Corp K-1</t>
        </is>
      </c>
      <c r="H8" s="8" t="n">
        <v>200000</v>
      </c>
      <c r="I8" s="8" t="n">
        <v>0</v>
      </c>
      <c r="J8" s="8" t="n">
        <v>0</v>
      </c>
      <c r="K8" s="8" t="inlineStr">
        <is>
          <t>Active S-corp K-1</t>
        </is>
      </c>
      <c r="L8" s="8" t="inlineStr">
        <is>
          <t>PY Rolled Forward</t>
        </is>
      </c>
      <c r="M8" s="8" t="inlineStr"/>
      <c r="N8" s="9">
        <f>IFERROR(XLOOKUP(C8, tblTreatmentProfileMap[Profile], tblTreatmentProfileMap[SE_Subject]), "")</f>
        <v/>
      </c>
      <c r="O8" s="9">
        <f>IFERROR(XLOOKUP(C8, tblTreatmentProfileMap[Profile], tblTreatmentProfileMap[NIIT_Class]), "")</f>
        <v/>
      </c>
      <c r="P8" s="9">
        <f>IFERROR(XLOOKUP(C8, tblTreatmentProfileMap[Profile], tblTreatmentProfileMap[QBI_Eligible]), "")</f>
        <v/>
      </c>
      <c r="Q8" s="9">
        <f>IFERROR(XLOOKUP(C8, tblTreatmentProfileMap[Profile], tblTreatmentProfileMap[Primary_Line]), "")</f>
        <v/>
      </c>
      <c r="R8" s="9">
        <f>IFERROR(XLOOKUP(C8, tblTreatmentProfileMap[Profile], tblTreatmentProfileMap[Helper_Treatment]), "")</f>
        <v/>
      </c>
      <c r="S8" s="9" t="inlineStr">
        <is>
          <t>2a</t>
        </is>
      </c>
      <c r="T8" t="inlineStr">
        <is>
          <t>Tax-exempt interest</t>
        </is>
      </c>
      <c r="U8">
        <f>SUMIFS(tblY2025_Inputs[Baseline_Amount], tblY2025_Inputs[Primary_Line], $S8, tblY2025_Inputs[Source_Layer], "Baseline")</f>
        <v/>
      </c>
      <c r="V8">
        <f>SUMIFS(tblY2025_Inputs[Adjustment_Amount], tblY2025_Inputs[Primary_Line], $S8)</f>
        <v/>
      </c>
      <c r="W8">
        <f>SUMIFS(tblY2025_Inputs[Baseline_Amount], tblY2025_Inputs[Primary_Line], $S8, tblY2025_Inputs[Source_Layer], "Tax Strategy", tblY2025_Inputs[Status], "Committed") + SUMIFS(tblY2025_Inputs[Baseline_Amount], tblY2025_Inputs[Primary_Line], $S8, tblY2025_Inputs[Source_Layer], "Tax Strategy", tblY2025_Inputs[Status], "Implemented")</f>
        <v/>
      </c>
      <c r="X8">
        <f>U8+V8+IF(Include_Strategies, W8, 0)</f>
        <v/>
      </c>
    </row>
    <row r="9">
      <c r="A9" s="8" t="inlineStr">
        <is>
          <t>Y25-003</t>
        </is>
      </c>
      <c r="B9" s="8" t="inlineStr">
        <is>
          <t>Investment Income</t>
        </is>
      </c>
      <c r="C9" s="8" t="inlineStr">
        <is>
          <t>Div_Qualified</t>
        </is>
      </c>
      <c r="D9" s="8" t="inlineStr">
        <is>
          <t>1099-DIV</t>
        </is>
      </c>
      <c r="E9" s="8" t="inlineStr">
        <is>
          <t>Baseline</t>
        </is>
      </c>
      <c r="F9" s="8" t="inlineStr">
        <is>
          <t>Approved</t>
        </is>
      </c>
      <c r="G9" s="8" t="inlineStr">
        <is>
          <t>Brokerage</t>
        </is>
      </c>
      <c r="H9" s="8" t="n">
        <v>10000</v>
      </c>
      <c r="I9" s="8" t="n">
        <v>7000</v>
      </c>
      <c r="J9" s="8" t="n">
        <v>0</v>
      </c>
      <c r="K9" s="8" t="inlineStr">
        <is>
          <t>$7K qualified portion</t>
        </is>
      </c>
      <c r="L9" s="8" t="inlineStr">
        <is>
          <t>PBC - Received</t>
        </is>
      </c>
      <c r="M9" s="8" t="inlineStr"/>
      <c r="N9" s="9">
        <f>IFERROR(XLOOKUP(C9, tblTreatmentProfileMap[Profile], tblTreatmentProfileMap[SE_Subject]), "")</f>
        <v/>
      </c>
      <c r="O9" s="9">
        <f>IFERROR(XLOOKUP(C9, tblTreatmentProfileMap[Profile], tblTreatmentProfileMap[NIIT_Class]), "")</f>
        <v/>
      </c>
      <c r="P9" s="9">
        <f>IFERROR(XLOOKUP(C9, tblTreatmentProfileMap[Profile], tblTreatmentProfileMap[QBI_Eligible]), "")</f>
        <v/>
      </c>
      <c r="Q9" s="9">
        <f>IFERROR(XLOOKUP(C9, tblTreatmentProfileMap[Profile], tblTreatmentProfileMap[Primary_Line]), "")</f>
        <v/>
      </c>
      <c r="R9" s="9">
        <f>IFERROR(XLOOKUP(C9, tblTreatmentProfileMap[Profile], tblTreatmentProfileMap[Helper_Treatment]), "")</f>
        <v/>
      </c>
      <c r="S9" s="9" t="inlineStr">
        <is>
          <t>2b</t>
        </is>
      </c>
      <c r="T9" t="inlineStr">
        <is>
          <t>Taxable interest</t>
        </is>
      </c>
      <c r="U9">
        <f>SUMIFS(tblY2025_Inputs[Baseline_Amount], tblY2025_Inputs[Primary_Line], $S9, tblY2025_Inputs[Source_Layer], "Baseline")</f>
        <v/>
      </c>
      <c r="V9">
        <f>SUMIFS(tblY2025_Inputs[Adjustment_Amount], tblY2025_Inputs[Primary_Line], $S9)</f>
        <v/>
      </c>
      <c r="W9">
        <f>SUMIFS(tblY2025_Inputs[Baseline_Amount], tblY2025_Inputs[Primary_Line], $S9, tblY2025_Inputs[Source_Layer], "Tax Strategy", tblY2025_Inputs[Status], "Committed") + SUMIFS(tblY2025_Inputs[Baseline_Amount], tblY2025_Inputs[Primary_Line], $S9, tblY2025_Inputs[Source_Layer], "Tax Strategy", tblY2025_Inputs[Status], "Implemented")</f>
        <v/>
      </c>
      <c r="X9">
        <f>U9+V9+IF(Include_Strategies, W9, 0)</f>
        <v/>
      </c>
    </row>
    <row r="10">
      <c r="A10" s="8" t="inlineStr">
        <is>
          <t>Y25-004</t>
        </is>
      </c>
      <c r="B10" s="8" t="inlineStr">
        <is>
          <t>Capital Gains</t>
        </is>
      </c>
      <c r="C10" s="8" t="inlineStr">
        <is>
          <t>LTCG_Stock</t>
        </is>
      </c>
      <c r="D10" s="8" t="inlineStr">
        <is>
          <t>1099-B</t>
        </is>
      </c>
      <c r="E10" s="8" t="inlineStr">
        <is>
          <t>Baseline</t>
        </is>
      </c>
      <c r="F10" s="8" t="inlineStr">
        <is>
          <t>Approved</t>
        </is>
      </c>
      <c r="G10" s="8" t="inlineStr">
        <is>
          <t>Brokerage</t>
        </is>
      </c>
      <c r="H10" s="8" t="n">
        <v>25000</v>
      </c>
      <c r="I10" s="8" t="n">
        <v>0</v>
      </c>
      <c r="J10" s="8" t="n">
        <v>0</v>
      </c>
      <c r="K10" s="8" t="inlineStr">
        <is>
          <t>All long-term</t>
        </is>
      </c>
      <c r="L10" s="8" t="inlineStr">
        <is>
          <t>PBC - Requested</t>
        </is>
      </c>
      <c r="M10" s="8" t="inlineStr"/>
      <c r="N10" s="9">
        <f>IFERROR(XLOOKUP(C10, tblTreatmentProfileMap[Profile], tblTreatmentProfileMap[SE_Subject]), "")</f>
        <v/>
      </c>
      <c r="O10" s="9">
        <f>IFERROR(XLOOKUP(C10, tblTreatmentProfileMap[Profile], tblTreatmentProfileMap[NIIT_Class]), "")</f>
        <v/>
      </c>
      <c r="P10" s="9">
        <f>IFERROR(XLOOKUP(C10, tblTreatmentProfileMap[Profile], tblTreatmentProfileMap[QBI_Eligible]), "")</f>
        <v/>
      </c>
      <c r="Q10" s="9">
        <f>IFERROR(XLOOKUP(C10, tblTreatmentProfileMap[Profile], tblTreatmentProfileMap[Primary_Line]), "")</f>
        <v/>
      </c>
      <c r="R10" s="9">
        <f>IFERROR(XLOOKUP(C10, tblTreatmentProfileMap[Profile], tblTreatmentProfileMap[Helper_Treatment]), "")</f>
        <v/>
      </c>
      <c r="S10" s="9" t="inlineStr">
        <is>
          <t>3a</t>
        </is>
      </c>
      <c r="T10" t="inlineStr">
        <is>
          <t>Qualified dividends</t>
        </is>
      </c>
      <c r="U10">
        <f>SUMIFS(tblY2025_Inputs[Baseline_Amount], tblY2025_Inputs[Primary_Line], $S10, tblY2025_Inputs[Source_Layer], "Baseline")</f>
        <v/>
      </c>
      <c r="V10">
        <f>SUMIFS(tblY2025_Inputs[Adjustment_Amount], tblY2025_Inputs[Primary_Line], $S10)</f>
        <v/>
      </c>
      <c r="W10">
        <f>SUMIFS(tblY2025_Inputs[Baseline_Amount], tblY2025_Inputs[Primary_Line], $S10, tblY2025_Inputs[Source_Layer], "Tax Strategy", tblY2025_Inputs[Status], "Committed") + SUMIFS(tblY2025_Inputs[Baseline_Amount], tblY2025_Inputs[Primary_Line], $S10, tblY2025_Inputs[Source_Layer], "Tax Strategy", tblY2025_Inputs[Status], "Implemented")</f>
        <v/>
      </c>
      <c r="X10">
        <f>U10+V10+IF(Include_Strategies, W10, 0)</f>
        <v/>
      </c>
    </row>
    <row r="11">
      <c r="A11" s="8" t="inlineStr">
        <is>
          <t>STR-001</t>
        </is>
      </c>
      <c r="B11" s="8" t="inlineStr">
        <is>
          <t>Wages</t>
        </is>
      </c>
      <c r="C11" s="8" t="inlineStr">
        <is>
          <t>W2_SCorpOwner</t>
        </is>
      </c>
      <c r="D11" s="8" t="inlineStr"/>
      <c r="E11" s="8" t="inlineStr">
        <is>
          <t>Tax Strategy</t>
        </is>
      </c>
      <c r="F11" s="8" t="inlineStr">
        <is>
          <t>Committed</t>
        </is>
      </c>
      <c r="G11" s="8" t="inlineStr">
        <is>
          <t>SampleCo S-Corp</t>
        </is>
      </c>
      <c r="H11" s="8" t="n">
        <v>-25000</v>
      </c>
      <c r="I11" s="8" t="n">
        <v>-25000</v>
      </c>
      <c r="J11" s="8" t="n">
        <v>0</v>
      </c>
      <c r="K11" s="8" t="inlineStr">
        <is>
          <t>S-Corp salary reduction</t>
        </is>
      </c>
      <c r="L11" s="8" t="inlineStr">
        <is>
          <t>Estimate - Preparer</t>
        </is>
      </c>
      <c r="M11" s="8" t="inlineStr">
        <is>
          <t>STD-008 Wage Optimization</t>
        </is>
      </c>
      <c r="N11" s="9">
        <f>IFERROR(XLOOKUP(C11, tblTreatmentProfileMap[Profile], tblTreatmentProfileMap[SE_Subject]), "")</f>
        <v/>
      </c>
      <c r="O11" s="9">
        <f>IFERROR(XLOOKUP(C11, tblTreatmentProfileMap[Profile], tblTreatmentProfileMap[NIIT_Class]), "")</f>
        <v/>
      </c>
      <c r="P11" s="9">
        <f>IFERROR(XLOOKUP(C11, tblTreatmentProfileMap[Profile], tblTreatmentProfileMap[QBI_Eligible]), "")</f>
        <v/>
      </c>
      <c r="Q11" s="9">
        <f>IFERROR(XLOOKUP(C11, tblTreatmentProfileMap[Profile], tblTreatmentProfileMap[Primary_Line]), "")</f>
        <v/>
      </c>
      <c r="R11" s="9">
        <f>IFERROR(XLOOKUP(C11, tblTreatmentProfileMap[Profile], tblTreatmentProfileMap[Helper_Treatment]), "")</f>
        <v/>
      </c>
      <c r="S11" s="9" t="inlineStr">
        <is>
          <t>3b</t>
        </is>
      </c>
      <c r="T11" t="inlineStr">
        <is>
          <t>Ordinary dividends (total)</t>
        </is>
      </c>
      <c r="U11">
        <f>SUMIFS(tblY2025_Inputs[Baseline_Amount], tblY2025_Inputs[Primary_Line], $S11, tblY2025_Inputs[Source_Layer], "Baseline")</f>
        <v/>
      </c>
      <c r="V11">
        <f>SUMIFS(tblY2025_Inputs[Adjustment_Amount], tblY2025_Inputs[Primary_Line], $S11)</f>
        <v/>
      </c>
      <c r="W11">
        <f>SUMIFS(tblY2025_Inputs[Baseline_Amount], tblY2025_Inputs[Primary_Line], $S11, tblY2025_Inputs[Source_Layer], "Tax Strategy", tblY2025_Inputs[Status], "Committed") + SUMIFS(tblY2025_Inputs[Baseline_Amount], tblY2025_Inputs[Primary_Line], $S11, tblY2025_Inputs[Source_Layer], "Tax Strategy", tblY2025_Inputs[Status], "Implemented")</f>
        <v/>
      </c>
      <c r="X11">
        <f>U11+V11+IF(Include_Strategies, W11, 0)</f>
        <v/>
      </c>
    </row>
    <row r="12">
      <c r="A12" s="8" t="inlineStr">
        <is>
          <t>STR-002</t>
        </is>
      </c>
      <c r="B12" s="8" t="inlineStr">
        <is>
          <t>Adjustment</t>
        </is>
      </c>
      <c r="C12" s="8" t="inlineStr">
        <is>
          <t>Adj_HSA</t>
        </is>
      </c>
      <c r="D12" s="8" t="inlineStr">
        <is>
          <t>HSA Stmt</t>
        </is>
      </c>
      <c r="E12" s="8" t="inlineStr">
        <is>
          <t>Tax Strategy</t>
        </is>
      </c>
      <c r="F12" s="8" t="inlineStr">
        <is>
          <t>Committed</t>
        </is>
      </c>
      <c r="G12" s="8" t="inlineStr"/>
      <c r="H12" s="8" t="n">
        <v>-8550</v>
      </c>
      <c r="I12" s="8" t="n">
        <v>0</v>
      </c>
      <c r="J12" s="8" t="n">
        <v>0</v>
      </c>
      <c r="K12" s="8" t="inlineStr">
        <is>
          <t>Family HSA max for 2025</t>
        </is>
      </c>
      <c r="L12" s="8" t="inlineStr">
        <is>
          <t>Estimate - Preparer</t>
        </is>
      </c>
      <c r="M12" s="8" t="inlineStr">
        <is>
          <t>STD-001 Retirement (HSA)</t>
        </is>
      </c>
      <c r="N12" s="9">
        <f>IFERROR(XLOOKUP(C12, tblTreatmentProfileMap[Profile], tblTreatmentProfileMap[SE_Subject]), "")</f>
        <v/>
      </c>
      <c r="O12" s="9">
        <f>IFERROR(XLOOKUP(C12, tblTreatmentProfileMap[Profile], tblTreatmentProfileMap[NIIT_Class]), "")</f>
        <v/>
      </c>
      <c r="P12" s="9">
        <f>IFERROR(XLOOKUP(C12, tblTreatmentProfileMap[Profile], tblTreatmentProfileMap[QBI_Eligible]), "")</f>
        <v/>
      </c>
      <c r="Q12" s="9">
        <f>IFERROR(XLOOKUP(C12, tblTreatmentProfileMap[Profile], tblTreatmentProfileMap[Primary_Line]), "")</f>
        <v/>
      </c>
      <c r="R12" s="9">
        <f>IFERROR(XLOOKUP(C12, tblTreatmentProfileMap[Profile], tblTreatmentProfileMap[Helper_Treatment]), "")</f>
        <v/>
      </c>
      <c r="S12" s="9" t="inlineStr">
        <is>
          <t>7</t>
        </is>
      </c>
      <c r="T12" t="inlineStr">
        <is>
          <t>Capital gain or (loss)</t>
        </is>
      </c>
      <c r="U12">
        <f>SUMIFS(tblY2025_Inputs[Baseline_Amount], tblY2025_Inputs[Primary_Line], $S12, tblY2025_Inputs[Source_Layer], "Baseline")</f>
        <v/>
      </c>
      <c r="V12">
        <f>SUMIFS(tblY2025_Inputs[Adjustment_Amount], tblY2025_Inputs[Primary_Line], $S12)</f>
        <v/>
      </c>
      <c r="W12">
        <f>SUMIFS(tblY2025_Inputs[Baseline_Amount], tblY2025_Inputs[Primary_Line], $S12, tblY2025_Inputs[Source_Layer], "Tax Strategy", tblY2025_Inputs[Status], "Committed") + SUMIFS(tblY2025_Inputs[Baseline_Amount], tblY2025_Inputs[Primary_Line], $S12, tblY2025_Inputs[Source_Layer], "Tax Strategy", tblY2025_Inputs[Status], "Implemented")</f>
        <v/>
      </c>
      <c r="X12">
        <f>U12+V12+IF(Include_Strategies, W12, 0)</f>
        <v/>
      </c>
    </row>
    <row r="13">
      <c r="A13" s="8" t="inlineStr">
        <is>
          <t>STR-003</t>
        </is>
      </c>
      <c r="B13" s="8" t="inlineStr">
        <is>
          <t>Itemized</t>
        </is>
      </c>
      <c r="C13" s="8" t="inlineStr">
        <is>
          <t>Itm_Charity</t>
        </is>
      </c>
      <c r="D13" s="8" t="inlineStr"/>
      <c r="E13" s="8" t="inlineStr">
        <is>
          <t>Tax Strategy</t>
        </is>
      </c>
      <c r="F13" s="8" t="inlineStr">
        <is>
          <t>Proposed</t>
        </is>
      </c>
      <c r="G13" s="8" t="inlineStr"/>
      <c r="H13" s="8" t="n">
        <v>15000</v>
      </c>
      <c r="I13" s="8" t="n">
        <v>0</v>
      </c>
      <c r="J13" s="8" t="n">
        <v>0</v>
      </c>
      <c r="K13" s="8" t="inlineStr">
        <is>
          <t>DAF stack for bunching</t>
        </is>
      </c>
      <c r="L13" s="8" t="inlineStr">
        <is>
          <t>Estimate - Preparer</t>
        </is>
      </c>
      <c r="M13" s="8" t="inlineStr">
        <is>
          <t>ADV-002 — excluded from Σ Strat (Proposed)</t>
        </is>
      </c>
      <c r="N13" s="9">
        <f>IFERROR(XLOOKUP(C13, tblTreatmentProfileMap[Profile], tblTreatmentProfileMap[SE_Subject]), "")</f>
        <v/>
      </c>
      <c r="O13" s="9">
        <f>IFERROR(XLOOKUP(C13, tblTreatmentProfileMap[Profile], tblTreatmentProfileMap[NIIT_Class]), "")</f>
        <v/>
      </c>
      <c r="P13" s="9">
        <f>IFERROR(XLOOKUP(C13, tblTreatmentProfileMap[Profile], tblTreatmentProfileMap[QBI_Eligible]), "")</f>
        <v/>
      </c>
      <c r="Q13" s="9">
        <f>IFERROR(XLOOKUP(C13, tblTreatmentProfileMap[Profile], tblTreatmentProfileMap[Primary_Line]), "")</f>
        <v/>
      </c>
      <c r="R13" s="9">
        <f>IFERROR(XLOOKUP(C13, tblTreatmentProfileMap[Profile], tblTreatmentProfileMap[Helper_Treatment]), "")</f>
        <v/>
      </c>
      <c r="S13" s="9" t="inlineStr">
        <is>
          <t>8</t>
        </is>
      </c>
      <c r="T13" t="inlineStr">
        <is>
          <t>Other income (Sch 1)</t>
        </is>
      </c>
      <c r="U13">
        <f>SUMIFS(tblY2025_Inputs[Baseline_Amount], tblY2025_Inputs[Primary_Line], $S13, tblY2025_Inputs[Source_Layer], "Baseline")</f>
        <v/>
      </c>
      <c r="V13">
        <f>SUMIFS(tblY2025_Inputs[Adjustment_Amount], tblY2025_Inputs[Primary_Line], $S13)</f>
        <v/>
      </c>
      <c r="W13">
        <f>SUMIFS(tblY2025_Inputs[Baseline_Amount], tblY2025_Inputs[Primary_Line], $S13, tblY2025_Inputs[Source_Layer], "Tax Strategy", tblY2025_Inputs[Status], "Committed") + SUMIFS(tblY2025_Inputs[Baseline_Amount], tblY2025_Inputs[Primary_Line], $S13, tblY2025_Inputs[Source_Layer], "Tax Strategy", tblY2025_Inputs[Status], "Implemented")</f>
        <v/>
      </c>
      <c r="X13">
        <f>U13+V13+IF(Include_Strategies, W13, 0)</f>
        <v/>
      </c>
    </row>
    <row r="14">
      <c r="A14" s="8" t="inlineStr">
        <is>
          <t>STR-004</t>
        </is>
      </c>
      <c r="B14" s="8" t="inlineStr">
        <is>
          <t>Business Income</t>
        </is>
      </c>
      <c r="C14" s="8" t="inlineStr">
        <is>
          <t>SchE_Rental</t>
        </is>
      </c>
      <c r="D14" s="8" t="inlineStr"/>
      <c r="E14" s="8" t="inlineStr">
        <is>
          <t>Tax Strategy</t>
        </is>
      </c>
      <c r="F14" s="8" t="inlineStr">
        <is>
          <t>Approved</t>
        </is>
      </c>
      <c r="G14" s="8" t="inlineStr"/>
      <c r="H14" s="8" t="n">
        <v>-80000</v>
      </c>
      <c r="I14" s="8" t="n">
        <v>0</v>
      </c>
      <c r="J14" s="8" t="n">
        <v>0</v>
      </c>
      <c r="K14" s="8" t="inlineStr">
        <is>
          <t>Cost Seg study</t>
        </is>
      </c>
      <c r="L14" s="8" t="inlineStr">
        <is>
          <t>Estimate - Preparer</t>
        </is>
      </c>
      <c r="M14" s="8" t="inlineStr">
        <is>
          <t>STD-012 — excluded from Σ Strat (Approved, not Committed)</t>
        </is>
      </c>
      <c r="N14" s="9">
        <f>IFERROR(XLOOKUP(C14, tblTreatmentProfileMap[Profile], tblTreatmentProfileMap[SE_Subject]), "")</f>
        <v/>
      </c>
      <c r="O14" s="9">
        <f>IFERROR(XLOOKUP(C14, tblTreatmentProfileMap[Profile], tblTreatmentProfileMap[NIIT_Class]), "")</f>
        <v/>
      </c>
      <c r="P14" s="9">
        <f>IFERROR(XLOOKUP(C14, tblTreatmentProfileMap[Profile], tblTreatmentProfileMap[QBI_Eligible]), "")</f>
        <v/>
      </c>
      <c r="Q14" s="9">
        <f>IFERROR(XLOOKUP(C14, tblTreatmentProfileMap[Profile], tblTreatmentProfileMap[Primary_Line]), "")</f>
        <v/>
      </c>
      <c r="R14" s="9">
        <f>IFERROR(XLOOKUP(C14, tblTreatmentProfileMap[Profile], tblTreatmentProfileMap[Helper_Treatment]), "")</f>
        <v/>
      </c>
      <c r="S14" s="9" t="inlineStr">
        <is>
          <t>9</t>
        </is>
      </c>
      <c r="T14" t="inlineStr">
        <is>
          <t>TOTAL INCOME</t>
        </is>
      </c>
      <c r="U14">
        <f>SUMIFS(tblY2025_Inputs[Baseline_Amount], tblY2025_Inputs[Primary_Line], $S14, tblY2025_Inputs[Source_Layer], "Baseline")</f>
        <v/>
      </c>
      <c r="V14">
        <f>SUMIFS(tblY2025_Inputs[Adjustment_Amount], tblY2025_Inputs[Primary_Line], $S14)</f>
        <v/>
      </c>
      <c r="W14">
        <f>SUMIFS(tblY2025_Inputs[Baseline_Amount], tblY2025_Inputs[Primary_Line], $S14, tblY2025_Inputs[Source_Layer], "Tax Strategy", tblY2025_Inputs[Status], "Committed") + SUMIFS(tblY2025_Inputs[Baseline_Amount], tblY2025_Inputs[Primary_Line], $S14, tblY2025_Inputs[Source_Layer], "Tax Strategy", tblY2025_Inputs[Status], "Implemented")</f>
        <v/>
      </c>
      <c r="X14">
        <f>U14+V14+IF(Include_Strategies, W14, 0)</f>
        <v/>
      </c>
    </row>
    <row r="15">
      <c r="S15" t="inlineStr">
        <is>
          <t>10</t>
        </is>
      </c>
      <c r="T15" t="inlineStr">
        <is>
          <t>Adjustments to income</t>
        </is>
      </c>
      <c r="U15">
        <f>SUMIFS(tblY2025_Inputs[Baseline_Amount], tblY2025_Inputs[Primary_Line], $S15, tblY2025_Inputs[Source_Layer], "Baseline")</f>
        <v/>
      </c>
      <c r="V15">
        <f>SUMIFS(tblY2025_Inputs[Adjustment_Amount], tblY2025_Inputs[Primary_Line], $S15)</f>
        <v/>
      </c>
      <c r="W15">
        <f>SUMIFS(tblY2025_Inputs[Baseline_Amount], tblY2025_Inputs[Primary_Line], $S15, tblY2025_Inputs[Source_Layer], "Tax Strategy", tblY2025_Inputs[Status], "Committed") + SUMIFS(tblY2025_Inputs[Baseline_Amount], tblY2025_Inputs[Primary_Line], $S15, tblY2025_Inputs[Source_Layer], "Tax Strategy", tblY2025_Inputs[Status], "Implemented")</f>
        <v/>
      </c>
      <c r="X15">
        <f>U15+V15+IF(Include_Strategies, W15, 0)</f>
        <v/>
      </c>
    </row>
    <row r="16">
      <c r="S16" t="inlineStr">
        <is>
          <t>11</t>
        </is>
      </c>
      <c r="T16" t="inlineStr">
        <is>
          <t>AGI</t>
        </is>
      </c>
      <c r="U16">
        <f>SUMIFS(tblY2025_Inputs[Baseline_Amount], tblY2025_Inputs[Primary_Line], $S16, tblY2025_Inputs[Source_Layer], "Baseline")</f>
        <v/>
      </c>
      <c r="V16">
        <f>SUMIFS(tblY2025_Inputs[Adjustment_Amount], tblY2025_Inputs[Primary_Line], $S16)</f>
        <v/>
      </c>
      <c r="W16">
        <f>SUMIFS(tblY2025_Inputs[Baseline_Amount], tblY2025_Inputs[Primary_Line], $S16, tblY2025_Inputs[Source_Layer], "Tax Strategy", tblY2025_Inputs[Status], "Committed") + SUMIFS(tblY2025_Inputs[Baseline_Amount], tblY2025_Inputs[Primary_Line], $S16, tblY2025_Inputs[Source_Layer], "Tax Strategy", tblY2025_Inputs[Status], "Implemented")</f>
        <v/>
      </c>
      <c r="X16">
        <f>U16+V16+IF(Include_Strategies, W16, 0)</f>
        <v/>
      </c>
    </row>
    <row r="17">
      <c r="S17" t="inlineStr">
        <is>
          <t>12</t>
        </is>
      </c>
      <c r="T17" t="inlineStr">
        <is>
          <t>Std/Itemized deduction</t>
        </is>
      </c>
      <c r="U17">
        <f>SUMIFS(tblY2025_Inputs[Baseline_Amount], tblY2025_Inputs[Primary_Line], $S17, tblY2025_Inputs[Source_Layer], "Baseline")</f>
        <v/>
      </c>
      <c r="V17">
        <f>SUMIFS(tblY2025_Inputs[Adjustment_Amount], tblY2025_Inputs[Primary_Line], $S17)</f>
        <v/>
      </c>
      <c r="W17">
        <f>SUMIFS(tblY2025_Inputs[Baseline_Amount], tblY2025_Inputs[Primary_Line], $S17, tblY2025_Inputs[Source_Layer], "Tax Strategy", tblY2025_Inputs[Status], "Committed") + SUMIFS(tblY2025_Inputs[Baseline_Amount], tblY2025_Inputs[Primary_Line], $S17, tblY2025_Inputs[Source_Layer], "Tax Strategy", tblY2025_Inputs[Status], "Implemented")</f>
        <v/>
      </c>
      <c r="X17">
        <f>U17+V17+IF(Include_Strategies, W17, 0)</f>
        <v/>
      </c>
    </row>
    <row r="18">
      <c r="S18" t="inlineStr">
        <is>
          <t>13</t>
        </is>
      </c>
      <c r="T18" t="inlineStr">
        <is>
          <t>QBI deduction</t>
        </is>
      </c>
      <c r="U18">
        <f>SUMIFS(tblY2025_Inputs[Baseline_Amount], tblY2025_Inputs[Primary_Line], $S18, tblY2025_Inputs[Source_Layer], "Baseline")</f>
        <v/>
      </c>
      <c r="V18">
        <f>SUMIFS(tblY2025_Inputs[Adjustment_Amount], tblY2025_Inputs[Primary_Line], $S18)</f>
        <v/>
      </c>
      <c r="W18">
        <f>SUMIFS(tblY2025_Inputs[Baseline_Amount], tblY2025_Inputs[Primary_Line], $S18, tblY2025_Inputs[Source_Layer], "Tax Strategy", tblY2025_Inputs[Status], "Committed") + SUMIFS(tblY2025_Inputs[Baseline_Amount], tblY2025_Inputs[Primary_Line], $S18, tblY2025_Inputs[Source_Layer], "Tax Strategy", tblY2025_Inputs[Status], "Implemented")</f>
        <v/>
      </c>
      <c r="X18">
        <f>U18+V18+IF(Include_Strategies, W18, 0)</f>
        <v/>
      </c>
    </row>
    <row r="19">
      <c r="S19" t="inlineStr">
        <is>
          <t>15</t>
        </is>
      </c>
      <c r="T19" t="inlineStr">
        <is>
          <t>TAXABLE INCOME</t>
        </is>
      </c>
      <c r="U19">
        <f>SUMIFS(tblY2025_Inputs[Baseline_Amount], tblY2025_Inputs[Primary_Line], $S19, tblY2025_Inputs[Source_Layer], "Baseline")</f>
        <v/>
      </c>
      <c r="V19">
        <f>SUMIFS(tblY2025_Inputs[Adjustment_Amount], tblY2025_Inputs[Primary_Line], $S19)</f>
        <v/>
      </c>
      <c r="W19">
        <f>SUMIFS(tblY2025_Inputs[Baseline_Amount], tblY2025_Inputs[Primary_Line], $S19, tblY2025_Inputs[Source_Layer], "Tax Strategy", tblY2025_Inputs[Status], "Committed") + SUMIFS(tblY2025_Inputs[Baseline_Amount], tblY2025_Inputs[Primary_Line], $S19, tblY2025_Inputs[Source_Layer], "Tax Strategy", tblY2025_Inputs[Status], "Implemented")</f>
        <v/>
      </c>
      <c r="X19">
        <f>U19+V19+IF(Include_Strategies, W19, 0)</f>
        <v/>
      </c>
    </row>
    <row r="21">
      <c r="S21" s="3" t="inlineStr">
        <is>
          <t>TAX COMPUTATION (1040)</t>
        </is>
      </c>
    </row>
    <row r="22">
      <c r="S22" s="10" t="inlineStr">
        <is>
          <t>Component</t>
        </is>
      </c>
      <c r="T22" s="10" t="inlineStr">
        <is>
          <t>LAMBDA signature</t>
        </is>
      </c>
      <c r="U22" s="10" t="inlineStr">
        <is>
          <t>Amount</t>
        </is>
      </c>
    </row>
    <row r="23">
      <c r="S23" s="11" t="inlineStr">
        <is>
          <t>Ord Tax</t>
        </is>
      </c>
      <c r="T23" s="2" t="inlineStr">
        <is>
          <t>Calc_OrdinaryTax(Taxable_Income_S1, FilingStatus)</t>
        </is>
      </c>
      <c r="U23">
        <f>0  (replace with LAMBDA)</f>
        <v/>
      </c>
    </row>
    <row r="24">
      <c r="S24" s="11" t="inlineStr">
        <is>
          <t>LTCG Tax</t>
        </is>
      </c>
      <c r="T24" s="2" t="inlineStr">
        <is>
          <t>Calc_CapGainsTax(LTCG_S1, OrdIncome_S1, FilingStatus)</t>
        </is>
      </c>
      <c r="U24">
        <f>0</f>
        <v/>
      </c>
    </row>
    <row r="25">
      <c r="S25" s="11" t="inlineStr">
        <is>
          <t>SE Tax</t>
        </is>
      </c>
      <c r="T25" s="2" t="inlineStr">
        <is>
          <t>Calc_SE_Tax(SE_Income_S1, W2_S1, FilingStatus)</t>
        </is>
      </c>
      <c r="U25">
        <f>0</f>
        <v/>
      </c>
    </row>
    <row r="26">
      <c r="S26" s="11" t="inlineStr">
        <is>
          <t>NIIT</t>
        </is>
      </c>
      <c r="T26" s="2" t="inlineStr">
        <is>
          <t>Calc_NIIT(MAGI_S1, NII_S1, FilingStatus)</t>
        </is>
      </c>
      <c r="U26">
        <f>0</f>
        <v/>
      </c>
    </row>
    <row r="27">
      <c r="S27" s="11" t="inlineStr">
        <is>
          <t>Addl Medicare</t>
        </is>
      </c>
      <c r="T27" s="2" t="inlineStr">
        <is>
          <t>AddlMedicareTax_FN(W2_S1, SE_Income_S1, FilingStatus)</t>
        </is>
      </c>
      <c r="U27">
        <f>0</f>
        <v/>
      </c>
    </row>
    <row r="28">
      <c r="S28" s="4" t="inlineStr">
        <is>
          <t>TOTAL FED TAX</t>
        </is>
      </c>
      <c r="T28" s="2" t="inlineStr">
        <is>
          <t>SUM of above (Form 1040 line 24)</t>
        </is>
      </c>
      <c r="U28">
        <f>SUM(U23:U27)</f>
        <v/>
      </c>
    </row>
    <row r="30">
      <c r="S30" s="3" t="inlineStr">
        <is>
          <t>▸ TRUE TAX BURDEN (1040 + FICA on owner W-2)</t>
        </is>
      </c>
    </row>
    <row r="31">
      <c r="S31" s="11" t="inlineStr">
        <is>
          <t>Owner W-2 Wages</t>
        </is>
      </c>
      <c r="U31">
        <f>SUMIFS(tblY2025_Inputs[Helper_Amount], tblY2025_Inputs[Helper_Treatment], "OWNER_PAY", tblY2025_Inputs[Source_Layer], "Baseline")</f>
        <v/>
      </c>
      <c r="V31" s="2" t="inlineStr">
        <is>
          <t>(Helper_Amount on Baseline rows where Helper_Treatment = OWNER_PAY)</t>
        </is>
      </c>
    </row>
    <row r="32">
      <c r="S32" s="11" t="inlineStr">
        <is>
          <t>FICA Employer Share</t>
        </is>
      </c>
      <c r="U32">
        <f>0  (replace with =FICA_EmployerTax_FN(U31))</f>
        <v/>
      </c>
      <c r="V32" s="2" t="inlineStr">
        <is>
          <t>SS 6.2% + Medicare 1.45% on owner W-2</t>
        </is>
      </c>
    </row>
    <row r="33">
      <c r="S33" s="11" t="inlineStr">
        <is>
          <t>FICA Employee Share</t>
        </is>
      </c>
      <c r="U33">
        <f>0  (replace with =FICA_EmployeeTax_FN(U31))</f>
        <v/>
      </c>
      <c r="V33" s="2" t="inlineStr">
        <is>
          <t>Same rates, employee side — already withheld on W-2 but reflects true cost</t>
        </is>
      </c>
    </row>
    <row r="34">
      <c r="S34" s="4" t="inlineStr">
        <is>
          <t>TOTAL ADDITIONAL</t>
        </is>
      </c>
      <c r="U34">
        <f>U32+U33</f>
        <v/>
      </c>
      <c r="V34" s="2" t="inlineStr">
        <is>
          <t>Employer + Employee FICA on owner W-2</t>
        </is>
      </c>
    </row>
    <row r="35">
      <c r="S35" s="4" t="inlineStr">
        <is>
          <t>TOTAL FED TAX (1040)</t>
        </is>
      </c>
      <c r="U35">
        <f>U28</f>
        <v/>
      </c>
      <c r="V35" s="2" t="inlineStr"/>
    </row>
    <row r="36">
      <c r="S36" s="4" t="inlineStr">
        <is>
          <t>TRUE TAX BURDEN</t>
        </is>
      </c>
      <c r="U36">
        <f>U35+U34</f>
        <v/>
      </c>
      <c r="V36" s="2" t="inlineStr">
        <is>
          <t>1040 tax + double FICA on owner pay</t>
        </is>
      </c>
    </row>
    <row r="40">
      <c r="S40" s="3" t="inlineStr">
        <is>
          <t>▸ STRATEGIES ARE IN tblY2025_Inputs (Source_Layer = "Tax Strategy")</t>
        </is>
      </c>
    </row>
    <row r="41">
      <c r="S41" s="2" t="inlineStr">
        <is>
          <t>Filter the input table by Source_Layer = "Tax Strategy" to see only strategies.</t>
        </is>
      </c>
    </row>
    <row r="42">
      <c r="S42" s="2" t="inlineStr">
        <is>
          <t>Status drives lifecycle: Proposed → Approved → Committed → Implemented → Converted_To_Input.</t>
        </is>
      </c>
    </row>
    <row r="43">
      <c r="S43" s="2" t="inlineStr">
        <is>
          <t>Only Committed and Implemented rows flow into the Σ Strat column of the rollup.</t>
        </is>
      </c>
    </row>
    <row r="44">
      <c r="S44" s="2" t="inlineStr">
        <is>
          <t>Once Converted_To_Input, the row is treated as a regular Baseline (it has become a fact).</t>
        </is>
      </c>
    </row>
    <row r="50">
      <c r="S50" s="3" t="inlineStr">
        <is>
          <t>▸ INTEGRITY CHECK — year-sheet calc vs. master-pivot calc</t>
        </is>
      </c>
    </row>
    <row r="51">
      <c r="S51" s="4" t="inlineStr">
        <is>
          <t>Year-sheet TOTAL FED TAX</t>
        </is>
      </c>
      <c r="U51">
        <f>U28</f>
        <v/>
      </c>
    </row>
    <row r="52">
      <c r="S52" s="4" t="inlineStr">
        <is>
          <t>Master pivot for (Y=2025, Scenario=S1)</t>
        </is>
      </c>
      <c r="U52">
        <f> placeholder — see Tax_Summary for the GROUPBY</f>
        <v/>
      </c>
    </row>
    <row r="53">
      <c r="S53" s="4" t="inlineStr">
        <is>
          <t>Variance (must be 0)</t>
        </is>
      </c>
      <c r="U53">
        <f>U51-IFERROR(U52,0)</f>
        <v/>
      </c>
    </row>
  </sheetData>
  <dataValidations count="6">
    <dataValidation sqref="B7:B200" showDropDown="0" showInputMessage="0" showErrorMessage="0" allowBlank="1" type="list">
      <formula1>=Bucket</formula1>
    </dataValidation>
    <dataValidation sqref="C7:C200" showDropDown="0" showInputMessage="0" showErrorMessage="0" allowBlank="1" type="list">
      <formula1>=INDIRECT(SUBSTITUTE($B7," ","")&amp;"_Profiles")</formula1>
    </dataValidation>
    <dataValidation sqref="D7:D200" showDropDown="0" showInputMessage="0" showErrorMessage="0" allowBlank="1" type="list">
      <formula1>=INDIRECT(SUBSTITUTE($B7," ","")&amp;"_Docs")</formula1>
    </dataValidation>
    <dataValidation sqref="E7:E200" showDropDown="0" showInputMessage="0" showErrorMessage="0" allowBlank="1" type="list">
      <formula1>=Source_Layer</formula1>
    </dataValidation>
    <dataValidation sqref="F7:F200" showDropDown="0" showInputMessage="0" showErrorMessage="0" allowBlank="1" type="list">
      <formula1>=Status</formula1>
    </dataValidation>
    <dataValidation sqref="L7:L200" showDropDown="0" showInputMessage="0" showErrorMessage="0" allowBlank="1" type="list">
      <formula1>=Provenance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11" customWidth="1" min="3" max="3"/>
    <col width="11" customWidth="1" min="4" max="4"/>
    <col width="18" customWidth="1" min="5" max="5"/>
    <col width="18" customWidth="1" min="6" max="6"/>
    <col width="22" customWidth="1" min="7" max="7"/>
    <col width="18" customWidth="1" min="8" max="8"/>
    <col width="14" customWidth="1" min="9" max="9"/>
    <col width="14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30" customWidth="1" min="16" max="16"/>
    <col width="22" customWidth="1" min="17" max="17"/>
    <col width="11" customWidth="1" min="18" max="18"/>
    <col width="12" customWidth="1" min="19" max="19"/>
    <col width="13" customWidth="1" min="20" max="20"/>
    <col width="11" customWidth="1" min="21" max="21"/>
    <col width="18" customWidth="1" min="22" max="22"/>
    <col width="50" customWidth="1" min="23" max="23"/>
    <col width="12" customWidth="1" min="24" max="24"/>
    <col width="12" customWidth="1" min="25" max="25"/>
    <col width="14" customWidth="1" min="26" max="26"/>
  </cols>
  <sheetData>
    <row r="1">
      <c r="A1" s="1" t="inlineStr">
        <is>
          <t>MASTER INPUTS — long-format store (auto-synced from year sheets)</t>
        </is>
      </c>
    </row>
    <row r="2">
      <c r="A2" s="2" t="inlineStr">
        <is>
          <t>Yellow cells = preparer input.  Gray cells = derived (formula).  Cedillo Y2024 sample rows tie to $7,213.92 federal tax.</t>
        </is>
      </c>
    </row>
    <row r="3">
      <c r="A3" s="12" t="inlineStr">
        <is>
          <t>INPUT</t>
        </is>
      </c>
      <c r="B3" s="12" t="inlineStr">
        <is>
          <t>INPUT</t>
        </is>
      </c>
      <c r="C3" s="12" t="inlineStr">
        <is>
          <t>INPUT</t>
        </is>
      </c>
      <c r="D3" s="12" t="inlineStr">
        <is>
          <t>INPUT</t>
        </is>
      </c>
      <c r="E3" s="12" t="inlineStr">
        <is>
          <t>INPUT</t>
        </is>
      </c>
      <c r="F3" s="12" t="inlineStr">
        <is>
          <t>INPUT</t>
        </is>
      </c>
      <c r="G3" s="12" t="inlineStr">
        <is>
          <t>INPUT</t>
        </is>
      </c>
      <c r="H3" s="12" t="inlineStr">
        <is>
          <t>INPUT</t>
        </is>
      </c>
      <c r="I3" s="12" t="inlineStr">
        <is>
          <t>INPUT</t>
        </is>
      </c>
      <c r="J3" s="12" t="inlineStr">
        <is>
          <t>INPUT</t>
        </is>
      </c>
      <c r="K3" s="12" t="inlineStr">
        <is>
          <t>INPUT</t>
        </is>
      </c>
      <c r="L3" s="12" t="inlineStr">
        <is>
          <t>INPUT</t>
        </is>
      </c>
      <c r="M3" s="12" t="inlineStr">
        <is>
          <t>INPUT</t>
        </is>
      </c>
      <c r="N3" s="12" t="inlineStr">
        <is>
          <t>INPUT</t>
        </is>
      </c>
      <c r="O3" s="12" t="inlineStr">
        <is>
          <t>INPUT</t>
        </is>
      </c>
      <c r="P3" s="12" t="inlineStr">
        <is>
          <t>INPUT</t>
        </is>
      </c>
      <c r="Q3" s="12" t="inlineStr">
        <is>
          <t>INPUT</t>
        </is>
      </c>
      <c r="R3" s="13" t="inlineStr">
        <is>
          <t>DERIVED</t>
        </is>
      </c>
      <c r="S3" s="13" t="inlineStr">
        <is>
          <t>DERIVED</t>
        </is>
      </c>
      <c r="T3" s="13" t="inlineStr">
        <is>
          <t>DERIVED</t>
        </is>
      </c>
      <c r="U3" s="13" t="inlineStr">
        <is>
          <t>DERIVED</t>
        </is>
      </c>
      <c r="V3" s="13" t="inlineStr">
        <is>
          <t>DERIVED</t>
        </is>
      </c>
      <c r="W3" s="13" t="inlineStr">
        <is>
          <t>DERIVED</t>
        </is>
      </c>
      <c r="X3" s="14" t="inlineStr">
        <is>
          <t>AUDIT</t>
        </is>
      </c>
      <c r="Y3" s="14" t="inlineStr">
        <is>
          <t>AUDIT</t>
        </is>
      </c>
      <c r="Z3" s="14" t="inlineStr">
        <is>
          <t>AUDIT</t>
        </is>
      </c>
    </row>
    <row r="4">
      <c r="A4" s="7" t="inlineStr">
        <is>
          <t>InputID</t>
        </is>
      </c>
      <c r="B4" s="7" t="inlineStr">
        <is>
          <t>Year</t>
        </is>
      </c>
      <c r="C4" s="7" t="inlineStr">
        <is>
          <t>Scenario</t>
        </is>
      </c>
      <c r="D4" s="7" t="inlineStr">
        <is>
          <t>ClientID</t>
        </is>
      </c>
      <c r="E4" s="7" t="inlineStr">
        <is>
          <t>ClientName</t>
        </is>
      </c>
      <c r="F4" s="7" t="inlineStr">
        <is>
          <t>Bucket</t>
        </is>
      </c>
      <c r="G4" s="7" t="inlineStr">
        <is>
          <t>Treatment_Profile</t>
        </is>
      </c>
      <c r="H4" s="7" t="inlineStr">
        <is>
          <t>Source_Document</t>
        </is>
      </c>
      <c r="I4" s="7" t="inlineStr">
        <is>
          <t>Source_Layer</t>
        </is>
      </c>
      <c r="J4" s="7" t="inlineStr">
        <is>
          <t>Status</t>
        </is>
      </c>
      <c r="K4" s="7" t="inlineStr">
        <is>
          <t>Provenance</t>
        </is>
      </c>
      <c r="L4" s="7" t="inlineStr">
        <is>
          <t>Payor</t>
        </is>
      </c>
      <c r="M4" s="7" t="inlineStr">
        <is>
          <t>Baseline_Amount</t>
        </is>
      </c>
      <c r="N4" s="7" t="inlineStr">
        <is>
          <t>Helper_Amount</t>
        </is>
      </c>
      <c r="O4" s="7" t="inlineStr">
        <is>
          <t>Adjustment_Amount</t>
        </is>
      </c>
      <c r="P4" s="7" t="inlineStr">
        <is>
          <t>Consider</t>
        </is>
      </c>
      <c r="Q4" s="7" t="inlineStr">
        <is>
          <t>Notes</t>
        </is>
      </c>
      <c r="R4" s="7" t="inlineStr">
        <is>
          <t>SE_Subject</t>
        </is>
      </c>
      <c r="S4" s="7" t="inlineStr">
        <is>
          <t>NIIT_Class</t>
        </is>
      </c>
      <c r="T4" s="7" t="inlineStr">
        <is>
          <t>QBI_Eligible</t>
        </is>
      </c>
      <c r="U4" s="7" t="inlineStr">
        <is>
          <t>Primary_Line</t>
        </is>
      </c>
      <c r="V4" s="7" t="inlineStr">
        <is>
          <t>Helper_Treatment</t>
        </is>
      </c>
      <c r="W4" s="7" t="inlineStr">
        <is>
          <t>Consider_Prompt</t>
        </is>
      </c>
      <c r="X4" s="7" t="inlineStr">
        <is>
          <t>LastUpdated</t>
        </is>
      </c>
      <c r="Y4" s="7" t="inlineStr">
        <is>
          <t>UpdatedBy</t>
        </is>
      </c>
      <c r="Z4" s="7" t="inlineStr">
        <is>
          <t>ReviewStatus</t>
        </is>
      </c>
    </row>
    <row r="5">
      <c r="A5" t="inlineStr">
        <is>
          <t>CEDILLO|2024|Wages|W2_SCorpOwner|01</t>
        </is>
      </c>
      <c r="B5" s="8" t="n">
        <v>2024</v>
      </c>
      <c r="C5" s="8" t="inlineStr">
        <is>
          <t>AsFiled</t>
        </is>
      </c>
      <c r="D5" s="8" t="inlineStr">
        <is>
          <t>CEDILLO</t>
        </is>
      </c>
      <c r="E5" s="8" t="inlineStr">
        <is>
          <t>Ron Cedillo</t>
        </is>
      </c>
      <c r="F5" s="8" t="inlineStr">
        <is>
          <t>Wages</t>
        </is>
      </c>
      <c r="G5" s="8" t="inlineStr">
        <is>
          <t>W2_SCorpOwner</t>
        </is>
      </c>
      <c r="H5" s="8" t="inlineStr">
        <is>
          <t>W-2</t>
        </is>
      </c>
      <c r="I5" s="8" t="inlineStr">
        <is>
          <t>Baseline</t>
        </is>
      </c>
      <c r="J5" s="8" t="inlineStr">
        <is>
          <t>Approved</t>
        </is>
      </c>
      <c r="K5" s="8" t="inlineStr">
        <is>
          <t>PBC - Reviewed</t>
        </is>
      </c>
      <c r="L5" s="8" t="inlineStr">
        <is>
          <t>Acme S-Corp</t>
        </is>
      </c>
      <c r="M5" s="8" t="n">
        <v>153648</v>
      </c>
      <c r="N5" s="8" t="n">
        <v>0</v>
      </c>
      <c r="O5" s="8" t="n">
        <v>0</v>
      </c>
      <c r="P5" s="8" t="inlineStr">
        <is>
          <t>Owner reasonable comp — full $153,648 treated as OWNER_PAY for FICA box</t>
        </is>
      </c>
      <c r="Q5" s="8" t="inlineStr"/>
      <c r="R5" s="9">
        <f>IFERROR(XLOOKUP(G5, tblTreatmentProfileMap[Profile], tblTreatmentProfileMap[SE_Subject]), "")</f>
        <v/>
      </c>
      <c r="S5" s="9">
        <f>IFERROR(XLOOKUP(G5, tblTreatmentProfileMap[Profile], tblTreatmentProfileMap[NIIT_Class]), "")</f>
        <v/>
      </c>
      <c r="T5" s="9">
        <f>IFERROR(XLOOKUP(G5, tblTreatmentProfileMap[Profile], tblTreatmentProfileMap[QBI_Eligible]), "")</f>
        <v/>
      </c>
      <c r="U5" s="9">
        <f>IFERROR(XLOOKUP(G5, tblTreatmentProfileMap[Profile], tblTreatmentProfileMap[Primary_Line]), "")</f>
        <v/>
      </c>
      <c r="V5" s="9">
        <f>IFERROR(XLOOKUP(G5, tblTreatmentProfileMap[Profile], tblTreatmentProfileMap[Helper_Treatment]), "")</f>
        <v/>
      </c>
      <c r="W5" s="9">
        <f>IFERROR(XLOOKUP(G5, tblTreatmentProfileMap[Profile], tblTreatmentProfileMap[Consider_Prompt]), "")</f>
        <v/>
      </c>
      <c r="X5" s="15" t="inlineStr">
        <is>
          <t>2026-05-18</t>
        </is>
      </c>
      <c r="Y5" s="15" t="inlineStr">
        <is>
          <t>SMJ</t>
        </is>
      </c>
      <c r="Z5" s="15" t="inlineStr">
        <is>
          <t>Approved</t>
        </is>
      </c>
    </row>
    <row r="6">
      <c r="A6" t="inlineStr">
        <is>
          <t>CEDILLO|2024|BI|K1_PTP_Passive|01</t>
        </is>
      </c>
      <c r="B6" s="8" t="n">
        <v>2024</v>
      </c>
      <c r="C6" s="8" t="inlineStr">
        <is>
          <t>AsFiled</t>
        </is>
      </c>
      <c r="D6" s="8" t="inlineStr">
        <is>
          <t>CEDILLO</t>
        </is>
      </c>
      <c r="E6" s="8" t="inlineStr">
        <is>
          <t>Ron Cedillo</t>
        </is>
      </c>
      <c r="F6" s="8" t="inlineStr">
        <is>
          <t>Business Income</t>
        </is>
      </c>
      <c r="G6" s="8" t="inlineStr">
        <is>
          <t>K1_PTP_Passive</t>
        </is>
      </c>
      <c r="H6" s="8" t="inlineStr">
        <is>
          <t>K-1</t>
        </is>
      </c>
      <c r="I6" s="8" t="inlineStr">
        <is>
          <t>Baseline</t>
        </is>
      </c>
      <c r="J6" s="8" t="inlineStr">
        <is>
          <t>Approved</t>
        </is>
      </c>
      <c r="K6" s="8" t="inlineStr">
        <is>
          <t>PBC - Reviewed</t>
        </is>
      </c>
      <c r="L6" s="8" t="inlineStr">
        <is>
          <t>Cedillo Partnership</t>
        </is>
      </c>
      <c r="M6" s="8" t="n">
        <v>-100766</v>
      </c>
      <c r="N6" s="8" t="n">
        <v>0</v>
      </c>
      <c r="O6" s="8" t="n">
        <v>0</v>
      </c>
      <c r="P6" s="8" t="inlineStr">
        <is>
          <t>Passive loss</t>
        </is>
      </c>
      <c r="Q6" s="8" t="inlineStr"/>
      <c r="R6" s="9">
        <f>IFERROR(XLOOKUP(G6, tblTreatmentProfileMap[Profile], tblTreatmentProfileMap[SE_Subject]), "")</f>
        <v/>
      </c>
      <c r="S6" s="9">
        <f>IFERROR(XLOOKUP(G6, tblTreatmentProfileMap[Profile], tblTreatmentProfileMap[NIIT_Class]), "")</f>
        <v/>
      </c>
      <c r="T6" s="9">
        <f>IFERROR(XLOOKUP(G6, tblTreatmentProfileMap[Profile], tblTreatmentProfileMap[QBI_Eligible]), "")</f>
        <v/>
      </c>
      <c r="U6" s="9">
        <f>IFERROR(XLOOKUP(G6, tblTreatmentProfileMap[Profile], tblTreatmentProfileMap[Primary_Line]), "")</f>
        <v/>
      </c>
      <c r="V6" s="9">
        <f>IFERROR(XLOOKUP(G6, tblTreatmentProfileMap[Profile], tblTreatmentProfileMap[Helper_Treatment]), "")</f>
        <v/>
      </c>
      <c r="W6" s="9">
        <f>IFERROR(XLOOKUP(G6, tblTreatmentProfileMap[Profile], tblTreatmentProfileMap[Consider_Prompt]), "")</f>
        <v/>
      </c>
      <c r="X6" s="15" t="inlineStr">
        <is>
          <t>2026-05-18</t>
        </is>
      </c>
      <c r="Y6" s="15" t="inlineStr">
        <is>
          <t>SMJ</t>
        </is>
      </c>
      <c r="Z6" s="15" t="inlineStr">
        <is>
          <t>Approved</t>
        </is>
      </c>
    </row>
    <row r="7">
      <c r="A7" t="inlineStr">
        <is>
          <t>CEDILLO|2024|II|Div_Ordinary|01</t>
        </is>
      </c>
      <c r="B7" s="8" t="n">
        <v>2024</v>
      </c>
      <c r="C7" s="8" t="inlineStr">
        <is>
          <t>AsFiled</t>
        </is>
      </c>
      <c r="D7" s="8" t="inlineStr">
        <is>
          <t>CEDILLO</t>
        </is>
      </c>
      <c r="E7" s="8" t="inlineStr">
        <is>
          <t>Ron Cedillo</t>
        </is>
      </c>
      <c r="F7" s="8" t="inlineStr">
        <is>
          <t>Investment Income</t>
        </is>
      </c>
      <c r="G7" s="8" t="inlineStr">
        <is>
          <t>Div_Ordinary</t>
        </is>
      </c>
      <c r="H7" s="8" t="inlineStr">
        <is>
          <t>1099-DIV</t>
        </is>
      </c>
      <c r="I7" s="8" t="inlineStr">
        <is>
          <t>Baseline</t>
        </is>
      </c>
      <c r="J7" s="8" t="inlineStr">
        <is>
          <t>Approved</t>
        </is>
      </c>
      <c r="K7" s="8" t="inlineStr">
        <is>
          <t>PBC - Reviewed</t>
        </is>
      </c>
      <c r="L7" s="8" t="inlineStr">
        <is>
          <t>Brokerage</t>
        </is>
      </c>
      <c r="M7" s="8" t="n">
        <v>25922</v>
      </c>
      <c r="N7" s="8" t="n">
        <v>0</v>
      </c>
      <c r="O7" s="8" t="n">
        <v>0</v>
      </c>
      <c r="P7" s="8" t="inlineStr">
        <is>
          <t>All non-qualified</t>
        </is>
      </c>
      <c r="Q7" s="8" t="inlineStr"/>
      <c r="R7" s="9">
        <f>IFERROR(XLOOKUP(G7, tblTreatmentProfileMap[Profile], tblTreatmentProfileMap[SE_Subject]), "")</f>
        <v/>
      </c>
      <c r="S7" s="9">
        <f>IFERROR(XLOOKUP(G7, tblTreatmentProfileMap[Profile], tblTreatmentProfileMap[NIIT_Class]), "")</f>
        <v/>
      </c>
      <c r="T7" s="9">
        <f>IFERROR(XLOOKUP(G7, tblTreatmentProfileMap[Profile], tblTreatmentProfileMap[QBI_Eligible]), "")</f>
        <v/>
      </c>
      <c r="U7" s="9">
        <f>IFERROR(XLOOKUP(G7, tblTreatmentProfileMap[Profile], tblTreatmentProfileMap[Primary_Line]), "")</f>
        <v/>
      </c>
      <c r="V7" s="9">
        <f>IFERROR(XLOOKUP(G7, tblTreatmentProfileMap[Profile], tblTreatmentProfileMap[Helper_Treatment]), "")</f>
        <v/>
      </c>
      <c r="W7" s="9">
        <f>IFERROR(XLOOKUP(G7, tblTreatmentProfileMap[Profile], tblTreatmentProfileMap[Consider_Prompt]), "")</f>
        <v/>
      </c>
      <c r="X7" s="15" t="inlineStr">
        <is>
          <t>2026-05-18</t>
        </is>
      </c>
      <c r="Y7" s="15" t="inlineStr">
        <is>
          <t>SMJ</t>
        </is>
      </c>
      <c r="Z7" s="15" t="inlineStr">
        <is>
          <t>Approved</t>
        </is>
      </c>
    </row>
    <row r="8">
      <c r="A8" t="inlineStr">
        <is>
          <t>CEDILLO|2024|CG|LTCG_Stock|01</t>
        </is>
      </c>
      <c r="B8" s="8" t="n">
        <v>2024</v>
      </c>
      <c r="C8" s="8" t="inlineStr">
        <is>
          <t>AsFiled</t>
        </is>
      </c>
      <c r="D8" s="8" t="inlineStr">
        <is>
          <t>CEDILLO</t>
        </is>
      </c>
      <c r="E8" s="8" t="inlineStr">
        <is>
          <t>Ron Cedillo</t>
        </is>
      </c>
      <c r="F8" s="8" t="inlineStr">
        <is>
          <t>Capital Gains</t>
        </is>
      </c>
      <c r="G8" s="8" t="inlineStr">
        <is>
          <t>LTCG_Stock</t>
        </is>
      </c>
      <c r="H8" s="8" t="inlineStr">
        <is>
          <t>1099-B</t>
        </is>
      </c>
      <c r="I8" s="8" t="inlineStr">
        <is>
          <t>Baseline</t>
        </is>
      </c>
      <c r="J8" s="8" t="inlineStr">
        <is>
          <t>Approved</t>
        </is>
      </c>
      <c r="K8" s="8" t="inlineStr">
        <is>
          <t>PBC - Reviewed</t>
        </is>
      </c>
      <c r="L8" s="8" t="inlineStr">
        <is>
          <t>Brokerage</t>
        </is>
      </c>
      <c r="M8" s="8" t="n">
        <v>14487</v>
      </c>
      <c r="N8" s="8" t="n">
        <v>0</v>
      </c>
      <c r="O8" s="8" t="n">
        <v>0</v>
      </c>
      <c r="P8" s="8" t="inlineStr">
        <is>
          <t>Long-term, stacks below MFJ 0% threshold</t>
        </is>
      </c>
      <c r="Q8" s="8" t="inlineStr"/>
      <c r="R8" s="9">
        <f>IFERROR(XLOOKUP(G8, tblTreatmentProfileMap[Profile], tblTreatmentProfileMap[SE_Subject]), "")</f>
        <v/>
      </c>
      <c r="S8" s="9">
        <f>IFERROR(XLOOKUP(G8, tblTreatmentProfileMap[Profile], tblTreatmentProfileMap[NIIT_Class]), "")</f>
        <v/>
      </c>
      <c r="T8" s="9">
        <f>IFERROR(XLOOKUP(G8, tblTreatmentProfileMap[Profile], tblTreatmentProfileMap[QBI_Eligible]), "")</f>
        <v/>
      </c>
      <c r="U8" s="9">
        <f>IFERROR(XLOOKUP(G8, tblTreatmentProfileMap[Profile], tblTreatmentProfileMap[Primary_Line]), "")</f>
        <v/>
      </c>
      <c r="V8" s="9">
        <f>IFERROR(XLOOKUP(G8, tblTreatmentProfileMap[Profile], tblTreatmentProfileMap[Helper_Treatment]), "")</f>
        <v/>
      </c>
      <c r="W8" s="9">
        <f>IFERROR(XLOOKUP(G8, tblTreatmentProfileMap[Profile], tblTreatmentProfileMap[Consider_Prompt]), "")</f>
        <v/>
      </c>
      <c r="X8" s="15" t="inlineStr">
        <is>
          <t>2026-05-18</t>
        </is>
      </c>
      <c r="Y8" s="15" t="inlineStr">
        <is>
          <t>SMJ</t>
        </is>
      </c>
      <c r="Z8" s="15" t="inlineStr">
        <is>
          <t>Approved</t>
        </is>
      </c>
    </row>
    <row r="9">
      <c r="A9" t="inlineStr">
        <is>
          <t>SAMPLE|2025|Wages|W2_SCorpOwner|01</t>
        </is>
      </c>
      <c r="B9" s="8" t="n">
        <v>2025</v>
      </c>
      <c r="C9" s="8" t="inlineStr">
        <is>
          <t>S1</t>
        </is>
      </c>
      <c r="D9" s="8" t="inlineStr">
        <is>
          <t>SAMPLE</t>
        </is>
      </c>
      <c r="E9" s="8" t="inlineStr">
        <is>
          <t>Sample Client</t>
        </is>
      </c>
      <c r="F9" s="8" t="inlineStr">
        <is>
          <t>Wages</t>
        </is>
      </c>
      <c r="G9" s="8" t="inlineStr">
        <is>
          <t>W2_SCorpOwner</t>
        </is>
      </c>
      <c r="H9" s="8" t="inlineStr">
        <is>
          <t>W-2</t>
        </is>
      </c>
      <c r="I9" s="8" t="inlineStr">
        <is>
          <t>Baseline</t>
        </is>
      </c>
      <c r="J9" s="8" t="inlineStr">
        <is>
          <t>Approved</t>
        </is>
      </c>
      <c r="K9" s="8" t="inlineStr">
        <is>
          <t>Estimate - Preparer</t>
        </is>
      </c>
      <c r="L9" s="8" t="inlineStr">
        <is>
          <t>SampleCo S-Corp</t>
        </is>
      </c>
      <c r="M9" s="8" t="n">
        <v>100000</v>
      </c>
      <c r="N9" s="8" t="n">
        <v>0</v>
      </c>
      <c r="O9" s="8" t="n">
        <v>-25000</v>
      </c>
      <c r="P9" s="8" t="inlineStr">
        <is>
          <t>Adjustment -$25K from S-Corp salary reduction strategy</t>
        </is>
      </c>
      <c r="Q9" s="8" t="inlineStr"/>
      <c r="R9" s="9">
        <f>IFERROR(XLOOKUP(G9, tblTreatmentProfileMap[Profile], tblTreatmentProfileMap[SE_Subject]), "")</f>
        <v/>
      </c>
      <c r="S9" s="9">
        <f>IFERROR(XLOOKUP(G9, tblTreatmentProfileMap[Profile], tblTreatmentProfileMap[NIIT_Class]), "")</f>
        <v/>
      </c>
      <c r="T9" s="9">
        <f>IFERROR(XLOOKUP(G9, tblTreatmentProfileMap[Profile], tblTreatmentProfileMap[QBI_Eligible]), "")</f>
        <v/>
      </c>
      <c r="U9" s="9">
        <f>IFERROR(XLOOKUP(G9, tblTreatmentProfileMap[Profile], tblTreatmentProfileMap[Primary_Line]), "")</f>
        <v/>
      </c>
      <c r="V9" s="9">
        <f>IFERROR(XLOOKUP(G9, tblTreatmentProfileMap[Profile], tblTreatmentProfileMap[Helper_Treatment]), "")</f>
        <v/>
      </c>
      <c r="W9" s="9">
        <f>IFERROR(XLOOKUP(G9, tblTreatmentProfileMap[Profile], tblTreatmentProfileMap[Consider_Prompt]), "")</f>
        <v/>
      </c>
      <c r="X9" s="15" t="inlineStr">
        <is>
          <t>2026-05-18</t>
        </is>
      </c>
      <c r="Y9" s="15" t="inlineStr">
        <is>
          <t>SMJ</t>
        </is>
      </c>
      <c r="Z9" s="15" t="inlineStr">
        <is>
          <t>Approved</t>
        </is>
      </c>
    </row>
    <row r="10">
      <c r="A10" t="inlineStr">
        <is>
          <t>SAMPLE|2025|II|Div_Ordinary|01</t>
        </is>
      </c>
      <c r="B10" s="8" t="n">
        <v>2025</v>
      </c>
      <c r="C10" s="8" t="inlineStr">
        <is>
          <t>S1</t>
        </is>
      </c>
      <c r="D10" s="8" t="inlineStr">
        <is>
          <t>SAMPLE</t>
        </is>
      </c>
      <c r="E10" s="8" t="inlineStr">
        <is>
          <t>Sample Client</t>
        </is>
      </c>
      <c r="F10" s="8" t="inlineStr">
        <is>
          <t>Investment Income</t>
        </is>
      </c>
      <c r="G10" s="8" t="inlineStr">
        <is>
          <t>Div_Ordinary</t>
        </is>
      </c>
      <c r="H10" s="8" t="inlineStr">
        <is>
          <t>1099-DIV</t>
        </is>
      </c>
      <c r="I10" s="8" t="inlineStr">
        <is>
          <t>Baseline</t>
        </is>
      </c>
      <c r="J10" s="8" t="inlineStr">
        <is>
          <t>Approved</t>
        </is>
      </c>
      <c r="K10" s="8" t="inlineStr">
        <is>
          <t>Estimate - Preparer</t>
        </is>
      </c>
      <c r="L10" s="8" t="inlineStr">
        <is>
          <t>Brokerage</t>
        </is>
      </c>
      <c r="M10" s="8" t="n">
        <v>10000</v>
      </c>
      <c r="N10" s="8" t="n">
        <v>7000</v>
      </c>
      <c r="O10" s="8" t="n">
        <v>0</v>
      </c>
      <c r="P10" s="8" t="inlineStr">
        <is>
          <t>Helper = $7K qualified portion (Box 1b)</t>
        </is>
      </c>
      <c r="Q10" s="8" t="inlineStr"/>
      <c r="R10" s="9">
        <f>IFERROR(XLOOKUP(G10, tblTreatmentProfileMap[Profile], tblTreatmentProfileMap[SE_Subject]), "")</f>
        <v/>
      </c>
      <c r="S10" s="9">
        <f>IFERROR(XLOOKUP(G10, tblTreatmentProfileMap[Profile], tblTreatmentProfileMap[NIIT_Class]), "")</f>
        <v/>
      </c>
      <c r="T10" s="9">
        <f>IFERROR(XLOOKUP(G10, tblTreatmentProfileMap[Profile], tblTreatmentProfileMap[QBI_Eligible]), "")</f>
        <v/>
      </c>
      <c r="U10" s="9">
        <f>IFERROR(XLOOKUP(G10, tblTreatmentProfileMap[Profile], tblTreatmentProfileMap[Primary_Line]), "")</f>
        <v/>
      </c>
      <c r="V10" s="9">
        <f>IFERROR(XLOOKUP(G10, tblTreatmentProfileMap[Profile], tblTreatmentProfileMap[Helper_Treatment]), "")</f>
        <v/>
      </c>
      <c r="W10" s="9">
        <f>IFERROR(XLOOKUP(G10, tblTreatmentProfileMap[Profile], tblTreatmentProfileMap[Consider_Prompt]), "")</f>
        <v/>
      </c>
      <c r="X10" s="15" t="inlineStr">
        <is>
          <t>2026-05-18</t>
        </is>
      </c>
      <c r="Y10" s="15" t="inlineStr">
        <is>
          <t>SMJ</t>
        </is>
      </c>
      <c r="Z10" s="15" t="inlineStr">
        <is>
          <t>Approved</t>
        </is>
      </c>
    </row>
    <row r="11">
      <c r="A11" t="inlineStr">
        <is>
          <t>SAMPLE|2025|Strategy|HSA-Family-Max|S1</t>
        </is>
      </c>
      <c r="B11" s="8" t="n">
        <v>2025</v>
      </c>
      <c r="C11" s="8" t="inlineStr">
        <is>
          <t>S1</t>
        </is>
      </c>
      <c r="D11" s="8" t="inlineStr">
        <is>
          <t>SAMPLE</t>
        </is>
      </c>
      <c r="E11" s="8" t="inlineStr">
        <is>
          <t>Sample Client</t>
        </is>
      </c>
      <c r="F11" s="8" t="inlineStr">
        <is>
          <t>Adjustment</t>
        </is>
      </c>
      <c r="G11" s="8" t="inlineStr">
        <is>
          <t>Adj_HSA</t>
        </is>
      </c>
      <c r="H11" s="8" t="inlineStr">
        <is>
          <t>HSA Stmt</t>
        </is>
      </c>
      <c r="I11" s="8" t="inlineStr">
        <is>
          <t>Tax Strategy</t>
        </is>
      </c>
      <c r="J11" s="8" t="inlineStr">
        <is>
          <t>Committed</t>
        </is>
      </c>
      <c r="K11" s="8" t="inlineStr">
        <is>
          <t>Estimate - Preparer</t>
        </is>
      </c>
      <c r="L11" s="8" t="inlineStr"/>
      <c r="M11" s="8" t="n">
        <v>-8550</v>
      </c>
      <c r="N11" s="8" t="n">
        <v>0</v>
      </c>
      <c r="O11" s="8" t="n">
        <v>0</v>
      </c>
      <c r="P11" s="8" t="inlineStr">
        <is>
          <t>Family HSA max for 2025</t>
        </is>
      </c>
      <c r="Q11" s="8" t="inlineStr"/>
      <c r="R11" s="9">
        <f>IFERROR(XLOOKUP(G11, tblTreatmentProfileMap[Profile], tblTreatmentProfileMap[SE_Subject]), "")</f>
        <v/>
      </c>
      <c r="S11" s="9">
        <f>IFERROR(XLOOKUP(G11, tblTreatmentProfileMap[Profile], tblTreatmentProfileMap[NIIT_Class]), "")</f>
        <v/>
      </c>
      <c r="T11" s="9">
        <f>IFERROR(XLOOKUP(G11, tblTreatmentProfileMap[Profile], tblTreatmentProfileMap[QBI_Eligible]), "")</f>
        <v/>
      </c>
      <c r="U11" s="9">
        <f>IFERROR(XLOOKUP(G11, tblTreatmentProfileMap[Profile], tblTreatmentProfileMap[Primary_Line]), "")</f>
        <v/>
      </c>
      <c r="V11" s="9">
        <f>IFERROR(XLOOKUP(G11, tblTreatmentProfileMap[Profile], tblTreatmentProfileMap[Helper_Treatment]), "")</f>
        <v/>
      </c>
      <c r="W11" s="9">
        <f>IFERROR(XLOOKUP(G11, tblTreatmentProfileMap[Profile], tblTreatmentProfileMap[Consider_Prompt]), "")</f>
        <v/>
      </c>
      <c r="X11" s="15" t="inlineStr">
        <is>
          <t>2026-05-18</t>
        </is>
      </c>
      <c r="Y11" s="15" t="inlineStr">
        <is>
          <t>SMJ</t>
        </is>
      </c>
      <c r="Z11" s="15" t="inlineStr">
        <is>
          <t>Approved</t>
        </is>
      </c>
    </row>
  </sheetData>
  <dataValidations count="7">
    <dataValidation sqref="F5:F1000" showDropDown="0" showInputMessage="0" showErrorMessage="0" allowBlank="1" type="list">
      <formula1>=Bucket</formula1>
    </dataValidation>
    <dataValidation sqref="G5:G1000" showDropDown="0" showInputMessage="0" showErrorMessage="0" allowBlank="1" type="list">
      <formula1>=INDIRECT(SUBSTITUTE($F5," ","")&amp;"_Profiles")</formula1>
    </dataValidation>
    <dataValidation sqref="H5:H1000" showDropDown="0" showInputMessage="0" showErrorMessage="0" allowBlank="1" type="list">
      <formula1>=INDIRECT(SUBSTITUTE($F5," ","")&amp;"_Docs")</formula1>
    </dataValidation>
    <dataValidation sqref="I5:I1000" showDropDown="0" showInputMessage="0" showErrorMessage="0" allowBlank="1" type="list">
      <formula1>=Source_Layer</formula1>
    </dataValidation>
    <dataValidation sqref="J5:J1000" showDropDown="0" showInputMessage="0" showErrorMessage="0" allowBlank="1" type="list">
      <formula1>=Status</formula1>
    </dataValidation>
    <dataValidation sqref="C5:C1000" showDropDown="0" showInputMessage="0" showErrorMessage="0" allowBlank="1" type="list">
      <formula1>=Scenario</formula1>
    </dataValidation>
    <dataValidation sqref="K5:K1000" showDropDown="0" showInputMessage="0" showErrorMessage="0" allowBlank="1" type="list">
      <formula1>=Provenance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50" customWidth="1" min="4" max="4"/>
    <col width="32" customWidth="1" min="5" max="5"/>
    <col width="12" customWidth="1" min="6" max="6"/>
    <col width="12" customWidth="1" min="7" max="7"/>
    <col width="30" customWidth="1" min="8" max="8"/>
    <col width="12" customWidth="1" min="9" max="9"/>
    <col width="28" customWidth="1" min="10" max="10"/>
  </cols>
  <sheetData>
    <row r="1">
      <c r="A1" s="1" t="inlineStr">
        <is>
          <t>TAX PLANNING STRATEGIES — library / catalog</t>
        </is>
      </c>
    </row>
    <row r="2">
      <c r="A2" s="2" t="inlineStr">
        <is>
          <t>Year-sheet strategies tables draw from this list. Buckets_Impacted column drives "which strategies apply to this client" filtering.</t>
        </is>
      </c>
    </row>
    <row r="4">
      <c r="A4" s="7" t="inlineStr">
        <is>
          <t>ID</t>
        </is>
      </c>
      <c r="B4" s="7" t="inlineStr">
        <is>
          <t>Group</t>
        </is>
      </c>
      <c r="C4" s="7" t="inlineStr">
        <is>
          <t>Strategy Name</t>
        </is>
      </c>
      <c r="D4" s="7" t="inlineStr">
        <is>
          <t>Description</t>
        </is>
      </c>
      <c r="E4" s="7" t="inlineStr">
        <is>
          <t>Buckets_Impacted</t>
        </is>
      </c>
      <c r="F4" s="7" t="inlineStr">
        <is>
          <t>Impact Type</t>
        </is>
      </c>
      <c r="G4" s="7" t="inlineStr">
        <is>
          <t>Complexity</t>
        </is>
      </c>
      <c r="H4" s="7" t="inlineStr">
        <is>
          <t>Tax Lines Affected</t>
        </is>
      </c>
      <c r="I4" s="7" t="inlineStr">
        <is>
          <t>Est. Savings</t>
        </is>
      </c>
      <c r="J4" s="7" t="inlineStr">
        <is>
          <t>Notes</t>
        </is>
      </c>
    </row>
    <row r="5">
      <c r="A5" t="inlineStr">
        <is>
          <t>STD-001</t>
        </is>
      </c>
      <c r="B5" t="inlineStr">
        <is>
          <t>Low Hanging Fruit</t>
        </is>
      </c>
      <c r="C5" t="inlineStr">
        <is>
          <t>Retirement Plan Contributions</t>
        </is>
      </c>
      <c r="D5" t="inlineStr">
        <is>
          <t>Solo 401k, SEP IRA, or Cash Balance contributions</t>
        </is>
      </c>
      <c r="E5" t="inlineStr">
        <is>
          <t>Adjustment</t>
        </is>
      </c>
      <c r="F5" t="inlineStr">
        <is>
          <t>Single</t>
        </is>
      </c>
      <c r="G5" t="inlineStr">
        <is>
          <t>Low</t>
        </is>
      </c>
      <c r="H5" t="inlineStr">
        <is>
          <t>Line 10 (Non-SE) ↓</t>
        </is>
      </c>
      <c r="J5" t="inlineStr"/>
    </row>
    <row r="6">
      <c r="A6" t="inlineStr">
        <is>
          <t>STD-002</t>
        </is>
      </c>
      <c r="B6" t="inlineStr">
        <is>
          <t>Low Hanging Fruit</t>
        </is>
      </c>
      <c r="C6" t="inlineStr">
        <is>
          <t>Augusta Rule</t>
        </is>
      </c>
      <c r="D6" t="inlineStr">
        <is>
          <t>Business rents owner home ≤14 days; IRC §280A(g) excludes rental from owner income — business gets deduction, owner reports nothing</t>
        </is>
      </c>
      <c r="E6" t="inlineStr">
        <is>
          <t>Business Income</t>
        </is>
      </c>
      <c r="F6" t="inlineStr">
        <is>
          <t>Single</t>
        </is>
      </c>
      <c r="G6" t="inlineStr">
        <is>
          <t>Low</t>
        </is>
      </c>
      <c r="H6" t="inlineStr">
        <is>
          <t>Line 10 (Non-SE) ↓</t>
        </is>
      </c>
      <c r="J6" t="inlineStr">
        <is>
          <t>Pure business-side deduction; owner side has no income recognition</t>
        </is>
      </c>
    </row>
    <row r="7">
      <c r="A7" t="inlineStr">
        <is>
          <t>STD-003</t>
        </is>
      </c>
      <c r="B7" t="inlineStr">
        <is>
          <t>Low Hanging Fruit</t>
        </is>
      </c>
      <c r="C7" t="inlineStr">
        <is>
          <t>Accountable Plan</t>
        </is>
      </c>
      <c r="D7" t="inlineStr">
        <is>
          <t>Reimburse business expenses tax-free</t>
        </is>
      </c>
      <c r="E7" t="inlineStr">
        <is>
          <t>Business Income</t>
        </is>
      </c>
      <c r="F7" t="inlineStr">
        <is>
          <t>Single</t>
        </is>
      </c>
      <c r="G7" t="inlineStr">
        <is>
          <t>Low</t>
        </is>
      </c>
      <c r="H7" t="inlineStr">
        <is>
          <t>Line 10 (Non-SE) ↑</t>
        </is>
      </c>
      <c r="J7" t="inlineStr"/>
    </row>
    <row r="8">
      <c r="A8" t="inlineStr">
        <is>
          <t>STD-004</t>
        </is>
      </c>
      <c r="B8" t="inlineStr">
        <is>
          <t>Low Hanging Fruit</t>
        </is>
      </c>
      <c r="C8" t="inlineStr">
        <is>
          <t>Employee Health/Fringe Benefits</t>
        </is>
      </c>
      <c r="D8" t="inlineStr">
        <is>
          <t>Health/fringe benefits through business</t>
        </is>
      </c>
      <c r="E8" t="inlineStr">
        <is>
          <t>Business Income, Adjustment</t>
        </is>
      </c>
      <c r="F8" t="inlineStr">
        <is>
          <t>Single</t>
        </is>
      </c>
      <c r="G8" t="inlineStr">
        <is>
          <t>Low</t>
        </is>
      </c>
      <c r="H8" t="inlineStr">
        <is>
          <t>Line 10 ↑</t>
        </is>
      </c>
      <c r="J8" t="inlineStr"/>
    </row>
    <row r="9">
      <c r="A9" t="inlineStr">
        <is>
          <t>STD-005</t>
        </is>
      </c>
      <c r="B9" t="inlineStr">
        <is>
          <t>Low Hanging Fruit</t>
        </is>
      </c>
      <c r="C9" t="inlineStr">
        <is>
          <t>Hiring Children</t>
        </is>
      </c>
      <c r="D9" t="inlineStr">
        <is>
          <t>Pay children for legitimate work in business</t>
        </is>
      </c>
      <c r="E9" t="inlineStr">
        <is>
          <t>Wages, Business Income</t>
        </is>
      </c>
      <c r="F9" t="inlineStr">
        <is>
          <t>Single</t>
        </is>
      </c>
      <c r="G9" t="inlineStr">
        <is>
          <t>Medium</t>
        </is>
      </c>
      <c r="H9" t="inlineStr">
        <is>
          <t>Line 1 ↑, Line 10 ↑</t>
        </is>
      </c>
      <c r="J9" t="inlineStr"/>
    </row>
    <row r="10">
      <c r="A10" t="inlineStr">
        <is>
          <t>STD-006</t>
        </is>
      </c>
      <c r="B10" t="inlineStr">
        <is>
          <t>Low Hanging Fruit</t>
        </is>
      </c>
      <c r="C10" t="inlineStr">
        <is>
          <t>Income Timing</t>
        </is>
      </c>
      <c r="D10" t="inlineStr">
        <is>
          <t>Defer/accelerate income between tax years</t>
        </is>
      </c>
      <c r="E10" t="inlineStr">
        <is>
          <t>Various</t>
        </is>
      </c>
      <c r="F10" t="inlineStr">
        <is>
          <t>Single</t>
        </is>
      </c>
      <c r="G10" t="inlineStr">
        <is>
          <t>Low</t>
        </is>
      </c>
      <c r="H10" t="inlineStr">
        <is>
          <t>Various</t>
        </is>
      </c>
      <c r="J10" t="inlineStr"/>
    </row>
    <row r="11">
      <c r="A11" t="inlineStr">
        <is>
          <t>STD-007</t>
        </is>
      </c>
      <c r="B11" t="inlineStr">
        <is>
          <t>SE Tax</t>
        </is>
      </c>
      <c r="C11" t="inlineStr">
        <is>
          <t>Entity Restructure (S-Corp)</t>
        </is>
      </c>
      <c r="D11" t="inlineStr">
        <is>
          <t>Convert Sch C to S-Corp for wage/distribution split</t>
        </is>
      </c>
      <c r="E11" t="inlineStr">
        <is>
          <t>Wages, Business Income</t>
        </is>
      </c>
      <c r="F11" t="inlineStr">
        <is>
          <t>Multi</t>
        </is>
      </c>
      <c r="G11" t="inlineStr">
        <is>
          <t>High</t>
        </is>
      </c>
      <c r="H11" t="inlineStr">
        <is>
          <t>Line 1 ↑, Line 10 ↑, SE ↓</t>
        </is>
      </c>
      <c r="J11" t="inlineStr"/>
    </row>
    <row r="12">
      <c r="A12" t="inlineStr">
        <is>
          <t>STD-008</t>
        </is>
      </c>
      <c r="B12" t="inlineStr">
        <is>
          <t>SE Tax</t>
        </is>
      </c>
      <c r="C12" t="inlineStr">
        <is>
          <t>Wage Optimization</t>
        </is>
      </c>
      <c r="D12" t="inlineStr">
        <is>
          <t>Optimize S-Corp salary for SE tax vs QBI</t>
        </is>
      </c>
      <c r="E12" t="inlineStr">
        <is>
          <t>Wages, Business Income</t>
        </is>
      </c>
      <c r="F12" t="inlineStr">
        <is>
          <t>Multi</t>
        </is>
      </c>
      <c r="G12" t="inlineStr">
        <is>
          <t>Medium</t>
        </is>
      </c>
      <c r="H12" t="inlineStr">
        <is>
          <t>Line 1, Line 10</t>
        </is>
      </c>
      <c r="J12" t="inlineStr">
        <is>
          <t>S-Corp owner wage box impact</t>
        </is>
      </c>
    </row>
    <row r="13">
      <c r="A13" t="inlineStr">
        <is>
          <t>STD-009</t>
        </is>
      </c>
      <c r="B13" t="inlineStr">
        <is>
          <t>Cap Gain</t>
        </is>
      </c>
      <c r="C13" t="inlineStr">
        <is>
          <t>1031 Exchange</t>
        </is>
      </c>
      <c r="D13" t="inlineStr">
        <is>
          <t>Defer gains on real estate sale</t>
        </is>
      </c>
      <c r="E13" t="inlineStr">
        <is>
          <t>Capital Gains</t>
        </is>
      </c>
      <c r="F13" t="inlineStr">
        <is>
          <t>Single</t>
        </is>
      </c>
      <c r="G13" t="inlineStr">
        <is>
          <t>High</t>
        </is>
      </c>
      <c r="H13" t="inlineStr">
        <is>
          <t>Line 7 (LTCG) ↓</t>
        </is>
      </c>
      <c r="J13" t="inlineStr"/>
    </row>
    <row r="14">
      <c r="A14" t="inlineStr">
        <is>
          <t>STD-010</t>
        </is>
      </c>
      <c r="B14" t="inlineStr">
        <is>
          <t>Cap Gain</t>
        </is>
      </c>
      <c r="C14" t="inlineStr">
        <is>
          <t>Opportunity Zone</t>
        </is>
      </c>
      <c r="D14" t="inlineStr">
        <is>
          <t>Invest gains in OZ for deferral/exclusion</t>
        </is>
      </c>
      <c r="E14" t="inlineStr">
        <is>
          <t>Capital Gains</t>
        </is>
      </c>
      <c r="F14" t="inlineStr">
        <is>
          <t>Single</t>
        </is>
      </c>
      <c r="G14" t="inlineStr">
        <is>
          <t>High</t>
        </is>
      </c>
      <c r="H14" t="inlineStr">
        <is>
          <t>Line 7 (LTCG) ↓</t>
        </is>
      </c>
      <c r="J14" t="inlineStr"/>
    </row>
    <row r="15">
      <c r="A15" t="inlineStr">
        <is>
          <t>STD-011</t>
        </is>
      </c>
      <c r="B15" t="inlineStr">
        <is>
          <t>Cap Gain</t>
        </is>
      </c>
      <c r="C15" t="inlineStr">
        <is>
          <t>Tax Loss Harvesting</t>
        </is>
      </c>
      <c r="D15" t="inlineStr">
        <is>
          <t>Sell losers to offset gains</t>
        </is>
      </c>
      <c r="E15" t="inlineStr">
        <is>
          <t>Capital Gains</t>
        </is>
      </c>
      <c r="F15" t="inlineStr">
        <is>
          <t>Single</t>
        </is>
      </c>
      <c r="G15" t="inlineStr">
        <is>
          <t>Medium</t>
        </is>
      </c>
      <c r="H15" t="inlineStr">
        <is>
          <t>Line 7 ↓</t>
        </is>
      </c>
      <c r="J15" t="inlineStr"/>
    </row>
    <row r="16">
      <c r="A16" t="inlineStr">
        <is>
          <t>STD-012</t>
        </is>
      </c>
      <c r="B16" t="inlineStr">
        <is>
          <t>CRE</t>
        </is>
      </c>
      <c r="C16" t="inlineStr">
        <is>
          <t>Cost Segregation</t>
        </is>
      </c>
      <c r="D16" t="inlineStr">
        <is>
          <t>Accelerate depreciation via cost seg study</t>
        </is>
      </c>
      <c r="E16" t="inlineStr">
        <is>
          <t>Business Income</t>
        </is>
      </c>
      <c r="F16" t="inlineStr">
        <is>
          <t>Single</t>
        </is>
      </c>
      <c r="G16" t="inlineStr">
        <is>
          <t>High</t>
        </is>
      </c>
      <c r="H16" t="inlineStr">
        <is>
          <t>Line 10 ↓</t>
        </is>
      </c>
      <c r="J16" t="inlineStr"/>
    </row>
    <row r="17">
      <c r="A17" t="inlineStr">
        <is>
          <t>STD-013</t>
        </is>
      </c>
      <c r="B17" t="inlineStr">
        <is>
          <t>CRE</t>
        </is>
      </c>
      <c r="C17" t="inlineStr">
        <is>
          <t>RE Professional Election</t>
        </is>
      </c>
      <c r="D17" t="inlineStr">
        <is>
          <t>Convert passive to active for loss utilization</t>
        </is>
      </c>
      <c r="E17" t="inlineStr">
        <is>
          <t>Business Income</t>
        </is>
      </c>
      <c r="F17" t="inlineStr">
        <is>
          <t>Multi</t>
        </is>
      </c>
      <c r="G17" t="inlineStr">
        <is>
          <t>High</t>
        </is>
      </c>
      <c r="H17" t="inlineStr">
        <is>
          <t>Line 14 → Line 10</t>
        </is>
      </c>
      <c r="J17" t="inlineStr"/>
    </row>
    <row r="18">
      <c r="A18" t="inlineStr">
        <is>
          <t>STD-014</t>
        </is>
      </c>
      <c r="B18" t="inlineStr">
        <is>
          <t>CRE</t>
        </is>
      </c>
      <c r="C18" t="inlineStr">
        <is>
          <t>Section 179 Expensing</t>
        </is>
      </c>
      <c r="D18" t="inlineStr">
        <is>
          <t>Immediate expense vs depreciation</t>
        </is>
      </c>
      <c r="E18" t="inlineStr">
        <is>
          <t>Business Income</t>
        </is>
      </c>
      <c r="F18" t="inlineStr">
        <is>
          <t>Single</t>
        </is>
      </c>
      <c r="G18" t="inlineStr">
        <is>
          <t>Medium</t>
        </is>
      </c>
      <c r="H18" t="inlineStr">
        <is>
          <t>Line 10 ↓</t>
        </is>
      </c>
      <c r="J18" t="inlineStr"/>
    </row>
    <row r="19">
      <c r="A19" t="inlineStr">
        <is>
          <t>ADV-001</t>
        </is>
      </c>
      <c r="B19" t="inlineStr">
        <is>
          <t>Advanced</t>
        </is>
      </c>
      <c r="C19" t="inlineStr">
        <is>
          <t>Cash Balance Plan</t>
        </is>
      </c>
      <c r="D19" t="inlineStr">
        <is>
          <t>Defined benefit plan for high earners</t>
        </is>
      </c>
      <c r="E19" t="inlineStr">
        <is>
          <t>Adjustment</t>
        </is>
      </c>
      <c r="F19" t="inlineStr">
        <is>
          <t>Single</t>
        </is>
      </c>
      <c r="G19" t="inlineStr">
        <is>
          <t>High</t>
        </is>
      </c>
      <c r="H19" t="inlineStr">
        <is>
          <t>Line 10 ↓</t>
        </is>
      </c>
      <c r="J19" t="inlineStr"/>
    </row>
    <row r="20">
      <c r="A20" t="inlineStr">
        <is>
          <t>ADV-002</t>
        </is>
      </c>
      <c r="B20" t="inlineStr">
        <is>
          <t>Advanced</t>
        </is>
      </c>
      <c r="C20" t="inlineStr">
        <is>
          <t>Charitable Strategies</t>
        </is>
      </c>
      <c r="D20" t="inlineStr">
        <is>
          <t>CRUT, CRAT, DAF for charitable deductions</t>
        </is>
      </c>
      <c r="E20" t="inlineStr">
        <is>
          <t>Itemized</t>
        </is>
      </c>
      <c r="F20" t="inlineStr">
        <is>
          <t>Single</t>
        </is>
      </c>
      <c r="G20" t="inlineStr">
        <is>
          <t>High</t>
        </is>
      </c>
      <c r="H20" t="inlineStr">
        <is>
          <t>Line 12 ↑</t>
        </is>
      </c>
      <c r="J20" t="inlineStr"/>
    </row>
    <row r="21">
      <c r="A21" t="inlineStr">
        <is>
          <t>ADV-003</t>
        </is>
      </c>
      <c r="B21" t="inlineStr">
        <is>
          <t>Advanced</t>
        </is>
      </c>
      <c r="C21" t="inlineStr">
        <is>
          <t>QBI Optimization</t>
        </is>
      </c>
      <c r="D21" t="inlineStr">
        <is>
          <t>Grouping and aggregation elections</t>
        </is>
      </c>
      <c r="E21" t="inlineStr">
        <is>
          <t>Business Income</t>
        </is>
      </c>
      <c r="F21" t="inlineStr">
        <is>
          <t>Computed</t>
        </is>
      </c>
      <c r="G21" t="inlineStr">
        <is>
          <t>High</t>
        </is>
      </c>
      <c r="H21" t="inlineStr">
        <is>
          <t>QBI Deduction</t>
        </is>
      </c>
      <c r="J21" t="inlineStr"/>
    </row>
    <row r="22">
      <c r="A22" t="inlineStr">
        <is>
          <t>ADV-004</t>
        </is>
      </c>
      <c r="B22" t="inlineStr">
        <is>
          <t>Advanced</t>
        </is>
      </c>
      <c r="C22" t="inlineStr">
        <is>
          <t>Roth Conversion</t>
        </is>
      </c>
      <c r="D22" t="inlineStr">
        <is>
          <t>Convert traditional IRA → Roth at lower bracket</t>
        </is>
      </c>
      <c r="E22" t="inlineStr">
        <is>
          <t>Investment Income, Adjustment</t>
        </is>
      </c>
      <c r="F22" t="inlineStr">
        <is>
          <t>Multi</t>
        </is>
      </c>
      <c r="G22" t="inlineStr">
        <is>
          <t>High</t>
        </is>
      </c>
      <c r="H22" t="inlineStr">
        <is>
          <t>Line 4b ↑, future Roth tax-free</t>
        </is>
      </c>
      <c r="J22" t="inlineStr"/>
    </row>
    <row r="23">
      <c r="A23" t="inlineStr">
        <is>
          <t>ADV-005</t>
        </is>
      </c>
      <c r="B23" t="inlineStr">
        <is>
          <t>Advanced</t>
        </is>
      </c>
      <c r="C23" t="inlineStr">
        <is>
          <t>NOL Planning</t>
        </is>
      </c>
      <c r="D23" t="inlineStr">
        <is>
          <t>Time / utilize Net Operating Losses</t>
        </is>
      </c>
      <c r="E23" t="inlineStr">
        <is>
          <t>Business Income</t>
        </is>
      </c>
      <c r="F23" t="inlineStr">
        <is>
          <t>Multi</t>
        </is>
      </c>
      <c r="G23" t="inlineStr">
        <is>
          <t>High</t>
        </is>
      </c>
      <c r="H23" t="inlineStr">
        <is>
          <t>Line 10</t>
        </is>
      </c>
      <c r="J23" t="inlineStr"/>
    </row>
    <row r="24">
      <c r="A24" t="inlineStr">
        <is>
          <t>ADV-006</t>
        </is>
      </c>
      <c r="B24" t="inlineStr">
        <is>
          <t>Advanced</t>
        </is>
      </c>
      <c r="C24" t="inlineStr">
        <is>
          <t>Installment Sale</t>
        </is>
      </c>
      <c r="D24" t="inlineStr">
        <is>
          <t>Spread gain across multiple years</t>
        </is>
      </c>
      <c r="E24" t="inlineStr">
        <is>
          <t>Capital Gains</t>
        </is>
      </c>
      <c r="F24" t="inlineStr">
        <is>
          <t>Multi</t>
        </is>
      </c>
      <c r="G24" t="inlineStr">
        <is>
          <t>Medium</t>
        </is>
      </c>
      <c r="H24" t="inlineStr">
        <is>
          <t>Line 7 over years</t>
        </is>
      </c>
      <c r="J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TAX SUMMARY — cross-year, GROUPBY-driven from Master_Inputs</t>
        </is>
      </c>
    </row>
    <row r="2">
      <c r="A2" s="2" t="inlineStr">
        <is>
          <t>Reproduces the year-sheet rollup by pivoting Master_Inputs. Integrity check: year-sheet total must = pivot total.</t>
        </is>
      </c>
    </row>
    <row r="4">
      <c r="A4" s="3" t="inlineStr">
        <is>
          <t>PATTERN 1 — GROUPBY (EXCEL 365)</t>
        </is>
      </c>
    </row>
    <row r="5">
      <c r="A5" s="16">
        <f>GROUPBY( tblMaster_Inputs[[Year]:[Bucket]], tblMaster_Inputs[Baseline_Amount], SUM, 3, 0 )</f>
        <v/>
      </c>
    </row>
    <row r="7">
      <c r="A7" s="3" t="inlineStr">
        <is>
          <t>PATTERN 2 — PIVOTBY (rows × columns)</t>
        </is>
      </c>
    </row>
    <row r="8">
      <c r="A8" s="16">
        <f>PIVOTBY( tblMaster_Inputs[Bucket], tblMaster_Inputs[Year], tblMaster_Inputs[Baseline_Amount], SUM, 3, 0, 2 )</f>
        <v/>
      </c>
    </row>
    <row r="10">
      <c r="A10" s="3" t="inlineStr">
        <is>
          <t>PATTERN 3 — SUMIFS fallback (per Source_Layer breakdown)</t>
        </is>
      </c>
    </row>
    <row r="11">
      <c r="A11" s="16">
        <f>SUMIFS(tblMaster_Inputs[Baseline_Amount], tblMaster_Inputs[Year], 2025, tblMaster_Inputs[Bucket], "Wages", tblMaster_Inputs[Source_Layer], "Baseline")</f>
        <v/>
      </c>
    </row>
    <row r="13">
      <c r="A13" s="3" t="inlineStr">
        <is>
          <t>CROSS-YEAR ROLLUP — Baseline + Adjustments + Strategies per Bucket</t>
        </is>
      </c>
    </row>
    <row r="14">
      <c r="A14" s="7" t="inlineStr">
        <is>
          <t>Bucket</t>
        </is>
      </c>
      <c r="B14" s="7" t="inlineStr">
        <is>
          <t>2024 Base</t>
        </is>
      </c>
      <c r="C14" s="7" t="inlineStr">
        <is>
          <t>2024 Adj</t>
        </is>
      </c>
      <c r="D14" s="7" t="inlineStr">
        <is>
          <t>2024 Strat</t>
        </is>
      </c>
      <c r="E14" s="7" t="inlineStr">
        <is>
          <t>2025 Base</t>
        </is>
      </c>
      <c r="F14" s="7" t="inlineStr">
        <is>
          <t>2025 Adj</t>
        </is>
      </c>
      <c r="G14" s="7" t="inlineStr">
        <is>
          <t>2025 Strat</t>
        </is>
      </c>
    </row>
    <row r="15">
      <c r="A15" t="inlineStr">
        <is>
          <t>Wages</t>
        </is>
      </c>
      <c r="B15">
        <f>SUMIFS(tblMaster_Inputs[Baseline_Amount], tblMaster_Inputs[Year], 2024, tblMaster_Inputs[Bucket], A15, tblMaster_Inputs[Source_Layer], "Baseline")</f>
        <v/>
      </c>
      <c r="C15">
        <f>SUMIFS(tblMaster_Inputs[Adjustment_Amount], tblMaster_Inputs[Year], 2024, tblMaster_Inputs[Bucket], A15)</f>
        <v/>
      </c>
      <c r="D15">
        <f>SUMIFS(tblMaster_Inputs[Baseline_Amount], tblMaster_Inputs[Year], 2024, tblMaster_Inputs[Bucket], A15, tblMaster_Inputs[Source_Layer], "Tax Strategy")</f>
        <v/>
      </c>
      <c r="E15">
        <f>SUMIFS(tblMaster_Inputs[Baseline_Amount], tblMaster_Inputs[Year], 2025, tblMaster_Inputs[Bucket], A15, tblMaster_Inputs[Source_Layer], "Baseline")</f>
        <v/>
      </c>
      <c r="F15">
        <f>SUMIFS(tblMaster_Inputs[Adjustment_Amount], tblMaster_Inputs[Year], 2025, tblMaster_Inputs[Bucket], A15)</f>
        <v/>
      </c>
      <c r="G15">
        <f>SUMIFS(tblMaster_Inputs[Baseline_Amount], tblMaster_Inputs[Year], 2025, tblMaster_Inputs[Bucket], A15, tblMaster_Inputs[Source_Layer], "Tax Strategy")</f>
        <v/>
      </c>
    </row>
    <row r="16">
      <c r="A16" t="inlineStr">
        <is>
          <t>Business Income</t>
        </is>
      </c>
      <c r="B16">
        <f>SUMIFS(tblMaster_Inputs[Baseline_Amount], tblMaster_Inputs[Year], 2024, tblMaster_Inputs[Bucket], A16, tblMaster_Inputs[Source_Layer], "Baseline")</f>
        <v/>
      </c>
      <c r="C16">
        <f>SUMIFS(tblMaster_Inputs[Adjustment_Amount], tblMaster_Inputs[Year], 2024, tblMaster_Inputs[Bucket], A16)</f>
        <v/>
      </c>
      <c r="D16">
        <f>SUMIFS(tblMaster_Inputs[Baseline_Amount], tblMaster_Inputs[Year], 2024, tblMaster_Inputs[Bucket], A16, tblMaster_Inputs[Source_Layer], "Tax Strategy")</f>
        <v/>
      </c>
      <c r="E16">
        <f>SUMIFS(tblMaster_Inputs[Baseline_Amount], tblMaster_Inputs[Year], 2025, tblMaster_Inputs[Bucket], A16, tblMaster_Inputs[Source_Layer], "Baseline")</f>
        <v/>
      </c>
      <c r="F16">
        <f>SUMIFS(tblMaster_Inputs[Adjustment_Amount], tblMaster_Inputs[Year], 2025, tblMaster_Inputs[Bucket], A16)</f>
        <v/>
      </c>
      <c r="G16">
        <f>SUMIFS(tblMaster_Inputs[Baseline_Amount], tblMaster_Inputs[Year], 2025, tblMaster_Inputs[Bucket], A16, tblMaster_Inputs[Source_Layer], "Tax Strategy")</f>
        <v/>
      </c>
    </row>
    <row r="17">
      <c r="A17" t="inlineStr">
        <is>
          <t>Investment Income</t>
        </is>
      </c>
      <c r="B17">
        <f>SUMIFS(tblMaster_Inputs[Baseline_Amount], tblMaster_Inputs[Year], 2024, tblMaster_Inputs[Bucket], A17, tblMaster_Inputs[Source_Layer], "Baseline")</f>
        <v/>
      </c>
      <c r="C17">
        <f>SUMIFS(tblMaster_Inputs[Adjustment_Amount], tblMaster_Inputs[Year], 2024, tblMaster_Inputs[Bucket], A17)</f>
        <v/>
      </c>
      <c r="D17">
        <f>SUMIFS(tblMaster_Inputs[Baseline_Amount], tblMaster_Inputs[Year], 2024, tblMaster_Inputs[Bucket], A17, tblMaster_Inputs[Source_Layer], "Tax Strategy")</f>
        <v/>
      </c>
      <c r="E17">
        <f>SUMIFS(tblMaster_Inputs[Baseline_Amount], tblMaster_Inputs[Year], 2025, tblMaster_Inputs[Bucket], A17, tblMaster_Inputs[Source_Layer], "Baseline")</f>
        <v/>
      </c>
      <c r="F17">
        <f>SUMIFS(tblMaster_Inputs[Adjustment_Amount], tblMaster_Inputs[Year], 2025, tblMaster_Inputs[Bucket], A17)</f>
        <v/>
      </c>
      <c r="G17">
        <f>SUMIFS(tblMaster_Inputs[Baseline_Amount], tblMaster_Inputs[Year], 2025, tblMaster_Inputs[Bucket], A17, tblMaster_Inputs[Source_Layer], "Tax Strategy")</f>
        <v/>
      </c>
    </row>
    <row r="18">
      <c r="A18" t="inlineStr">
        <is>
          <t>Capital Gains</t>
        </is>
      </c>
      <c r="B18">
        <f>SUMIFS(tblMaster_Inputs[Baseline_Amount], tblMaster_Inputs[Year], 2024, tblMaster_Inputs[Bucket], A18, tblMaster_Inputs[Source_Layer], "Baseline")</f>
        <v/>
      </c>
      <c r="C18">
        <f>SUMIFS(tblMaster_Inputs[Adjustment_Amount], tblMaster_Inputs[Year], 2024, tblMaster_Inputs[Bucket], A18)</f>
        <v/>
      </c>
      <c r="D18">
        <f>SUMIFS(tblMaster_Inputs[Baseline_Amount], tblMaster_Inputs[Year], 2024, tblMaster_Inputs[Bucket], A18, tblMaster_Inputs[Source_Layer], "Tax Strategy")</f>
        <v/>
      </c>
      <c r="E18">
        <f>SUMIFS(tblMaster_Inputs[Baseline_Amount], tblMaster_Inputs[Year], 2025, tblMaster_Inputs[Bucket], A18, tblMaster_Inputs[Source_Layer], "Baseline")</f>
        <v/>
      </c>
      <c r="F18">
        <f>SUMIFS(tblMaster_Inputs[Adjustment_Amount], tblMaster_Inputs[Year], 2025, tblMaster_Inputs[Bucket], A18)</f>
        <v/>
      </c>
      <c r="G18">
        <f>SUMIFS(tblMaster_Inputs[Baseline_Amount], tblMaster_Inputs[Year], 2025, tblMaster_Inputs[Bucket], A18, tblMaster_Inputs[Source_Layer], "Tax Strategy")</f>
        <v/>
      </c>
    </row>
    <row r="19">
      <c r="A19" t="inlineStr">
        <is>
          <t>Adjustment</t>
        </is>
      </c>
      <c r="B19">
        <f>SUMIFS(tblMaster_Inputs[Baseline_Amount], tblMaster_Inputs[Year], 2024, tblMaster_Inputs[Bucket], A19, tblMaster_Inputs[Source_Layer], "Baseline")</f>
        <v/>
      </c>
      <c r="C19">
        <f>SUMIFS(tblMaster_Inputs[Adjustment_Amount], tblMaster_Inputs[Year], 2024, tblMaster_Inputs[Bucket], A19)</f>
        <v/>
      </c>
      <c r="D19">
        <f>SUMIFS(tblMaster_Inputs[Baseline_Amount], tblMaster_Inputs[Year], 2024, tblMaster_Inputs[Bucket], A19, tblMaster_Inputs[Source_Layer], "Tax Strategy")</f>
        <v/>
      </c>
      <c r="E19">
        <f>SUMIFS(tblMaster_Inputs[Baseline_Amount], tblMaster_Inputs[Year], 2025, tblMaster_Inputs[Bucket], A19, tblMaster_Inputs[Source_Layer], "Baseline")</f>
        <v/>
      </c>
      <c r="F19">
        <f>SUMIFS(tblMaster_Inputs[Adjustment_Amount], tblMaster_Inputs[Year], 2025, tblMaster_Inputs[Bucket], A19)</f>
        <v/>
      </c>
      <c r="G19">
        <f>SUMIFS(tblMaster_Inputs[Baseline_Amount], tblMaster_Inputs[Year], 2025, tblMaster_Inputs[Bucket], A19, tblMaster_Inputs[Source_Layer], "Tax Strategy")</f>
        <v/>
      </c>
    </row>
    <row r="20">
      <c r="A20" t="inlineStr">
        <is>
          <t>Itemized</t>
        </is>
      </c>
      <c r="B20">
        <f>SUMIFS(tblMaster_Inputs[Baseline_Amount], tblMaster_Inputs[Year], 2024, tblMaster_Inputs[Bucket], A20, tblMaster_Inputs[Source_Layer], "Baseline")</f>
        <v/>
      </c>
      <c r="C20">
        <f>SUMIFS(tblMaster_Inputs[Adjustment_Amount], tblMaster_Inputs[Year], 2024, tblMaster_Inputs[Bucket], A20)</f>
        <v/>
      </c>
      <c r="D20">
        <f>SUMIFS(tblMaster_Inputs[Baseline_Amount], tblMaster_Inputs[Year], 2024, tblMaster_Inputs[Bucket], A20, tblMaster_Inputs[Source_Layer], "Tax Strategy")</f>
        <v/>
      </c>
      <c r="E20">
        <f>SUMIFS(tblMaster_Inputs[Baseline_Amount], tblMaster_Inputs[Year], 2025, tblMaster_Inputs[Bucket], A20, tblMaster_Inputs[Source_Layer], "Baseline")</f>
        <v/>
      </c>
      <c r="F20">
        <f>SUMIFS(tblMaster_Inputs[Adjustment_Amount], tblMaster_Inputs[Year], 2025, tblMaster_Inputs[Bucket], A20)</f>
        <v/>
      </c>
      <c r="G20">
        <f>SUMIFS(tblMaster_Inputs[Baseline_Amount], tblMaster_Inputs[Year], 2025, tblMaster_Inputs[Bucket], A20, tblMaster_Inputs[Source_Layer], "Tax Strategy")</f>
        <v/>
      </c>
    </row>
    <row r="21">
      <c r="A21" t="inlineStr">
        <is>
          <t>Credit</t>
        </is>
      </c>
      <c r="B21">
        <f>SUMIFS(tblMaster_Inputs[Baseline_Amount], tblMaster_Inputs[Year], 2024, tblMaster_Inputs[Bucket], A21, tblMaster_Inputs[Source_Layer], "Baseline")</f>
        <v/>
      </c>
      <c r="C21">
        <f>SUMIFS(tblMaster_Inputs[Adjustment_Amount], tblMaster_Inputs[Year], 2024, tblMaster_Inputs[Bucket], A21)</f>
        <v/>
      </c>
      <c r="D21">
        <f>SUMIFS(tblMaster_Inputs[Baseline_Amount], tblMaster_Inputs[Year], 2024, tblMaster_Inputs[Bucket], A21, tblMaster_Inputs[Source_Layer], "Tax Strategy")</f>
        <v/>
      </c>
      <c r="E21">
        <f>SUMIFS(tblMaster_Inputs[Baseline_Amount], tblMaster_Inputs[Year], 2025, tblMaster_Inputs[Bucket], A21, tblMaster_Inputs[Source_Layer], "Baseline")</f>
        <v/>
      </c>
      <c r="F21">
        <f>SUMIFS(tblMaster_Inputs[Adjustment_Amount], tblMaster_Inputs[Year], 2025, tblMaster_Inputs[Bucket], A21)</f>
        <v/>
      </c>
      <c r="G21">
        <f>SUMIFS(tblMaster_Inputs[Baseline_Amount], tblMaster_Inputs[Year], 2025, tblMaster_Inputs[Bucket], A21, tblMaster_Inputs[Source_Layer], "Tax Strategy")</f>
        <v/>
      </c>
    </row>
    <row r="22">
      <c r="A22" t="inlineStr">
        <is>
          <t>Payment</t>
        </is>
      </c>
      <c r="B22">
        <f>SUMIFS(tblMaster_Inputs[Baseline_Amount], tblMaster_Inputs[Year], 2024, tblMaster_Inputs[Bucket], A22, tblMaster_Inputs[Source_Layer], "Baseline")</f>
        <v/>
      </c>
      <c r="C22">
        <f>SUMIFS(tblMaster_Inputs[Adjustment_Amount], tblMaster_Inputs[Year], 2024, tblMaster_Inputs[Bucket], A22)</f>
        <v/>
      </c>
      <c r="D22">
        <f>SUMIFS(tblMaster_Inputs[Baseline_Amount], tblMaster_Inputs[Year], 2024, tblMaster_Inputs[Bucket], A22, tblMaster_Inputs[Source_Layer], "Tax Strategy")</f>
        <v/>
      </c>
      <c r="E22">
        <f>SUMIFS(tblMaster_Inputs[Baseline_Amount], tblMaster_Inputs[Year], 2025, tblMaster_Inputs[Bucket], A22, tblMaster_Inputs[Source_Layer], "Baseline")</f>
        <v/>
      </c>
      <c r="F22">
        <f>SUMIFS(tblMaster_Inputs[Adjustment_Amount], tblMaster_Inputs[Year], 2025, tblMaster_Inputs[Bucket], A22)</f>
        <v/>
      </c>
      <c r="G22">
        <f>SUMIFS(tblMaster_Inputs[Baseline_Amount], tblMaster_Inputs[Year], 2025, tblMaster_Inputs[Bucket], A22, tblMaster_Inputs[Source_Layer], "Tax Strategy")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8" customWidth="1" min="4" max="4"/>
    <col width="22" customWidth="1" min="5" max="5"/>
  </cols>
  <sheetData>
    <row r="1">
      <c r="A1" s="1" t="inlineStr">
        <is>
          <t>PBC CHECKLIST — auto-generated from Master_Inputs by Provenance + Source_Document</t>
        </is>
      </c>
    </row>
    <row r="2">
      <c r="A2" s="2" t="inlineStr">
        <is>
          <t>Filters: Source_Layer = "Baseline" AND Provenance IN ("PBC - Requested", "PBC - Received", "PBC - Reviewed").</t>
        </is>
      </c>
    </row>
    <row r="4">
      <c r="A4" s="3" t="inlineStr">
        <is>
          <t>GROUPBY pattern</t>
        </is>
      </c>
    </row>
    <row r="5">
      <c r="A5" s="16">
        <f>GROUPBY(CHOOSECOLS(FILTER(tblMaster_Inputs, (tblMaster_Inputs[Year]=TaxYear)*(tblMaster_Inputs[Source_Layer]="Baseline")), 6, 8, 12), 1, COUNTA, 3, 0)</f>
        <v/>
      </c>
    </row>
    <row r="7">
      <c r="A7" s="3" t="inlineStr">
        <is>
          <t>EXAMPLE OUTPUT (with Provenance flag for status)</t>
        </is>
      </c>
    </row>
    <row r="8">
      <c r="A8" s="7" t="inlineStr">
        <is>
          <t>Status</t>
        </is>
      </c>
      <c r="B8" s="7" t="inlineStr">
        <is>
          <t>Bucket</t>
        </is>
      </c>
      <c r="C8" s="7" t="inlineStr">
        <is>
          <t>Source_Document</t>
        </is>
      </c>
      <c r="D8" s="7" t="inlineStr">
        <is>
          <t>Payor</t>
        </is>
      </c>
      <c r="E8" s="7" t="inlineStr">
        <is>
          <t>Provenance</t>
        </is>
      </c>
    </row>
    <row r="9">
      <c r="A9" t="inlineStr">
        <is>
          <t>[ ]</t>
        </is>
      </c>
      <c r="B9" t="inlineStr">
        <is>
          <t>Wages</t>
        </is>
      </c>
      <c r="C9" t="inlineStr">
        <is>
          <t>W-2</t>
        </is>
      </c>
      <c r="D9" t="inlineStr">
        <is>
          <t>SampleCo S-Corp</t>
        </is>
      </c>
      <c r="E9" t="inlineStr">
        <is>
          <t>PBC - Requested</t>
        </is>
      </c>
    </row>
    <row r="10">
      <c r="A10" t="inlineStr">
        <is>
          <t>[ ]</t>
        </is>
      </c>
      <c r="B10" t="inlineStr">
        <is>
          <t>Business Income</t>
        </is>
      </c>
      <c r="C10" t="inlineStr">
        <is>
          <t>K-1</t>
        </is>
      </c>
      <c r="D10" t="inlineStr">
        <is>
          <t>SampleCo S-Corp K-1</t>
        </is>
      </c>
      <c r="E10" t="inlineStr">
        <is>
          <t>PY Rolled Forward</t>
        </is>
      </c>
    </row>
    <row r="11">
      <c r="A11" t="inlineStr">
        <is>
          <t>[✓]</t>
        </is>
      </c>
      <c r="B11" t="inlineStr">
        <is>
          <t>Investment Income</t>
        </is>
      </c>
      <c r="C11" t="inlineStr">
        <is>
          <t>1099-DIV</t>
        </is>
      </c>
      <c r="D11" t="inlineStr">
        <is>
          <t>Brokerage</t>
        </is>
      </c>
      <c r="E11" t="inlineStr">
        <is>
          <t>PBC - Received</t>
        </is>
      </c>
    </row>
    <row r="12">
      <c r="A12" t="inlineStr">
        <is>
          <t>[ ]</t>
        </is>
      </c>
      <c r="B12" t="inlineStr">
        <is>
          <t>Capital Gains</t>
        </is>
      </c>
      <c r="C12" t="inlineStr">
        <is>
          <t>1099-B</t>
        </is>
      </c>
      <c r="D12" t="inlineStr">
        <is>
          <t>Brokerage</t>
        </is>
      </c>
      <c r="E12" t="inlineStr">
        <is>
          <t>PBC - Requested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30" customWidth="1" min="4" max="4"/>
  </cols>
  <sheetData>
    <row r="1">
      <c r="A1" s="1" t="inlineStr">
        <is>
          <t>DASHBOARD EXPORT — stable named-range contract for Jeff/downstream consumers</t>
        </is>
      </c>
    </row>
    <row r="2">
      <c r="A2" s="2" t="inlineStr">
        <is>
          <t>Downstream dashboards pull from these named ranges. Layout is the CONTRACT.</t>
        </is>
      </c>
    </row>
    <row r="4">
      <c r="B4" s="10" t="inlineStr">
        <is>
          <t>METRIC</t>
        </is>
      </c>
      <c r="C4" s="10" t="inlineStr">
        <is>
          <t>VALUE</t>
        </is>
      </c>
      <c r="D4" s="10" t="inlineStr">
        <is>
          <t>NAMED RANGE</t>
        </is>
      </c>
    </row>
    <row r="5">
      <c r="B5" s="4" t="inlineStr">
        <is>
          <t>Active Tax Year</t>
        </is>
      </c>
      <c r="C5">
        <f>TaxYear</f>
        <v/>
      </c>
      <c r="D5" s="2" t="inlineStr">
        <is>
          <t>Dashboard_TaxYear</t>
        </is>
      </c>
    </row>
    <row r="6">
      <c r="B6" s="4" t="inlineStr">
        <is>
          <t>Filing Status</t>
        </is>
      </c>
      <c r="C6">
        <f>FilingStatus</f>
        <v/>
      </c>
      <c r="D6" s="2" t="inlineStr">
        <is>
          <t>Dashboard_FilingStatus</t>
        </is>
      </c>
    </row>
    <row r="7">
      <c r="B7" s="4" t="inlineStr">
        <is>
          <t>Total Income</t>
        </is>
      </c>
      <c r="C7">
        <f>SUMIFS(tblMaster_Inputs[Baseline_Amount], tblMaster_Inputs[Year], TaxYear, tblMaster_Inputs[Source_Layer], "Baseline")</f>
        <v/>
      </c>
      <c r="D7" s="2" t="inlineStr">
        <is>
          <t>Dashboard_TotalIncome</t>
        </is>
      </c>
    </row>
    <row r="8">
      <c r="B8" s="4" t="inlineStr">
        <is>
          <t>Total Adjustments</t>
        </is>
      </c>
      <c r="C8">
        <f>SUMIFS(tblMaster_Inputs[Adjustment_Amount], tblMaster_Inputs[Year], TaxYear)</f>
        <v/>
      </c>
      <c r="D8" s="2" t="inlineStr">
        <is>
          <t>Dashboard_TotalAdj</t>
        </is>
      </c>
    </row>
    <row r="9">
      <c r="B9" s="4" t="inlineStr">
        <is>
          <t>Total Strategies (committed)</t>
        </is>
      </c>
      <c r="C9">
        <f>SUMIFS(tblMaster_Inputs[Baseline_Amount], tblMaster_Inputs[Year], TaxYear, tblMaster_Inputs[Source_Layer], "Tax Strategy")</f>
        <v/>
      </c>
      <c r="D9" s="2" t="inlineStr">
        <is>
          <t>Dashboard_TotalStrat</t>
        </is>
      </c>
    </row>
    <row r="10">
      <c r="B10" s="4" t="inlineStr">
        <is>
          <t>Effective Total</t>
        </is>
      </c>
      <c r="C10">
        <f>Dashboard_TotalIncome + Dashboard_TotalAdj + IF(Include_Strategies, Dashboard_TotalStrat, 0)</f>
        <v/>
      </c>
      <c r="D10" s="2" t="inlineStr">
        <is>
          <t>Dashboard_EffectiveTotal</t>
        </is>
      </c>
    </row>
    <row r="11">
      <c r="B11" s="4" t="inlineStr">
        <is>
          <t>Total Federal Tax</t>
        </is>
      </c>
      <c r="C11" t="inlineStr">
        <is>
          <t>placeholder — wire to year-sheet U28 in real workbook</t>
        </is>
      </c>
      <c r="D11" s="2" t="inlineStr">
        <is>
          <t>Dashboard_TotalFedTax</t>
        </is>
      </c>
    </row>
    <row r="12">
      <c r="B12" s="4" t="inlineStr">
        <is>
          <t>True Tax Burden</t>
        </is>
      </c>
      <c r="C12" t="inlineStr">
        <is>
          <t>placeholder — wire to year-sheet U36 in real workbook</t>
        </is>
      </c>
      <c r="D12" s="2" t="inlineStr">
        <is>
          <t>Dashboard_TrueTaxBurden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2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40" customWidth="1" min="11" max="11"/>
  </cols>
  <sheetData>
    <row r="1">
      <c r="A1" s="1" t="inlineStr">
        <is>
          <t>PROJECTION HISTORY — snapshot archive / tie-out workpaper</t>
        </is>
      </c>
    </row>
    <row r="4">
      <c r="A4" s="7" t="inlineStr">
        <is>
          <t>Year</t>
        </is>
      </c>
      <c r="B4" s="7" t="inlineStr">
        <is>
          <t>Scenario</t>
        </is>
      </c>
      <c r="C4" s="7" t="inlineStr">
        <is>
          <t>Line</t>
        </is>
      </c>
      <c r="D4" s="7" t="inlineStr">
        <is>
          <t>Description</t>
        </is>
      </c>
      <c r="E4" s="7" t="inlineStr">
        <is>
          <t>Projected</t>
        </is>
      </c>
      <c r="F4" s="7" t="inlineStr">
        <is>
          <t>Filed</t>
        </is>
      </c>
      <c r="G4" s="7" t="inlineStr">
        <is>
          <t>Variance $</t>
        </is>
      </c>
      <c r="H4" s="7" t="inlineStr">
        <is>
          <t>Variance %</t>
        </is>
      </c>
      <c r="I4" s="7" t="inlineStr">
        <is>
          <t>Accuracy Grade</t>
        </is>
      </c>
      <c r="J4" s="7" t="inlineStr">
        <is>
          <t>Snapshot Date</t>
        </is>
      </c>
      <c r="K4" s="7" t="inlineStr">
        <is>
          <t>Notes</t>
        </is>
      </c>
    </row>
    <row r="5">
      <c r="A5" t="n">
        <v>2023</v>
      </c>
      <c r="B5" t="inlineStr">
        <is>
          <t>AsFiled</t>
        </is>
      </c>
      <c r="C5" t="inlineStr">
        <is>
          <t>1z</t>
        </is>
      </c>
      <c r="D5" t="inlineStr">
        <is>
          <t>Wages</t>
        </is>
      </c>
      <c r="E5" t="n">
        <v>105000</v>
      </c>
      <c r="F5" t="n">
        <v>108500</v>
      </c>
      <c r="G5" t="n">
        <v>3500</v>
      </c>
      <c r="H5" t="n">
        <v>0.0333</v>
      </c>
      <c r="I5" t="inlineStr">
        <is>
          <t>A</t>
        </is>
      </c>
      <c r="J5" t="inlineStr">
        <is>
          <t>2024-04-15</t>
        </is>
      </c>
      <c r="K5" t="inlineStr"/>
    </row>
    <row r="6">
      <c r="A6" t="n">
        <v>2023</v>
      </c>
      <c r="B6" t="inlineStr">
        <is>
          <t>AsFiled</t>
        </is>
      </c>
      <c r="C6" t="inlineStr">
        <is>
          <t>2b</t>
        </is>
      </c>
      <c r="D6" t="inlineStr">
        <is>
          <t>Taxable interest</t>
        </is>
      </c>
      <c r="E6" t="n">
        <v>8500</v>
      </c>
      <c r="F6" t="n">
        <v>8200</v>
      </c>
      <c r="G6" t="n">
        <v>-300</v>
      </c>
      <c r="H6" t="n">
        <v>-0.0353</v>
      </c>
      <c r="I6" t="inlineStr">
        <is>
          <t>A</t>
        </is>
      </c>
      <c r="J6" t="inlineStr">
        <is>
          <t>2024-04-15</t>
        </is>
      </c>
      <c r="K6" t="inlineStr"/>
    </row>
    <row r="7">
      <c r="A7" t="n">
        <v>2024</v>
      </c>
      <c r="B7" t="inlineStr">
        <is>
          <t>S1 Extension</t>
        </is>
      </c>
      <c r="C7" t="inlineStr">
        <is>
          <t>1z</t>
        </is>
      </c>
      <c r="D7" t="inlineStr">
        <is>
          <t>Wages</t>
        </is>
      </c>
      <c r="E7" t="n">
        <v>112000</v>
      </c>
      <c r="J7" t="inlineStr">
        <is>
          <t>2024-04-15</t>
        </is>
      </c>
      <c r="K7" t="inlineStr">
        <is>
          <t>Projected at extension</t>
        </is>
      </c>
    </row>
    <row r="8">
      <c r="A8" t="n">
        <v>2025</v>
      </c>
      <c r="B8" t="inlineStr">
        <is>
          <t>S1</t>
        </is>
      </c>
      <c r="C8" t="inlineStr">
        <is>
          <t>1z</t>
        </is>
      </c>
      <c r="D8" t="inlineStr">
        <is>
          <t>Wages</t>
        </is>
      </c>
      <c r="E8" t="n">
        <v>75000</v>
      </c>
      <c r="J8" t="inlineStr">
        <is>
          <t>2025-09-01</t>
        </is>
      </c>
      <c r="K8" t="inlineStr">
        <is>
          <t>Post S-Corp salary reduction strategy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1" customWidth="1" min="3" max="3"/>
    <col width="12" customWidth="1" min="4" max="4"/>
    <col width="13" customWidth="1" min="5" max="5"/>
    <col width="11" customWidth="1" min="6" max="6"/>
    <col width="18" customWidth="1" min="7" max="7"/>
    <col width="50" customWidth="1" min="8" max="8"/>
    <col width="45" customWidth="1" min="9" max="9"/>
  </cols>
  <sheetData>
    <row r="1">
      <c r="A1" s="1" t="inlineStr">
        <is>
          <t>TREATMENT PROFILE MAP — single source for derived columns</t>
        </is>
      </c>
    </row>
    <row r="2">
      <c r="A2" s="2" t="inlineStr">
        <is>
          <t>Profile selection on input rows drives auto-fill of SE/NIIT/QBI/Primary_Line/Helper_Treatment/Consider_Prompt.</t>
        </is>
      </c>
    </row>
    <row r="4">
      <c r="A4" s="7" t="inlineStr">
        <is>
          <t>Profile</t>
        </is>
      </c>
      <c r="B4" s="7" t="inlineStr">
        <is>
          <t>Bucket</t>
        </is>
      </c>
      <c r="C4" s="7" t="inlineStr">
        <is>
          <t>SE_Subject</t>
        </is>
      </c>
      <c r="D4" s="7" t="inlineStr">
        <is>
          <t>NIIT_Class</t>
        </is>
      </c>
      <c r="E4" s="7" t="inlineStr">
        <is>
          <t>QBI_Eligible</t>
        </is>
      </c>
      <c r="F4" s="7" t="inlineStr">
        <is>
          <t>Primary_Line</t>
        </is>
      </c>
      <c r="G4" s="7" t="inlineStr">
        <is>
          <t>Helper_Treatment</t>
        </is>
      </c>
      <c r="H4" s="7" t="inlineStr">
        <is>
          <t>Consider_Prompt</t>
        </is>
      </c>
      <c r="I4" s="7" t="inlineStr">
        <is>
          <t>Notes</t>
        </is>
      </c>
    </row>
    <row r="5">
      <c r="A5" t="inlineStr">
        <is>
          <t>SchC_Active</t>
        </is>
      </c>
      <c r="B5" t="inlineStr">
        <is>
          <t>Business Income</t>
        </is>
      </c>
      <c r="C5" t="inlineStr">
        <is>
          <t>Yes</t>
        </is>
      </c>
      <c r="D5" t="inlineStr">
        <is>
          <t>Active</t>
        </is>
      </c>
      <c r="E5" t="inlineStr">
        <is>
          <t>Yes</t>
        </is>
      </c>
      <c r="F5" t="inlineStr">
        <is>
          <t>10</t>
        </is>
      </c>
      <c r="G5" t="inlineStr">
        <is>
          <t>SE_INCOME</t>
        </is>
      </c>
      <c r="H5" t="inlineStr">
        <is>
          <t>SE earnings? owner draws separately tracked?</t>
        </is>
      </c>
      <c r="I5" t="inlineStr">
        <is>
          <t>Sole prop active SE</t>
        </is>
      </c>
    </row>
    <row r="6">
      <c r="A6" t="inlineStr">
        <is>
          <t>SchE_Rental</t>
        </is>
      </c>
      <c r="B6" t="inlineStr">
        <is>
          <t>Business Income</t>
        </is>
      </c>
      <c r="C6" t="inlineStr">
        <is>
          <t>No</t>
        </is>
      </c>
      <c r="D6" t="inlineStr">
        <is>
          <t>Passive</t>
        </is>
      </c>
      <c r="E6" t="inlineStr">
        <is>
          <t>No</t>
        </is>
      </c>
      <c r="F6" t="inlineStr">
        <is>
          <t>10</t>
        </is>
      </c>
      <c r="G6" t="inlineStr">
        <is>
          <t>PASSIVE</t>
        </is>
      </c>
      <c r="H6" t="inlineStr">
        <is>
          <t>short-term rental treatment? RE Pro election?</t>
        </is>
      </c>
      <c r="I6" t="inlineStr">
        <is>
          <t>Rental real estate default passive</t>
        </is>
      </c>
    </row>
    <row r="7">
      <c r="A7" t="inlineStr">
        <is>
          <t>SchE_REPro</t>
        </is>
      </c>
      <c r="B7" t="inlineStr">
        <is>
          <t>Business Income</t>
        </is>
      </c>
      <c r="C7" t="inlineStr">
        <is>
          <t>No</t>
        </is>
      </c>
      <c r="D7" t="inlineStr">
        <is>
          <t>Active</t>
        </is>
      </c>
      <c r="E7" t="inlineStr">
        <is>
          <t>No</t>
        </is>
      </c>
      <c r="F7" t="inlineStr">
        <is>
          <t>10</t>
        </is>
      </c>
      <c r="G7" t="inlineStr">
        <is>
          <t>ACTIVE_RE</t>
        </is>
      </c>
      <c r="H7" t="inlineStr">
        <is>
          <t>meets 750 hr / &gt;50% test?</t>
        </is>
      </c>
      <c r="I7" t="inlineStr">
        <is>
          <t>RE Pro election makes rental active</t>
        </is>
      </c>
    </row>
    <row r="8">
      <c r="A8" t="inlineStr">
        <is>
          <t>SchF_Active</t>
        </is>
      </c>
      <c r="B8" t="inlineStr">
        <is>
          <t>Business Income</t>
        </is>
      </c>
      <c r="C8" t="inlineStr">
        <is>
          <t>Yes</t>
        </is>
      </c>
      <c r="D8" t="inlineStr">
        <is>
          <t>Active</t>
        </is>
      </c>
      <c r="E8" t="inlineStr">
        <is>
          <t>Yes</t>
        </is>
      </c>
      <c r="F8" t="inlineStr">
        <is>
          <t>10</t>
        </is>
      </c>
      <c r="G8" t="inlineStr">
        <is>
          <t>SE_INCOME</t>
        </is>
      </c>
      <c r="H8" t="inlineStr">
        <is>
          <t>SE earnings? farm income averaging?</t>
        </is>
      </c>
      <c r="I8" t="inlineStr">
        <is>
          <t>Farm income SE subject</t>
        </is>
      </c>
    </row>
    <row r="9">
      <c r="A9" t="inlineStr">
        <is>
          <t>K1_PTP_Active</t>
        </is>
      </c>
      <c r="B9" t="inlineStr">
        <is>
          <t>Business Income</t>
        </is>
      </c>
      <c r="C9" t="inlineStr">
        <is>
          <t>Yes</t>
        </is>
      </c>
      <c r="D9" t="inlineStr">
        <is>
          <t>Active</t>
        </is>
      </c>
      <c r="E9" t="inlineStr">
        <is>
          <t>Yes</t>
        </is>
      </c>
      <c r="F9" t="inlineStr">
        <is>
          <t>10</t>
        </is>
      </c>
      <c r="G9" t="inlineStr">
        <is>
          <t>K1_SPLIT</t>
        </is>
      </c>
      <c r="H9" t="inlineStr">
        <is>
          <t>active vs passive? SE adjustments?</t>
        </is>
      </c>
      <c r="I9" t="inlineStr">
        <is>
          <t>Active partnership K-1 (SE subject)</t>
        </is>
      </c>
    </row>
    <row r="10">
      <c r="A10" t="inlineStr">
        <is>
          <t>K1_PTP_Passive</t>
        </is>
      </c>
      <c r="B10" t="inlineStr">
        <is>
          <t>Business Income</t>
        </is>
      </c>
      <c r="C10" t="inlineStr">
        <is>
          <t>No</t>
        </is>
      </c>
      <c r="D10" t="inlineStr">
        <is>
          <t>Passive</t>
        </is>
      </c>
      <c r="E10" t="inlineStr">
        <is>
          <t>Yes</t>
        </is>
      </c>
      <c r="F10" t="inlineStr">
        <is>
          <t>10</t>
        </is>
      </c>
      <c r="G10" t="inlineStr">
        <is>
          <t>K1_SPLIT</t>
        </is>
      </c>
      <c r="H10" t="inlineStr">
        <is>
          <t>PAL limits? grouping election?</t>
        </is>
      </c>
      <c r="I10" t="inlineStr">
        <is>
          <t>Passive partnership K-1</t>
        </is>
      </c>
    </row>
    <row r="11">
      <c r="A11" t="inlineStr">
        <is>
          <t>K1_SCorp_Active</t>
        </is>
      </c>
      <c r="B11" t="inlineStr">
        <is>
          <t>Business Income</t>
        </is>
      </c>
      <c r="C11" t="inlineStr">
        <is>
          <t>No</t>
        </is>
      </c>
      <c r="D11" t="inlineStr">
        <is>
          <t>Active</t>
        </is>
      </c>
      <c r="E11" t="inlineStr">
        <is>
          <t>Yes</t>
        </is>
      </c>
      <c r="F11" t="inlineStr">
        <is>
          <t>10</t>
        </is>
      </c>
      <c r="G11" t="inlineStr">
        <is>
          <t>K1_SPLIT</t>
        </is>
      </c>
      <c r="H11" t="inlineStr">
        <is>
          <t>active vs passive?</t>
        </is>
      </c>
      <c r="I11" t="inlineStr">
        <is>
          <t>Active S-Corp K-1 box 1</t>
        </is>
      </c>
    </row>
    <row r="12">
      <c r="A12" t="inlineStr">
        <is>
          <t>K1_SCorp_Passive</t>
        </is>
      </c>
      <c r="B12" t="inlineStr">
        <is>
          <t>Business Income</t>
        </is>
      </c>
      <c r="C12" t="inlineStr">
        <is>
          <t>No</t>
        </is>
      </c>
      <c r="D12" t="inlineStr">
        <is>
          <t>Passive</t>
        </is>
      </c>
      <c r="E12" t="inlineStr">
        <is>
          <t>Yes</t>
        </is>
      </c>
      <c r="F12" t="inlineStr">
        <is>
          <t>10</t>
        </is>
      </c>
      <c r="G12" t="inlineStr">
        <is>
          <t>K1_SPLIT</t>
        </is>
      </c>
      <c r="H12" t="inlineStr">
        <is>
          <t>rare — confirm</t>
        </is>
      </c>
      <c r="I12" t="inlineStr">
        <is>
          <t>Passive S-Corp K-1 (uncommon)</t>
        </is>
      </c>
    </row>
    <row r="13">
      <c r="A13" t="inlineStr">
        <is>
          <t>Trust_K1</t>
        </is>
      </c>
      <c r="B13" t="inlineStr">
        <is>
          <t>Business Income</t>
        </is>
      </c>
      <c r="C13" t="inlineStr">
        <is>
          <t>No</t>
        </is>
      </c>
      <c r="D13" t="inlineStr">
        <is>
          <t>Portfolio</t>
        </is>
      </c>
      <c r="E13" t="inlineStr">
        <is>
          <t>No</t>
        </is>
      </c>
      <c r="F13" t="inlineStr">
        <is>
          <t>10</t>
        </is>
      </c>
      <c r="G13" t="inlineStr">
        <is>
          <t>TRUST_DIST</t>
        </is>
      </c>
      <c r="H13" t="inlineStr">
        <is>
          <t>character of distribution? DNI components?</t>
        </is>
      </c>
      <c r="I13" t="inlineStr">
        <is>
          <t>Trust K-1</t>
        </is>
      </c>
    </row>
    <row r="14">
      <c r="A14" t="inlineStr">
        <is>
          <t>W2_Employee</t>
        </is>
      </c>
      <c r="B14" t="inlineStr">
        <is>
          <t>Wages</t>
        </is>
      </c>
      <c r="C14" t="inlineStr">
        <is>
          <t>No</t>
        </is>
      </c>
      <c r="D14" t="inlineStr">
        <is>
          <t>Active</t>
        </is>
      </c>
      <c r="E14" t="inlineStr">
        <is>
          <t>No</t>
        </is>
      </c>
      <c r="F14" t="inlineStr">
        <is>
          <t>1z</t>
        </is>
      </c>
      <c r="G14" t="inlineStr">
        <is>
          <t>NONE</t>
        </is>
      </c>
      <c r="H14" t="inlineStr">
        <is>
          <t>(n/a)</t>
        </is>
      </c>
      <c r="I14" t="inlineStr">
        <is>
          <t>Standard W-2 wages</t>
        </is>
      </c>
    </row>
    <row r="15">
      <c r="A15" t="inlineStr">
        <is>
          <t>W2_SCorpOwner</t>
        </is>
      </c>
      <c r="B15" t="inlineStr">
        <is>
          <t>Wages</t>
        </is>
      </c>
      <c r="C15" t="inlineStr">
        <is>
          <t>No</t>
        </is>
      </c>
      <c r="D15" t="inlineStr">
        <is>
          <t>Active</t>
        </is>
      </c>
      <c r="E15" t="inlineStr">
        <is>
          <t>No</t>
        </is>
      </c>
      <c r="F15" t="inlineStr">
        <is>
          <t>1z</t>
        </is>
      </c>
      <c r="G15" t="inlineStr">
        <is>
          <t>OWNER_PAY</t>
        </is>
      </c>
      <c r="H15" t="inlineStr">
        <is>
          <t>owner pay portion (S-corp owner)?</t>
        </is>
      </c>
      <c r="I15" t="inlineStr">
        <is>
          <t>S-Corp owner reasonable comp — drives FICA double-burden box</t>
        </is>
      </c>
    </row>
    <row r="16">
      <c r="A16" t="inlineStr">
        <is>
          <t>Int_Taxable</t>
        </is>
      </c>
      <c r="B16" t="inlineStr">
        <is>
          <t>Investment Income</t>
        </is>
      </c>
      <c r="C16" t="inlineStr">
        <is>
          <t>No</t>
        </is>
      </c>
      <c r="D16" t="inlineStr">
        <is>
          <t>Portfolio</t>
        </is>
      </c>
      <c r="E16" t="inlineStr">
        <is>
          <t>No</t>
        </is>
      </c>
      <c r="F16" t="inlineStr">
        <is>
          <t>2b</t>
        </is>
      </c>
      <c r="G16" t="inlineStr">
        <is>
          <t>TAX_EXEMPT</t>
        </is>
      </c>
      <c r="H16" t="inlineStr">
        <is>
          <t>tax-exempt portion?</t>
        </is>
      </c>
      <c r="I16" t="inlineStr">
        <is>
          <t>Taxable interest income</t>
        </is>
      </c>
    </row>
    <row r="17">
      <c r="A17" t="inlineStr">
        <is>
          <t>Int_Exempt</t>
        </is>
      </c>
      <c r="B17" t="inlineStr">
        <is>
          <t>Investment Income</t>
        </is>
      </c>
      <c r="C17" t="inlineStr">
        <is>
          <t>No</t>
        </is>
      </c>
      <c r="D17" t="inlineStr">
        <is>
          <t>N/A</t>
        </is>
      </c>
      <c r="E17" t="inlineStr">
        <is>
          <t>No</t>
        </is>
      </c>
      <c r="F17" t="inlineStr">
        <is>
          <t>2a</t>
        </is>
      </c>
      <c r="G17" t="inlineStr">
        <is>
          <t>NONE</t>
        </is>
      </c>
      <c r="H17" t="inlineStr">
        <is>
          <t>(all exempt)</t>
        </is>
      </c>
      <c r="I17" t="inlineStr">
        <is>
          <t>Tax-exempt interest (muni)</t>
        </is>
      </c>
    </row>
    <row r="18">
      <c r="A18" t="inlineStr">
        <is>
          <t>Div_Qualified</t>
        </is>
      </c>
      <c r="B18" t="inlineStr">
        <is>
          <t>Investment Income</t>
        </is>
      </c>
      <c r="C18" t="inlineStr">
        <is>
          <t>No</t>
        </is>
      </c>
      <c r="D18" t="inlineStr">
        <is>
          <t>Portfolio</t>
        </is>
      </c>
      <c r="E18" t="inlineStr">
        <is>
          <t>No</t>
        </is>
      </c>
      <c r="F18" t="inlineStr">
        <is>
          <t>3b</t>
        </is>
      </c>
      <c r="G18" t="inlineStr">
        <is>
          <t>QUAL_DIV</t>
        </is>
      </c>
      <c r="H18" t="inlineStr">
        <is>
          <t>qualified dividend portion?</t>
        </is>
      </c>
      <c r="I18" t="inlineStr">
        <is>
          <t>Qualified dividends — stack with LTCG</t>
        </is>
      </c>
    </row>
    <row r="19">
      <c r="A19" t="inlineStr">
        <is>
          <t>Div_Ordinary</t>
        </is>
      </c>
      <c r="B19" t="inlineStr">
        <is>
          <t>Investment Income</t>
        </is>
      </c>
      <c r="C19" t="inlineStr">
        <is>
          <t>No</t>
        </is>
      </c>
      <c r="D19" t="inlineStr">
        <is>
          <t>Portfolio</t>
        </is>
      </c>
      <c r="E19" t="inlineStr">
        <is>
          <t>No</t>
        </is>
      </c>
      <c r="F19" t="inlineStr">
        <is>
          <t>3b</t>
        </is>
      </c>
      <c r="G19" t="inlineStr">
        <is>
          <t>QUAL_DIV</t>
        </is>
      </c>
      <c r="H19" t="inlineStr">
        <is>
          <t>qualified dividend portion?</t>
        </is>
      </c>
      <c r="I19" t="inlineStr">
        <is>
          <t>Ordinary (non-qualified) dividends</t>
        </is>
      </c>
    </row>
    <row r="20">
      <c r="A20" t="inlineStr">
        <is>
          <t>LTCG_Stock</t>
        </is>
      </c>
      <c r="B20" t="inlineStr">
        <is>
          <t>Capital Gains</t>
        </is>
      </c>
      <c r="C20" t="inlineStr">
        <is>
          <t>No</t>
        </is>
      </c>
      <c r="D20" t="inlineStr">
        <is>
          <t>Portfolio</t>
        </is>
      </c>
      <c r="E20" t="inlineStr">
        <is>
          <t>No</t>
        </is>
      </c>
      <c r="F20" t="inlineStr">
        <is>
          <t>7</t>
        </is>
      </c>
      <c r="G20" t="inlineStr">
        <is>
          <t>LTCG_SPLIT</t>
        </is>
      </c>
      <c r="H20" t="inlineStr">
        <is>
          <t>wash sales? carryover loss available?</t>
        </is>
      </c>
      <c r="I20" t="inlineStr">
        <is>
          <t>Long-term capital gains on equities</t>
        </is>
      </c>
    </row>
    <row r="21">
      <c r="A21" t="inlineStr">
        <is>
          <t>STCG_Stock</t>
        </is>
      </c>
      <c r="B21" t="inlineStr">
        <is>
          <t>Capital Gains</t>
        </is>
      </c>
      <c r="C21" t="inlineStr">
        <is>
          <t>No</t>
        </is>
      </c>
      <c r="D21" t="inlineStr">
        <is>
          <t>Portfolio</t>
        </is>
      </c>
      <c r="E21" t="inlineStr">
        <is>
          <t>No</t>
        </is>
      </c>
      <c r="F21" t="inlineStr">
        <is>
          <t>7</t>
        </is>
      </c>
      <c r="G21" t="inlineStr">
        <is>
          <t>LTCG_SPLIT</t>
        </is>
      </c>
      <c r="H21" t="inlineStr">
        <is>
          <t>wash sales? carryover loss available?</t>
        </is>
      </c>
      <c r="I21" t="inlineStr">
        <is>
          <t>Short-term capital gains</t>
        </is>
      </c>
    </row>
    <row r="22">
      <c r="A22" t="inlineStr">
        <is>
          <t>LTCG_RE</t>
        </is>
      </c>
      <c r="B22" t="inlineStr">
        <is>
          <t>Capital Gains</t>
        </is>
      </c>
      <c r="C22" t="inlineStr">
        <is>
          <t>No</t>
        </is>
      </c>
      <c r="D22" t="inlineStr">
        <is>
          <t>Passive</t>
        </is>
      </c>
      <c r="E22" t="inlineStr">
        <is>
          <t>No</t>
        </is>
      </c>
      <c r="F22" t="inlineStr">
        <is>
          <t>7</t>
        </is>
      </c>
      <c r="G22" t="inlineStr">
        <is>
          <t>LTCG_SPLIT</t>
        </is>
      </c>
      <c r="H22" t="inlineStr">
        <is>
          <t>§1250 unrecaptured portion? §1031 deferred?</t>
        </is>
      </c>
      <c r="I22" t="inlineStr">
        <is>
          <t>Long-term cap gain on real estate</t>
        </is>
      </c>
    </row>
    <row r="23">
      <c r="A23" t="inlineStr">
        <is>
          <t>Sec1250_Recap</t>
        </is>
      </c>
      <c r="B23" t="inlineStr">
        <is>
          <t>Capital Gains</t>
        </is>
      </c>
      <c r="C23" t="inlineStr">
        <is>
          <t>No</t>
        </is>
      </c>
      <c r="D23" t="inlineStr">
        <is>
          <t>Passive</t>
        </is>
      </c>
      <c r="E23" t="inlineStr">
        <is>
          <t>No</t>
        </is>
      </c>
      <c r="F23" t="inlineStr">
        <is>
          <t>7</t>
        </is>
      </c>
      <c r="G23" t="inlineStr">
        <is>
          <t>SEC1250</t>
        </is>
      </c>
      <c r="H23" t="inlineStr">
        <is>
          <t>(unrecaptured §1250 — capped at 25%)</t>
        </is>
      </c>
      <c r="I23" t="inlineStr">
        <is>
          <t>§1250 unrecaptured depreciation recapture</t>
        </is>
      </c>
    </row>
    <row r="24">
      <c r="A24" t="inlineStr">
        <is>
          <t>LTCG_K1_Passthrough</t>
        </is>
      </c>
      <c r="B24" t="inlineStr">
        <is>
          <t>Capital Gains</t>
        </is>
      </c>
      <c r="C24" t="inlineStr">
        <is>
          <t>No</t>
        </is>
      </c>
      <c r="D24" t="inlineStr">
        <is>
          <t>Portfolio</t>
        </is>
      </c>
      <c r="E24" t="inlineStr">
        <is>
          <t>No</t>
        </is>
      </c>
      <c r="F24" t="inlineStr">
        <is>
          <t>7</t>
        </is>
      </c>
      <c r="G24" t="inlineStr">
        <is>
          <t>LTCG_SPLIT</t>
        </is>
      </c>
      <c r="H24" t="inlineStr">
        <is>
          <t>character per K-1 box?</t>
        </is>
      </c>
      <c r="I24" t="inlineStr">
        <is>
          <t>Cap gain passed through K-1</t>
        </is>
      </c>
    </row>
    <row r="25">
      <c r="A25" t="inlineStr">
        <is>
          <t>Adj_HSA</t>
        </is>
      </c>
      <c r="B25" t="inlineStr">
        <is>
          <t>Adjustment</t>
        </is>
      </c>
      <c r="C25" t="inlineStr">
        <is>
          <t>No</t>
        </is>
      </c>
      <c r="D25" t="inlineStr">
        <is>
          <t>N/A</t>
        </is>
      </c>
      <c r="E25" t="inlineStr">
        <is>
          <t>No</t>
        </is>
      </c>
      <c r="F25" t="inlineStr">
        <is>
          <t>10</t>
        </is>
      </c>
      <c r="G25" t="inlineStr">
        <is>
          <t>HSA</t>
        </is>
      </c>
      <c r="H25" t="inlineStr">
        <is>
          <t>family vs self limit? catch-up age?</t>
        </is>
      </c>
      <c r="I25" t="inlineStr">
        <is>
          <t>HSA contribution adjustment</t>
        </is>
      </c>
    </row>
    <row r="26">
      <c r="A26" t="inlineStr">
        <is>
          <t>Adj_IRA</t>
        </is>
      </c>
      <c r="B26" t="inlineStr">
        <is>
          <t>Adjustment</t>
        </is>
      </c>
      <c r="C26" t="inlineStr">
        <is>
          <t>No</t>
        </is>
      </c>
      <c r="D26" t="inlineStr">
        <is>
          <t>N/A</t>
        </is>
      </c>
      <c r="E26" t="inlineStr">
        <is>
          <t>No</t>
        </is>
      </c>
      <c r="F26" t="inlineStr">
        <is>
          <t>10</t>
        </is>
      </c>
      <c r="G26" t="inlineStr">
        <is>
          <t>IRA</t>
        </is>
      </c>
      <c r="H26" t="inlineStr">
        <is>
          <t>deductible portion? Roth conversion?</t>
        </is>
      </c>
      <c r="I26" t="inlineStr">
        <is>
          <t>IRA contribution adjustment</t>
        </is>
      </c>
    </row>
    <row r="27">
      <c r="A27" t="inlineStr">
        <is>
          <t>Adj_Retirement</t>
        </is>
      </c>
      <c r="B27" t="inlineStr">
        <is>
          <t>Adjustment</t>
        </is>
      </c>
      <c r="C27" t="inlineStr">
        <is>
          <t>No</t>
        </is>
      </c>
      <c r="D27" t="inlineStr">
        <is>
          <t>N/A</t>
        </is>
      </c>
      <c r="E27" t="inlineStr">
        <is>
          <t>No</t>
        </is>
      </c>
      <c r="F27" t="inlineStr">
        <is>
          <t>10</t>
        </is>
      </c>
      <c r="G27" t="inlineStr">
        <is>
          <t>RETIREMENT</t>
        </is>
      </c>
      <c r="H27" t="inlineStr">
        <is>
          <t>plan type? employer limit?</t>
        </is>
      </c>
      <c r="I27" t="inlineStr">
        <is>
          <t>Retirement plan contribution</t>
        </is>
      </c>
    </row>
    <row r="28">
      <c r="A28" t="inlineStr">
        <is>
          <t>Adj_SEHealth</t>
        </is>
      </c>
      <c r="B28" t="inlineStr">
        <is>
          <t>Adjustment</t>
        </is>
      </c>
      <c r="C28" t="inlineStr">
        <is>
          <t>No</t>
        </is>
      </c>
      <c r="D28" t="inlineStr">
        <is>
          <t>N/A</t>
        </is>
      </c>
      <c r="E28" t="inlineStr">
        <is>
          <t>No</t>
        </is>
      </c>
      <c r="F28" t="inlineStr">
        <is>
          <t>10</t>
        </is>
      </c>
      <c r="G28" t="inlineStr">
        <is>
          <t>SE_HEALTH</t>
        </is>
      </c>
      <c r="H28" t="inlineStr">
        <is>
          <t>SE earnings cap? spouse plan available?</t>
        </is>
      </c>
      <c r="I28" t="inlineStr">
        <is>
          <t>SE health insurance deduction</t>
        </is>
      </c>
    </row>
    <row r="29">
      <c r="A29" t="inlineStr">
        <is>
          <t>Adj_StudentLoan</t>
        </is>
      </c>
      <c r="B29" t="inlineStr">
        <is>
          <t>Adjustment</t>
        </is>
      </c>
      <c r="C29" t="inlineStr">
        <is>
          <t>No</t>
        </is>
      </c>
      <c r="D29" t="inlineStr">
        <is>
          <t>N/A</t>
        </is>
      </c>
      <c r="E29" t="inlineStr">
        <is>
          <t>No</t>
        </is>
      </c>
      <c r="F29" t="inlineStr">
        <is>
          <t>10</t>
        </is>
      </c>
      <c r="G29" t="inlineStr">
        <is>
          <t>STUDENT_LOAN</t>
        </is>
      </c>
      <c r="H29" t="inlineStr">
        <is>
          <t>MAGI phase-out check?</t>
        </is>
      </c>
      <c r="I29" t="inlineStr">
        <is>
          <t>Student loan interest deduction</t>
        </is>
      </c>
    </row>
    <row r="30">
      <c r="A30" t="inlineStr">
        <is>
          <t>Itm_Medical</t>
        </is>
      </c>
      <c r="B30" t="inlineStr">
        <is>
          <t>Itemized</t>
        </is>
      </c>
      <c r="C30" t="inlineStr">
        <is>
          <t>No</t>
        </is>
      </c>
      <c r="D30" t="inlineStr">
        <is>
          <t>N/A</t>
        </is>
      </c>
      <c r="E30" t="inlineStr">
        <is>
          <t>No</t>
        </is>
      </c>
      <c r="F30" t="inlineStr">
        <is>
          <t>12</t>
        </is>
      </c>
      <c r="G30" t="inlineStr">
        <is>
          <t>MEDICAL</t>
        </is>
      </c>
      <c r="H30" t="inlineStr">
        <is>
          <t>7.5% AGI floor</t>
        </is>
      </c>
      <c r="I30" t="inlineStr">
        <is>
          <t>Medical expenses (Sch A)</t>
        </is>
      </c>
    </row>
    <row r="31">
      <c r="A31" t="inlineStr">
        <is>
          <t>Itm_SALT</t>
        </is>
      </c>
      <c r="B31" t="inlineStr">
        <is>
          <t>Itemized</t>
        </is>
      </c>
      <c r="C31" t="inlineStr">
        <is>
          <t>No</t>
        </is>
      </c>
      <c r="D31" t="inlineStr">
        <is>
          <t>N/A</t>
        </is>
      </c>
      <c r="E31" t="inlineStr">
        <is>
          <t>No</t>
        </is>
      </c>
      <c r="F31" t="inlineStr">
        <is>
          <t>12</t>
        </is>
      </c>
      <c r="G31" t="inlineStr">
        <is>
          <t>SALT</t>
        </is>
      </c>
      <c r="H31" t="inlineStr">
        <is>
          <t>$10K cap (current law)</t>
        </is>
      </c>
      <c r="I31" t="inlineStr">
        <is>
          <t>State and local taxes (Sch A)</t>
        </is>
      </c>
    </row>
    <row r="32">
      <c r="A32" t="inlineStr">
        <is>
          <t>Itm_Mortgage</t>
        </is>
      </c>
      <c r="B32" t="inlineStr">
        <is>
          <t>Itemized</t>
        </is>
      </c>
      <c r="C32" t="inlineStr">
        <is>
          <t>No</t>
        </is>
      </c>
      <c r="D32" t="inlineStr">
        <is>
          <t>N/A</t>
        </is>
      </c>
      <c r="E32" t="inlineStr">
        <is>
          <t>No</t>
        </is>
      </c>
      <c r="F32" t="inlineStr">
        <is>
          <t>12</t>
        </is>
      </c>
      <c r="G32" t="inlineStr">
        <is>
          <t>MORTGAGE</t>
        </is>
      </c>
      <c r="H32" t="inlineStr">
        <is>
          <t>principal cap by date</t>
        </is>
      </c>
      <c r="I32" t="inlineStr">
        <is>
          <t>Mortgage interest (Sch A)</t>
        </is>
      </c>
    </row>
    <row r="33">
      <c r="A33" t="inlineStr">
        <is>
          <t>Itm_Charity</t>
        </is>
      </c>
      <c r="B33" t="inlineStr">
        <is>
          <t>Itemized</t>
        </is>
      </c>
      <c r="C33" t="inlineStr">
        <is>
          <t>No</t>
        </is>
      </c>
      <c r="D33" t="inlineStr">
        <is>
          <t>N/A</t>
        </is>
      </c>
      <c r="E33" t="inlineStr">
        <is>
          <t>No</t>
        </is>
      </c>
      <c r="F33" t="inlineStr">
        <is>
          <t>12</t>
        </is>
      </c>
      <c r="G33" t="inlineStr">
        <is>
          <t>CHARITY</t>
        </is>
      </c>
      <c r="H33" t="inlineStr">
        <is>
          <t>60% AGI cap; DAF bunching?</t>
        </is>
      </c>
      <c r="I33" t="inlineStr">
        <is>
          <t>Charitable contributions (Sch A)</t>
        </is>
      </c>
    </row>
    <row r="34">
      <c r="A34" t="inlineStr">
        <is>
          <t>Cr_CTC</t>
        </is>
      </c>
      <c r="B34" t="inlineStr">
        <is>
          <t>Credit</t>
        </is>
      </c>
      <c r="C34" t="inlineStr">
        <is>
          <t>No</t>
        </is>
      </c>
      <c r="D34" t="inlineStr">
        <is>
          <t>N/A</t>
        </is>
      </c>
      <c r="E34" t="inlineStr">
        <is>
          <t>No</t>
        </is>
      </c>
      <c r="F34" t="inlineStr">
        <is>
          <t>19</t>
        </is>
      </c>
      <c r="G34" t="inlineStr">
        <is>
          <t>CTC</t>
        </is>
      </c>
      <c r="H34" t="inlineStr">
        <is>
          <t>children under 17? phase-out by AGI?</t>
        </is>
      </c>
      <c r="I34" t="inlineStr">
        <is>
          <t>Child Tax Credit</t>
        </is>
      </c>
    </row>
    <row r="35">
      <c r="A35" t="inlineStr">
        <is>
          <t>Cr_Education</t>
        </is>
      </c>
      <c r="B35" t="inlineStr">
        <is>
          <t>Credit</t>
        </is>
      </c>
      <c r="C35" t="inlineStr">
        <is>
          <t>No</t>
        </is>
      </c>
      <c r="D35" t="inlineStr">
        <is>
          <t>N/A</t>
        </is>
      </c>
      <c r="E35" t="inlineStr">
        <is>
          <t>No</t>
        </is>
      </c>
      <c r="F35" t="inlineStr">
        <is>
          <t>20</t>
        </is>
      </c>
      <c r="G35" t="inlineStr">
        <is>
          <t>EDUCATION</t>
        </is>
      </c>
      <c r="H35" t="inlineStr">
        <is>
          <t>AOTC vs LLC? phase-out?</t>
        </is>
      </c>
      <c r="I35" t="inlineStr">
        <is>
          <t>Education credits</t>
        </is>
      </c>
    </row>
    <row r="36">
      <c r="A36" t="inlineStr">
        <is>
          <t>Cr_FTC</t>
        </is>
      </c>
      <c r="B36" t="inlineStr">
        <is>
          <t>Credit</t>
        </is>
      </c>
      <c r="C36" t="inlineStr">
        <is>
          <t>No</t>
        </is>
      </c>
      <c r="D36" t="inlineStr">
        <is>
          <t>N/A</t>
        </is>
      </c>
      <c r="E36" t="inlineStr">
        <is>
          <t>No</t>
        </is>
      </c>
      <c r="F36" t="inlineStr">
        <is>
          <t>20</t>
        </is>
      </c>
      <c r="G36" t="inlineStr">
        <is>
          <t>FTC</t>
        </is>
      </c>
      <c r="H36" t="inlineStr">
        <is>
          <t>Form 1116 required?</t>
        </is>
      </c>
      <c r="I36" t="inlineStr">
        <is>
          <t>Foreign tax credit</t>
        </is>
      </c>
    </row>
    <row r="37">
      <c r="A37" t="inlineStr">
        <is>
          <t>Pmt_Withholding</t>
        </is>
      </c>
      <c r="B37" t="inlineStr">
        <is>
          <t>Payment</t>
        </is>
      </c>
      <c r="C37" t="inlineStr">
        <is>
          <t>No</t>
        </is>
      </c>
      <c r="D37" t="inlineStr">
        <is>
          <t>N/A</t>
        </is>
      </c>
      <c r="E37" t="inlineStr">
        <is>
          <t>No</t>
        </is>
      </c>
      <c r="F37" t="inlineStr">
        <is>
          <t>25</t>
        </is>
      </c>
      <c r="G37" t="inlineStr">
        <is>
          <t>NONE</t>
        </is>
      </c>
      <c r="H37" t="inlineStr">
        <is>
          <t>(n/a)</t>
        </is>
      </c>
      <c r="I37" t="inlineStr">
        <is>
          <t>W-2/1099 withholding</t>
        </is>
      </c>
    </row>
    <row r="38">
      <c r="A38" t="inlineStr">
        <is>
          <t>Pmt_EstTax</t>
        </is>
      </c>
      <c r="B38" t="inlineStr">
        <is>
          <t>Payment</t>
        </is>
      </c>
      <c r="C38" t="inlineStr">
        <is>
          <t>No</t>
        </is>
      </c>
      <c r="D38" t="inlineStr">
        <is>
          <t>N/A</t>
        </is>
      </c>
      <c r="E38" t="inlineStr">
        <is>
          <t>No</t>
        </is>
      </c>
      <c r="F38" t="inlineStr">
        <is>
          <t>26</t>
        </is>
      </c>
      <c r="G38" t="inlineStr">
        <is>
          <t>NONE</t>
        </is>
      </c>
      <c r="H38" t="inlineStr">
        <is>
          <t>safe harbor met?</t>
        </is>
      </c>
      <c r="I38" t="inlineStr">
        <is>
          <t>Quarterly estimated tax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3" customWidth="1" min="4" max="4"/>
    <col width="22" customWidth="1" min="5" max="5"/>
    <col width="14" customWidth="1" min="6" max="6"/>
    <col width="12" customWidth="1" min="7" max="7"/>
    <col width="22" customWidth="1" min="8" max="8"/>
    <col width="14" customWidth="1" min="9" max="9"/>
    <col width="12" customWidth="1" min="10" max="10"/>
  </cols>
  <sheetData>
    <row r="1">
      <c r="A1" s="1" t="inlineStr">
        <is>
          <t>TAX BRACKETS &amp; CONSTANTS — 2024 &amp; 2025</t>
        </is>
      </c>
    </row>
    <row r="3">
      <c r="A3" s="3" t="inlineStr">
        <is>
          <t>2025 ORDINARY — Single</t>
        </is>
      </c>
      <c r="G3" s="3" t="inlineStr">
        <is>
          <t>2025 ORDINARY — MFJ</t>
        </is>
      </c>
    </row>
    <row r="4">
      <c r="A4" s="7" t="inlineStr">
        <is>
          <t>Rate</t>
        </is>
      </c>
      <c r="B4" s="7" t="inlineStr">
        <is>
          <t>Low</t>
        </is>
      </c>
      <c r="C4" s="7" t="inlineStr">
        <is>
          <t>High</t>
        </is>
      </c>
      <c r="G4" s="7" t="inlineStr">
        <is>
          <t>Rate</t>
        </is>
      </c>
      <c r="H4" s="7" t="inlineStr">
        <is>
          <t>Low</t>
        </is>
      </c>
      <c r="I4" s="7" t="inlineStr">
        <is>
          <t>High</t>
        </is>
      </c>
    </row>
    <row r="5">
      <c r="A5" s="17" t="n">
        <v>0.1</v>
      </c>
      <c r="B5" t="n">
        <v>0</v>
      </c>
      <c r="C5" t="n">
        <v>11925</v>
      </c>
      <c r="G5" s="17" t="n">
        <v>0.1</v>
      </c>
      <c r="H5" t="n">
        <v>0</v>
      </c>
      <c r="I5" t="n">
        <v>23850</v>
      </c>
    </row>
    <row r="6">
      <c r="A6" s="17" t="n">
        <v>0.12</v>
      </c>
      <c r="B6" t="n">
        <v>11925</v>
      </c>
      <c r="C6" t="n">
        <v>48475</v>
      </c>
      <c r="G6" s="17" t="n">
        <v>0.12</v>
      </c>
      <c r="H6" t="n">
        <v>23850</v>
      </c>
      <c r="I6" t="n">
        <v>96950</v>
      </c>
    </row>
    <row r="7">
      <c r="A7" s="17" t="n">
        <v>0.22</v>
      </c>
      <c r="B7" t="n">
        <v>48475</v>
      </c>
      <c r="C7" t="n">
        <v>103350</v>
      </c>
      <c r="G7" s="17" t="n">
        <v>0.22</v>
      </c>
      <c r="H7" t="n">
        <v>96950</v>
      </c>
      <c r="I7" t="n">
        <v>206700</v>
      </c>
    </row>
    <row r="8">
      <c r="A8" s="17" t="n">
        <v>0.24</v>
      </c>
      <c r="B8" t="n">
        <v>103350</v>
      </c>
      <c r="C8" t="n">
        <v>197300</v>
      </c>
      <c r="G8" s="17" t="n">
        <v>0.24</v>
      </c>
      <c r="H8" t="n">
        <v>206700</v>
      </c>
      <c r="I8" t="n">
        <v>394600</v>
      </c>
    </row>
    <row r="9">
      <c r="A9" s="17" t="n">
        <v>0.32</v>
      </c>
      <c r="B9" t="n">
        <v>197300</v>
      </c>
      <c r="C9" t="n">
        <v>250525</v>
      </c>
      <c r="G9" s="17" t="n">
        <v>0.32</v>
      </c>
      <c r="H9" t="n">
        <v>394600</v>
      </c>
      <c r="I9" t="n">
        <v>501050</v>
      </c>
    </row>
    <row r="10">
      <c r="A10" s="17" t="n">
        <v>0.35</v>
      </c>
      <c r="B10" t="n">
        <v>250525</v>
      </c>
      <c r="C10" t="n">
        <v>626350</v>
      </c>
      <c r="G10" s="17" t="n">
        <v>0.35</v>
      </c>
      <c r="H10" t="n">
        <v>501050</v>
      </c>
      <c r="I10" t="n">
        <v>751600</v>
      </c>
    </row>
    <row r="11">
      <c r="A11" s="17" t="n">
        <v>0.37</v>
      </c>
      <c r="B11" t="n">
        <v>626350</v>
      </c>
      <c r="C11" t="n">
        <v>99999999</v>
      </c>
      <c r="G11" s="17" t="n">
        <v>0.37</v>
      </c>
      <c r="H11" t="n">
        <v>751600</v>
      </c>
      <c r="I11" t="n">
        <v>99999999</v>
      </c>
    </row>
    <row r="16">
      <c r="A16" s="3" t="inlineStr">
        <is>
          <t>2025 LTCG — Single</t>
        </is>
      </c>
      <c r="E16" s="3" t="inlineStr">
        <is>
          <t>2025 LTCG — MFJ</t>
        </is>
      </c>
    </row>
    <row r="17">
      <c r="A17" s="7" t="inlineStr">
        <is>
          <t>Rate</t>
        </is>
      </c>
      <c r="B17" s="7" t="inlineStr">
        <is>
          <t>Low</t>
        </is>
      </c>
      <c r="C17" s="7" t="inlineStr">
        <is>
          <t>High</t>
        </is>
      </c>
      <c r="E17" s="7" t="inlineStr">
        <is>
          <t>Rate</t>
        </is>
      </c>
      <c r="F17" s="7" t="inlineStr">
        <is>
          <t>Low</t>
        </is>
      </c>
      <c r="G17" s="7" t="inlineStr">
        <is>
          <t>High</t>
        </is>
      </c>
    </row>
    <row r="18">
      <c r="A18" s="17" t="n">
        <v>0</v>
      </c>
      <c r="B18" t="n">
        <v>0</v>
      </c>
      <c r="C18" t="n">
        <v>48350</v>
      </c>
      <c r="E18" s="17" t="n">
        <v>0</v>
      </c>
      <c r="F18" t="n">
        <v>0</v>
      </c>
      <c r="G18" t="n">
        <v>96700</v>
      </c>
    </row>
    <row r="19">
      <c r="A19" s="17" t="n">
        <v>0.15</v>
      </c>
      <c r="B19" t="n">
        <v>48350</v>
      </c>
      <c r="C19" t="n">
        <v>533400</v>
      </c>
      <c r="E19" s="17" t="n">
        <v>0.15</v>
      </c>
      <c r="F19" t="n">
        <v>96700</v>
      </c>
      <c r="G19" t="n">
        <v>600050</v>
      </c>
    </row>
    <row r="20">
      <c r="A20" s="17" t="n">
        <v>0.2</v>
      </c>
      <c r="B20" t="n">
        <v>533400</v>
      </c>
      <c r="C20" t="n">
        <v>99999999</v>
      </c>
      <c r="E20" s="17" t="n">
        <v>0.2</v>
      </c>
      <c r="F20" t="n">
        <v>600050</v>
      </c>
      <c r="G20" t="n">
        <v>99999999</v>
      </c>
    </row>
    <row r="23">
      <c r="A23" s="3" t="inlineStr">
        <is>
          <t>STANDARD DEDUCTIONS</t>
        </is>
      </c>
    </row>
    <row r="24">
      <c r="A24" s="7" t="inlineStr">
        <is>
          <t>Year</t>
        </is>
      </c>
      <c r="B24" s="7" t="inlineStr">
        <is>
          <t>Single</t>
        </is>
      </c>
      <c r="C24" s="7" t="inlineStr">
        <is>
          <t>MFJ</t>
        </is>
      </c>
      <c r="D24" s="7" t="inlineStr">
        <is>
          <t>MFS</t>
        </is>
      </c>
      <c r="E24" s="7" t="inlineStr">
        <is>
          <t>HOH</t>
        </is>
      </c>
    </row>
    <row r="25">
      <c r="A25" t="n">
        <v>2024</v>
      </c>
      <c r="B25" t="n">
        <v>14600</v>
      </c>
      <c r="C25" t="n">
        <v>29200</v>
      </c>
      <c r="D25" t="n">
        <v>14600</v>
      </c>
      <c r="E25" t="n">
        <v>21900</v>
      </c>
    </row>
    <row r="26">
      <c r="A26" t="n">
        <v>2025</v>
      </c>
      <c r="B26" t="n">
        <v>15000</v>
      </c>
      <c r="C26" t="n">
        <v>30000</v>
      </c>
      <c r="D26" t="n">
        <v>15000</v>
      </c>
      <c r="E26" t="n">
        <v>22500</v>
      </c>
    </row>
    <row r="29">
      <c r="A29" s="3" t="inlineStr">
        <is>
          <t>NIIT / SE / FICA CONSTANTS (2025)</t>
        </is>
      </c>
    </row>
    <row r="30">
      <c r="A30" s="4" t="inlineStr">
        <is>
          <t>NIIT_THRESH_MFJ</t>
        </is>
      </c>
      <c r="B30" t="n">
        <v>250000</v>
      </c>
      <c r="C30" s="2" t="inlineStr">
        <is>
          <t>NIIT $250K threshold (MFJ)</t>
        </is>
      </c>
    </row>
    <row r="31">
      <c r="A31" s="4" t="inlineStr">
        <is>
          <t>NIIT_THRESH_S</t>
        </is>
      </c>
      <c r="B31" t="n">
        <v>200000</v>
      </c>
      <c r="C31" s="2" t="inlineStr">
        <is>
          <t>NIIT $200K threshold (Single/HOH)</t>
        </is>
      </c>
    </row>
    <row r="32">
      <c r="A32" s="4" t="inlineStr">
        <is>
          <t>NIIT_THRESH_MFS</t>
        </is>
      </c>
      <c r="B32" t="n">
        <v>125000</v>
      </c>
      <c r="C32" s="2" t="inlineStr">
        <is>
          <t>NIIT $125K threshold (MFS)</t>
        </is>
      </c>
    </row>
    <row r="33">
      <c r="A33" s="4" t="inlineStr">
        <is>
          <t>NIIT_RATE</t>
        </is>
      </c>
      <c r="B33" t="n">
        <v>0.038</v>
      </c>
      <c r="C33" s="2" t="inlineStr">
        <is>
          <t>3.8% NIIT rate</t>
        </is>
      </c>
    </row>
    <row r="34">
      <c r="A34" s="4" t="inlineStr">
        <is>
          <t>SS_WAGE_BASE_2025</t>
        </is>
      </c>
      <c r="B34" t="n">
        <v>176100</v>
      </c>
      <c r="C34" s="2" t="inlineStr">
        <is>
          <t>Social Security wage base 2025</t>
        </is>
      </c>
    </row>
    <row r="35">
      <c r="A35" s="4" t="inlineStr">
        <is>
          <t>SE_BASE_MULT</t>
        </is>
      </c>
      <c r="B35" t="n">
        <v>0.9235</v>
      </c>
      <c r="C35" s="2" t="inlineStr">
        <is>
          <t>SE base multiplier</t>
        </is>
      </c>
    </row>
    <row r="36">
      <c r="A36" s="4" t="inlineStr">
        <is>
          <t>SE_SS_RATE</t>
        </is>
      </c>
      <c r="B36" t="n">
        <v>0.124</v>
      </c>
      <c r="C36" s="2" t="inlineStr">
        <is>
          <t>SE SS rate 12.4%</t>
        </is>
      </c>
    </row>
    <row r="37">
      <c r="A37" s="4" t="inlineStr">
        <is>
          <t>SE_MED_RATE</t>
        </is>
      </c>
      <c r="B37" t="n">
        <v>0.029</v>
      </c>
      <c r="C37" s="2" t="inlineStr">
        <is>
          <t>SE Medicare rate 2.9%</t>
        </is>
      </c>
    </row>
    <row r="38">
      <c r="A38" s="4" t="inlineStr">
        <is>
          <t>FICA_SS_RATE_EE</t>
        </is>
      </c>
      <c r="B38" t="n">
        <v>0.062</v>
      </c>
      <c r="C38" s="2" t="inlineStr">
        <is>
          <t>Employee SS rate</t>
        </is>
      </c>
    </row>
    <row r="39">
      <c r="A39" s="4" t="inlineStr">
        <is>
          <t>FICA_SS_RATE_ER</t>
        </is>
      </c>
      <c r="B39" t="n">
        <v>0.062</v>
      </c>
      <c r="C39" s="2" t="inlineStr">
        <is>
          <t>Employer SS rate</t>
        </is>
      </c>
    </row>
    <row r="40">
      <c r="A40" s="4" t="inlineStr">
        <is>
          <t>FICA_MED_RATE_EE</t>
        </is>
      </c>
      <c r="B40" t="n">
        <v>0.0145</v>
      </c>
      <c r="C40" s="2" t="inlineStr">
        <is>
          <t>Employee Medicare rate</t>
        </is>
      </c>
    </row>
    <row r="41">
      <c r="A41" s="4" t="inlineStr">
        <is>
          <t>FICA_MED_RATE_ER</t>
        </is>
      </c>
      <c r="B41" t="n">
        <v>0.0145</v>
      </c>
      <c r="C41" s="2" t="inlineStr">
        <is>
          <t>Employer Medicare rate</t>
        </is>
      </c>
    </row>
    <row r="42">
      <c r="A42" s="4" t="inlineStr">
        <is>
          <t>ADDL_MED_RATE</t>
        </is>
      </c>
      <c r="B42" t="n">
        <v>0.008999999999999999</v>
      </c>
      <c r="C42" s="2" t="inlineStr">
        <is>
          <t>Additional Medicare 0.9%</t>
        </is>
      </c>
    </row>
    <row r="43">
      <c r="A43" s="4" t="inlineStr">
        <is>
          <t>ADDL_MED_THRESH_MFJ</t>
        </is>
      </c>
      <c r="B43" t="n">
        <v>250000</v>
      </c>
      <c r="C43" s="2" t="inlineStr">
        <is>
          <t>Addl Medicare MFJ threshold</t>
        </is>
      </c>
    </row>
    <row r="44">
      <c r="A44" s="4" t="inlineStr">
        <is>
          <t>ADDL_MED_THRESH_S</t>
        </is>
      </c>
      <c r="B44" t="n">
        <v>200000</v>
      </c>
      <c r="C44" s="2" t="inlineStr">
        <is>
          <t>Addl Medicare Single threshold</t>
        </is>
      </c>
    </row>
    <row r="45">
      <c r="A45" s="4" t="inlineStr">
        <is>
          <t>EBL_LIMIT_MFJ</t>
        </is>
      </c>
      <c r="B45" t="n">
        <v>626000</v>
      </c>
      <c r="C45" s="2" t="inlineStr">
        <is>
          <t>Excess Business Loss MFJ</t>
        </is>
      </c>
    </row>
    <row r="46">
      <c r="A46" s="4" t="inlineStr">
        <is>
          <t>EBL_LIMIT_S</t>
        </is>
      </c>
      <c r="B46" t="n">
        <v>313000</v>
      </c>
      <c r="C46" s="2" t="inlineStr">
        <is>
          <t>Excess Business Loss Single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DROPDOWN LISTS — closed sets + per-bucket cascade named ranges</t>
        </is>
      </c>
    </row>
    <row r="3">
      <c r="A3" s="10" t="inlineStr">
        <is>
          <t>Bucket</t>
        </is>
      </c>
      <c r="B3" s="10" t="inlineStr">
        <is>
          <t>Source_Layer</t>
        </is>
      </c>
      <c r="C3" s="10" t="inlineStr">
        <is>
          <t>Scenario</t>
        </is>
      </c>
      <c r="D3" s="10" t="inlineStr">
        <is>
          <t>Status</t>
        </is>
      </c>
      <c r="E3" s="10" t="inlineStr">
        <is>
          <t>FilingStatusOptions</t>
        </is>
      </c>
      <c r="F3" s="10" t="inlineStr">
        <is>
          <t>Yes_No</t>
        </is>
      </c>
      <c r="G3" s="10" t="inlineStr">
        <is>
          <t>NIIT_Class</t>
        </is>
      </c>
      <c r="H3" s="10" t="inlineStr">
        <is>
          <t>Provenance</t>
        </is>
      </c>
    </row>
    <row r="4">
      <c r="A4" t="inlineStr">
        <is>
          <t>Business Income</t>
        </is>
      </c>
      <c r="B4" t="inlineStr">
        <is>
          <t>Baseline</t>
        </is>
      </c>
      <c r="C4" t="inlineStr">
        <is>
          <t>Baseline</t>
        </is>
      </c>
      <c r="D4" t="inlineStr">
        <is>
          <t>Proposed</t>
        </is>
      </c>
      <c r="E4" t="inlineStr">
        <is>
          <t>Single</t>
        </is>
      </c>
      <c r="F4" t="inlineStr">
        <is>
          <t>Yes</t>
        </is>
      </c>
      <c r="G4" t="inlineStr">
        <is>
          <t>Active</t>
        </is>
      </c>
      <c r="H4" t="inlineStr">
        <is>
          <t>PY Rolled Forward</t>
        </is>
      </c>
    </row>
    <row r="5">
      <c r="A5" t="inlineStr">
        <is>
          <t>Wages</t>
        </is>
      </c>
      <c r="B5" t="inlineStr">
        <is>
          <t>Adjustment</t>
        </is>
      </c>
      <c r="C5" t="inlineStr">
        <is>
          <t>Override</t>
        </is>
      </c>
      <c r="D5" t="inlineStr">
        <is>
          <t>Approved</t>
        </is>
      </c>
      <c r="E5" t="inlineStr">
        <is>
          <t>MFJ</t>
        </is>
      </c>
      <c r="F5" t="inlineStr">
        <is>
          <t>No</t>
        </is>
      </c>
      <c r="G5" t="inlineStr">
        <is>
          <t>Passive</t>
        </is>
      </c>
      <c r="H5" t="inlineStr">
        <is>
          <t>PY Actuals</t>
        </is>
      </c>
    </row>
    <row r="6">
      <c r="A6" t="inlineStr">
        <is>
          <t>Investment Income</t>
        </is>
      </c>
      <c r="B6" t="inlineStr">
        <is>
          <t>Tax Strategy</t>
        </is>
      </c>
      <c r="C6" t="inlineStr">
        <is>
          <t>S1</t>
        </is>
      </c>
      <c r="D6" t="inlineStr">
        <is>
          <t>Committed</t>
        </is>
      </c>
      <c r="E6" t="inlineStr">
        <is>
          <t>MFS</t>
        </is>
      </c>
      <c r="G6" t="inlineStr">
        <is>
          <t>Portfolio</t>
        </is>
      </c>
      <c r="H6" t="inlineStr">
        <is>
          <t>Estimate - Preparer</t>
        </is>
      </c>
    </row>
    <row r="7">
      <c r="A7" t="inlineStr">
        <is>
          <t>Capital Gains</t>
        </is>
      </c>
      <c r="C7" t="inlineStr">
        <is>
          <t>S2</t>
        </is>
      </c>
      <c r="D7" t="inlineStr">
        <is>
          <t>Implemented</t>
        </is>
      </c>
      <c r="E7" t="inlineStr">
        <is>
          <t>HOH</t>
        </is>
      </c>
      <c r="G7" t="inlineStr">
        <is>
          <t>N/A</t>
        </is>
      </c>
      <c r="H7" t="inlineStr">
        <is>
          <t>Estimate - Client</t>
        </is>
      </c>
    </row>
    <row r="8">
      <c r="A8" t="inlineStr">
        <is>
          <t>Adjustment</t>
        </is>
      </c>
      <c r="C8" t="inlineStr">
        <is>
          <t>AsFiled</t>
        </is>
      </c>
      <c r="D8" t="inlineStr">
        <is>
          <t>Converted_To_Input</t>
        </is>
      </c>
      <c r="E8" t="inlineStr">
        <is>
          <t>QW</t>
        </is>
      </c>
      <c r="H8" t="inlineStr">
        <is>
          <t>PBC - Requested</t>
        </is>
      </c>
    </row>
    <row r="9">
      <c r="A9" t="inlineStr">
        <is>
          <t>Itemized</t>
        </is>
      </c>
      <c r="D9" t="inlineStr">
        <is>
          <t>Rejected</t>
        </is>
      </c>
      <c r="H9" t="inlineStr">
        <is>
          <t>PBC - Received</t>
        </is>
      </c>
    </row>
    <row r="10">
      <c r="A10" t="inlineStr">
        <is>
          <t>Credit</t>
        </is>
      </c>
      <c r="H10" t="inlineStr">
        <is>
          <t>PBC - Reviewed</t>
        </is>
      </c>
    </row>
    <row r="11">
      <c r="A11" t="inlineStr">
        <is>
          <t>Payment</t>
        </is>
      </c>
      <c r="H11" t="inlineStr">
        <is>
          <t>Extraction - Imported</t>
        </is>
      </c>
    </row>
    <row r="12">
      <c r="H12" t="inlineStr">
        <is>
          <t>Extraction - Tied</t>
        </is>
      </c>
    </row>
    <row r="13">
      <c r="H13" t="inlineStr">
        <is>
          <t>System Calculated</t>
        </is>
      </c>
    </row>
    <row r="15">
      <c r="A15" s="3" t="inlineStr">
        <is>
          <t>▸ PER-BUCKET TREATMENT_PROFILE LISTS  (named ranges keyed to bucket name with spaces removed)</t>
        </is>
      </c>
    </row>
    <row r="16">
      <c r="A16" s="10" t="inlineStr">
        <is>
          <t>BusinessIncome_Profiles</t>
        </is>
      </c>
      <c r="B16" s="10" t="inlineStr">
        <is>
          <t>Wages_Profiles</t>
        </is>
      </c>
      <c r="C16" s="10" t="inlineStr">
        <is>
          <t>InvestmentIncome_Profiles</t>
        </is>
      </c>
      <c r="D16" s="10" t="inlineStr">
        <is>
          <t>CapitalGains_Profiles</t>
        </is>
      </c>
      <c r="E16" s="10" t="inlineStr">
        <is>
          <t>Adjustment_Profiles</t>
        </is>
      </c>
      <c r="F16" s="10" t="inlineStr">
        <is>
          <t>Itemized_Profiles</t>
        </is>
      </c>
      <c r="G16" s="10" t="inlineStr">
        <is>
          <t>Credit_Profiles</t>
        </is>
      </c>
      <c r="H16" s="10" t="inlineStr">
        <is>
          <t>Payment_Profiles</t>
        </is>
      </c>
    </row>
    <row r="17">
      <c r="A17" t="inlineStr">
        <is>
          <t>SchC_Active</t>
        </is>
      </c>
      <c r="B17" t="inlineStr">
        <is>
          <t>W2_Employee</t>
        </is>
      </c>
      <c r="C17" t="inlineStr">
        <is>
          <t>Int_Taxable</t>
        </is>
      </c>
      <c r="D17" t="inlineStr">
        <is>
          <t>LTCG_Stock</t>
        </is>
      </c>
      <c r="E17" t="inlineStr">
        <is>
          <t>Adj_HSA</t>
        </is>
      </c>
      <c r="F17" t="inlineStr">
        <is>
          <t>Itm_Medical</t>
        </is>
      </c>
      <c r="G17" t="inlineStr">
        <is>
          <t>Cr_CTC</t>
        </is>
      </c>
      <c r="H17" t="inlineStr">
        <is>
          <t>Pmt_Withholding</t>
        </is>
      </c>
    </row>
    <row r="18">
      <c r="A18" t="inlineStr">
        <is>
          <t>SchE_Rental</t>
        </is>
      </c>
      <c r="B18" t="inlineStr">
        <is>
          <t>W2_SCorpOwner</t>
        </is>
      </c>
      <c r="C18" t="inlineStr">
        <is>
          <t>Int_Exempt</t>
        </is>
      </c>
      <c r="D18" t="inlineStr">
        <is>
          <t>STCG_Stock</t>
        </is>
      </c>
      <c r="E18" t="inlineStr">
        <is>
          <t>Adj_IRA</t>
        </is>
      </c>
      <c r="F18" t="inlineStr">
        <is>
          <t>Itm_SALT</t>
        </is>
      </c>
      <c r="G18" t="inlineStr">
        <is>
          <t>Cr_Education</t>
        </is>
      </c>
      <c r="H18" t="inlineStr">
        <is>
          <t>Pmt_EstTax</t>
        </is>
      </c>
    </row>
    <row r="19">
      <c r="A19" t="inlineStr">
        <is>
          <t>SchE_REPro</t>
        </is>
      </c>
      <c r="C19" t="inlineStr">
        <is>
          <t>Div_Qualified</t>
        </is>
      </c>
      <c r="D19" t="inlineStr">
        <is>
          <t>LTCG_RE</t>
        </is>
      </c>
      <c r="E19" t="inlineStr">
        <is>
          <t>Adj_Retirement</t>
        </is>
      </c>
      <c r="F19" t="inlineStr">
        <is>
          <t>Itm_Mortgage</t>
        </is>
      </c>
      <c r="G19" t="inlineStr">
        <is>
          <t>Cr_FTC</t>
        </is>
      </c>
    </row>
    <row r="20">
      <c r="A20" t="inlineStr">
        <is>
          <t>SchF_Active</t>
        </is>
      </c>
      <c r="C20" t="inlineStr">
        <is>
          <t>Div_Ordinary</t>
        </is>
      </c>
      <c r="D20" t="inlineStr">
        <is>
          <t>Sec1250_Recap</t>
        </is>
      </c>
      <c r="E20" t="inlineStr">
        <is>
          <t>Adj_SEHealth</t>
        </is>
      </c>
      <c r="F20" t="inlineStr">
        <is>
          <t>Itm_Charity</t>
        </is>
      </c>
    </row>
    <row r="21">
      <c r="A21" t="inlineStr">
        <is>
          <t>K1_PTP_Active</t>
        </is>
      </c>
      <c r="D21" t="inlineStr">
        <is>
          <t>LTCG_K1_Passthrough</t>
        </is>
      </c>
      <c r="E21" t="inlineStr">
        <is>
          <t>Adj_StudentLoan</t>
        </is>
      </c>
    </row>
    <row r="22">
      <c r="A22" t="inlineStr">
        <is>
          <t>K1_PTP_Passive</t>
        </is>
      </c>
    </row>
    <row r="23">
      <c r="A23" t="inlineStr">
        <is>
          <t>K1_SCorp_Active</t>
        </is>
      </c>
    </row>
    <row r="24">
      <c r="A24" t="inlineStr">
        <is>
          <t>K1_SCorp_Passive</t>
        </is>
      </c>
    </row>
    <row r="25">
      <c r="A25" t="inlineStr">
        <is>
          <t>Trust_K1</t>
        </is>
      </c>
    </row>
    <row r="30">
      <c r="A30" s="3" t="inlineStr">
        <is>
          <t>▸ PER-BUCKET SOURCE_DOCUMENT LISTS</t>
        </is>
      </c>
    </row>
    <row r="31">
      <c r="A31" s="10" t="inlineStr">
        <is>
          <t>BusinessIncome_Docs</t>
        </is>
      </c>
      <c r="B31" s="10" t="inlineStr">
        <is>
          <t>Wages_Docs</t>
        </is>
      </c>
      <c r="C31" s="10" t="inlineStr">
        <is>
          <t>InvestmentIncome_Docs</t>
        </is>
      </c>
      <c r="D31" s="10" t="inlineStr">
        <is>
          <t>CapitalGains_Docs</t>
        </is>
      </c>
      <c r="E31" s="10" t="inlineStr">
        <is>
          <t>Adjustment_Docs</t>
        </is>
      </c>
      <c r="F31" s="10" t="inlineStr">
        <is>
          <t>Itemized_Docs</t>
        </is>
      </c>
      <c r="G31" s="10" t="inlineStr">
        <is>
          <t>Credit_Docs</t>
        </is>
      </c>
      <c r="H31" s="10" t="inlineStr">
        <is>
          <t>Payment_Docs</t>
        </is>
      </c>
    </row>
    <row r="32">
      <c r="A32" t="inlineStr">
        <is>
          <t>K-1</t>
        </is>
      </c>
      <c r="B32" t="inlineStr">
        <is>
          <t>W-2</t>
        </is>
      </c>
      <c r="C32" t="inlineStr">
        <is>
          <t>1099-INT</t>
        </is>
      </c>
      <c r="D32" t="inlineStr">
        <is>
          <t>1099-B</t>
        </is>
      </c>
      <c r="E32" t="inlineStr">
        <is>
          <t>HSA Stmt</t>
        </is>
      </c>
      <c r="F32" t="inlineStr">
        <is>
          <t>Charity Receipts</t>
        </is>
      </c>
      <c r="G32" t="inlineStr">
        <is>
          <t>CTC Verification</t>
        </is>
      </c>
      <c r="H32" t="inlineStr">
        <is>
          <t>Withholding Stmt</t>
        </is>
      </c>
    </row>
    <row r="33">
      <c r="A33" t="inlineStr">
        <is>
          <t>P&amp;L Statement</t>
        </is>
      </c>
      <c r="B33" t="inlineStr">
        <is>
          <t>Paystub Summary</t>
        </is>
      </c>
      <c r="C33" t="inlineStr">
        <is>
          <t>1099-DIV</t>
        </is>
      </c>
      <c r="D33" t="inlineStr">
        <is>
          <t>Settlement Statement</t>
        </is>
      </c>
      <c r="E33" t="inlineStr">
        <is>
          <t>IRA Receipt</t>
        </is>
      </c>
      <c r="F33" t="inlineStr">
        <is>
          <t>1098 Mortgage</t>
        </is>
      </c>
      <c r="G33" t="inlineStr">
        <is>
          <t>1098-T</t>
        </is>
      </c>
      <c r="H33" t="inlineStr">
        <is>
          <t>Est Tax Vouchers</t>
        </is>
      </c>
    </row>
    <row r="34">
      <c r="A34" t="inlineStr">
        <is>
          <t>QuickBooks Export</t>
        </is>
      </c>
      <c r="B34" t="inlineStr">
        <is>
          <t>S-Corp Officer Comp Wkpr</t>
        </is>
      </c>
      <c r="C34" t="inlineStr">
        <is>
          <t>Broker Year-End Stmt</t>
        </is>
      </c>
      <c r="D34" t="inlineStr">
        <is>
          <t>K-1 (passthrough)</t>
        </is>
      </c>
      <c r="E34" t="inlineStr">
        <is>
          <t>Retirement Plan Stmt</t>
        </is>
      </c>
      <c r="F34" t="inlineStr">
        <is>
          <t>Property Tax Receipt</t>
        </is>
      </c>
      <c r="G34" t="inlineStr">
        <is>
          <t>FTC Workpaper</t>
        </is>
      </c>
    </row>
    <row r="35">
      <c r="A35" t="inlineStr">
        <is>
          <t>Sch C Workpaper</t>
        </is>
      </c>
      <c r="D35" t="inlineStr">
        <is>
          <t>8949 detail</t>
        </is>
      </c>
      <c r="E35" t="inlineStr">
        <is>
          <t>1098-E</t>
        </is>
      </c>
      <c r="F35" t="inlineStr">
        <is>
          <t>Medical Receipts</t>
        </is>
      </c>
    </row>
    <row r="36">
      <c r="A36" t="inlineStr">
        <is>
          <t>Sch E Workpaper</t>
        </is>
      </c>
      <c r="E36" t="inlineStr">
        <is>
          <t>SE Health Premium</t>
        </is>
      </c>
    </row>
    <row r="37">
      <c r="A37" t="inlineStr">
        <is>
          <t>Sch F Workpaper</t>
        </is>
      </c>
    </row>
    <row r="38">
      <c r="A38" t="inlineStr">
        <is>
          <t>PY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2026-05-18T21:48:35Z</dcterms:created>
  <dcterms:modified xsi:type="dcterms:W3CDTF">2026-05-18T21:48:35Z</dcterms:modified>
</cp:coreProperties>
</file>
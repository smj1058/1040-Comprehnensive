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2025" sheetId="1" state="visible" r:id="rId1"/>
    <sheet name="Dropdown_Lists" sheetId="2" state="visible" r:id="rId2"/>
  </sheets>
  <definedNames>
    <definedName name="Bucket">'Dropdown_Lists'!$A$4:$A$11</definedName>
    <definedName name="Yes_No">'Dropdown_Lists'!$B$4:$B$5</definedName>
    <definedName name="NIIT_Class">'Dropdown_Lists'!$C$4:$C$7</definedName>
    <definedName name="Provenance">'Dropdown_Lists'!$D$4:$D$13</definedName>
    <definedName name="BusinessIncome_Profiles">'Dropdown_Lists'!$A$18:$A$26</definedName>
    <definedName name="Wages_Profiles">'Dropdown_Lists'!$B$18:$B$19</definedName>
    <definedName name="InvestmentIncome_Profiles">'Dropdown_Lists'!$C$18:$C$21</definedName>
    <definedName name="CapitalGains_Profiles">'Dropdown_Lists'!$D$18:$D$22</definedName>
    <definedName name="Adjustment_Profiles">'Dropdown_Lists'!$E$18:$E$22</definedName>
    <definedName name="Itemized_Profiles">'Dropdown_Lists'!$F$18:$F$21</definedName>
    <definedName name="Credit_Profiles">'Dropdown_Lists'!$G$18:$G$20</definedName>
    <definedName name="Payment_Profiles">'Dropdown_Lists'!$H$18:$H$19</definedName>
    <definedName name="BusinessIncome_Docs">'Dropdown_Lists'!$A$34:$A$40</definedName>
    <definedName name="Wages_Docs">'Dropdown_Lists'!$B$34:$B$36</definedName>
    <definedName name="InvestmentIncome_Docs">'Dropdown_Lists'!$C$34:$C$36</definedName>
    <definedName name="CapitalGains_Docs">'Dropdown_Lists'!$D$34:$D$37</definedName>
    <definedName name="Adjustment_Docs">'Dropdown_Lists'!$E$34:$E$38</definedName>
    <definedName name="Itemized_Docs">'Dropdown_Lists'!$F$34:$F$37</definedName>
    <definedName name="Credit_Docs">'Dropdown_Lists'!$G$34:$G$36</definedName>
    <definedName name="Payment_Docs">'Dropdown_Lists'!$H$34:$H$35</definedName>
    <definedName name="Include_Adjustments">'Y2025'!$T$3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b val="1"/>
      <color rgb="00FFFFFF"/>
      <sz val="11"/>
    </font>
    <font>
      <name val="Calibri"/>
      <b val="1"/>
      <color rgb="00305496"/>
      <sz val="10"/>
    </font>
    <font>
      <name val="Calibri"/>
      <i val="1"/>
      <color rgb="00595959"/>
      <sz val="9"/>
    </font>
    <font>
      <b val="1"/>
      <color rgb="00305496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Y2025_Inputs" displayName="tblY2025_Inputs" ref="A5:P12" headerRowCount="1">
  <autoFilter ref="A5:P12"/>
  <tableColumns count="16">
    <tableColumn id="1" name="Source_ID"/>
    <tableColumn id="2" name="Bucket"/>
    <tableColumn id="3" name="Treatment_Profile"/>
    <tableColumn id="4" name="Source_Document"/>
    <tableColumn id="5" name="Payor"/>
    <tableColumn id="6" name="Baseline_Amount"/>
    <tableColumn id="7" name="Helper_Amount"/>
    <tableColumn id="8" name="Adjustment_Amount"/>
    <tableColumn id="9" name="Consider"/>
    <tableColumn id="10" name="Provenance"/>
    <tableColumn id="11" name="SE_Subject"/>
    <tableColumn id="12" name="NIIT_Class"/>
    <tableColumn id="13" name="QBI_Eligible"/>
    <tableColumn id="14" name="Primary_Line"/>
    <tableColumn id="15" name="Helper_Treatment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24" customWidth="1" min="9" max="9"/>
    <col width="18" customWidth="1" min="10" max="10"/>
    <col width="11" customWidth="1" min="11" max="11"/>
    <col width="12" customWidth="1" min="12" max="12"/>
    <col width="13" customWidth="1" min="13" max="13"/>
    <col width="11" customWidth="1" min="14" max="14"/>
    <col width="18" customWidth="1" min="15" max="15"/>
    <col width="30" customWidth="1" min="16" max="16"/>
    <col width="3" customWidth="1" min="17" max="17"/>
    <col width="3" customWidth="1" min="18" max="18"/>
    <col width="22" customWidth="1" min="19" max="19"/>
    <col width="8" customWidth="1" min="20" max="20"/>
    <col width="32" customWidth="1" min="21" max="21"/>
    <col width="13" customWidth="1" min="22" max="22"/>
    <col width="13" customWidth="1" min="23" max="23"/>
    <col width="14" customWidth="1" min="24" max="24"/>
  </cols>
  <sheetData>
    <row r="1">
      <c r="A1" s="1" t="inlineStr">
        <is>
          <t>Y2025 — current-year tax workbook (sample)</t>
        </is>
      </c>
    </row>
    <row r="2">
      <c r="A2" s="2" t="inlineStr">
        <is>
          <t>INPUT TABLE: A:Q  •  ROLLUP: T:Y  •  Yellow = preparer input.  Toggle Include_Adjustments at T3.</t>
        </is>
      </c>
    </row>
    <row r="3">
      <c r="S3" s="3" t="inlineStr">
        <is>
          <t>Include_Adjustments →</t>
        </is>
      </c>
      <c r="T3" s="4" t="inlineStr">
        <is>
          <t>Yes</t>
        </is>
      </c>
    </row>
    <row r="4">
      <c r="T4" s="5" t="inlineStr">
        <is>
          <t>2025 ROLLUP</t>
        </is>
      </c>
    </row>
    <row r="5">
      <c r="A5" s="6" t="inlineStr">
        <is>
          <t>Source_ID</t>
        </is>
      </c>
      <c r="B5" s="6" t="inlineStr">
        <is>
          <t>Bucket</t>
        </is>
      </c>
      <c r="C5" s="6" t="inlineStr">
        <is>
          <t>Treatment_Profile</t>
        </is>
      </c>
      <c r="D5" s="6" t="inlineStr">
        <is>
          <t>Source_Document</t>
        </is>
      </c>
      <c r="E5" s="6" t="inlineStr">
        <is>
          <t>Payor</t>
        </is>
      </c>
      <c r="F5" s="6" t="inlineStr">
        <is>
          <t>Baseline_Amount</t>
        </is>
      </c>
      <c r="G5" s="6" t="inlineStr">
        <is>
          <t>Helper_Amount</t>
        </is>
      </c>
      <c r="H5" s="6" t="inlineStr">
        <is>
          <t>Adjustment_Amount</t>
        </is>
      </c>
      <c r="I5" s="6" t="inlineStr">
        <is>
          <t>Consider</t>
        </is>
      </c>
      <c r="J5" s="6" t="inlineStr">
        <is>
          <t>Provenance</t>
        </is>
      </c>
      <c r="K5" s="6" t="inlineStr">
        <is>
          <t>SE_Subject</t>
        </is>
      </c>
      <c r="L5" s="6" t="inlineStr">
        <is>
          <t>NIIT_Class</t>
        </is>
      </c>
      <c r="M5" s="6" t="inlineStr">
        <is>
          <t>QBI_Eligible</t>
        </is>
      </c>
      <c r="N5" s="6" t="inlineStr">
        <is>
          <t>Primary_Line</t>
        </is>
      </c>
      <c r="O5" s="6" t="inlineStr">
        <is>
          <t>Helper_Treatment</t>
        </is>
      </c>
      <c r="P5" s="6" t="inlineStr">
        <is>
          <t>Notes</t>
        </is>
      </c>
      <c r="T5" s="6" t="inlineStr">
        <is>
          <t>Line</t>
        </is>
      </c>
      <c r="U5" s="6" t="inlineStr">
        <is>
          <t>Description</t>
        </is>
      </c>
      <c r="V5" s="6" t="inlineStr">
        <is>
          <t>Baseline</t>
        </is>
      </c>
      <c r="W5" s="6" t="inlineStr">
        <is>
          <t>Adj</t>
        </is>
      </c>
      <c r="X5" s="6" t="inlineStr">
        <is>
          <t>Effective</t>
        </is>
      </c>
    </row>
    <row r="6">
      <c r="A6" s="7" t="inlineStr">
        <is>
          <t>Y25-001</t>
        </is>
      </c>
      <c r="B6" s="7" t="inlineStr">
        <is>
          <t>Wages</t>
        </is>
      </c>
      <c r="C6" s="7" t="inlineStr">
        <is>
          <t>W2_SCorpOwner</t>
        </is>
      </c>
      <c r="D6" s="7" t="inlineStr">
        <is>
          <t>W-2</t>
        </is>
      </c>
      <c r="E6" s="7" t="inlineStr">
        <is>
          <t>SampleCo S-Corp</t>
        </is>
      </c>
      <c r="F6" s="7" t="n">
        <v>100000</v>
      </c>
      <c r="G6" s="7" t="n">
        <v>100000</v>
      </c>
      <c r="H6" s="7" t="n">
        <v>-25000</v>
      </c>
      <c r="I6" s="7" t="inlineStr">
        <is>
          <t>Owner reasonable comp; planning adjustment -$25K</t>
        </is>
      </c>
      <c r="J6" s="7" t="inlineStr">
        <is>
          <t>Estimate - Preparer</t>
        </is>
      </c>
      <c r="K6" s="7" t="inlineStr">
        <is>
          <t>No</t>
        </is>
      </c>
      <c r="L6" s="7" t="inlineStr">
        <is>
          <t>Active</t>
        </is>
      </c>
      <c r="M6" s="7" t="inlineStr">
        <is>
          <t>No</t>
        </is>
      </c>
      <c r="N6" s="7" t="inlineStr">
        <is>
          <t>1z</t>
        </is>
      </c>
      <c r="O6" s="7" t="inlineStr">
        <is>
          <t>OWNER_PAY</t>
        </is>
      </c>
      <c r="P6" s="7" t="inlineStr">
        <is>
          <t>S-Corp salary reduction planned</t>
        </is>
      </c>
      <c r="T6" t="inlineStr">
        <is>
          <t>1z</t>
        </is>
      </c>
      <c r="U6" t="inlineStr">
        <is>
          <t>Wages</t>
        </is>
      </c>
      <c r="V6">
        <f>SUMIFS(tblY2025_Inputs[Baseline_Amount], tblY2025_Inputs[Primary_Line], $T6)</f>
        <v/>
      </c>
      <c r="W6">
        <f>SUMIFS(tblY2025_Inputs[Adjustment_Amount], tblY2025_Inputs[Primary_Line], $T6)</f>
        <v/>
      </c>
      <c r="X6">
        <f>V6+IF(Include_Adjustments="Yes", W6, 0)</f>
        <v/>
      </c>
    </row>
    <row r="7">
      <c r="A7" s="7" t="inlineStr">
        <is>
          <t>Y25-002</t>
        </is>
      </c>
      <c r="B7" s="7" t="inlineStr">
        <is>
          <t>Business Income</t>
        </is>
      </c>
      <c r="C7" s="7" t="inlineStr">
        <is>
          <t>K1_SCorp_Active</t>
        </is>
      </c>
      <c r="D7" s="7" t="inlineStr">
        <is>
          <t>K-1</t>
        </is>
      </c>
      <c r="E7" s="7" t="inlineStr">
        <is>
          <t>SampleCo S-Corp K-1</t>
        </is>
      </c>
      <c r="F7" s="7" t="n">
        <v>200000</v>
      </c>
      <c r="G7" s="7" t="n">
        <v>0</v>
      </c>
      <c r="H7" s="7" t="n">
        <v>0</v>
      </c>
      <c r="I7" s="7" t="inlineStr">
        <is>
          <t>Active S-corp K-1</t>
        </is>
      </c>
      <c r="J7" s="7" t="inlineStr">
        <is>
          <t>PY Rolled Forward</t>
        </is>
      </c>
      <c r="K7" s="7" t="inlineStr">
        <is>
          <t>No</t>
        </is>
      </c>
      <c r="L7" s="7" t="inlineStr">
        <is>
          <t>Active</t>
        </is>
      </c>
      <c r="M7" s="7" t="inlineStr">
        <is>
          <t>Yes</t>
        </is>
      </c>
      <c r="N7" s="7" t="inlineStr">
        <is>
          <t>10</t>
        </is>
      </c>
      <c r="O7" s="7" t="inlineStr">
        <is>
          <t>K1_SPLIT</t>
        </is>
      </c>
      <c r="P7" s="7" t="inlineStr"/>
      <c r="T7" t="inlineStr">
        <is>
          <t>2a</t>
        </is>
      </c>
      <c r="U7" t="inlineStr">
        <is>
          <t>Tax-exempt interest</t>
        </is>
      </c>
      <c r="V7">
        <f>SUMIFS(tblY2025_Inputs[Helper_Amount], tblY2025_Inputs[Helper_Treatment], "TAX_EXEMPT")</f>
        <v/>
      </c>
      <c r="W7">
        <f>SUMIFS(tblY2025_Inputs[Adjustment_Amount], tblY2025_Inputs[Primary_Line], $T7)</f>
        <v/>
      </c>
      <c r="X7">
        <f>V7+IF(Include_Adjustments="Yes", W7, 0)</f>
        <v/>
      </c>
    </row>
    <row r="8">
      <c r="A8" s="7" t="inlineStr">
        <is>
          <t>Y25-003</t>
        </is>
      </c>
      <c r="B8" s="7" t="inlineStr">
        <is>
          <t>Investment Income</t>
        </is>
      </c>
      <c r="C8" s="7" t="inlineStr">
        <is>
          <t>Div_Qualified</t>
        </is>
      </c>
      <c r="D8" s="7" t="inlineStr">
        <is>
          <t>1099-DIV</t>
        </is>
      </c>
      <c r="E8" s="7" t="inlineStr">
        <is>
          <t>Brokerage</t>
        </is>
      </c>
      <c r="F8" s="7" t="n">
        <v>10000</v>
      </c>
      <c r="G8" s="7" t="n">
        <v>7000</v>
      </c>
      <c r="H8" s="7" t="n">
        <v>0</v>
      </c>
      <c r="I8" s="7" t="inlineStr">
        <is>
          <t>$7K qualified</t>
        </is>
      </c>
      <c r="J8" s="7" t="inlineStr">
        <is>
          <t>PBC - Received</t>
        </is>
      </c>
      <c r="K8" s="7" t="inlineStr">
        <is>
          <t>No</t>
        </is>
      </c>
      <c r="L8" s="7" t="inlineStr">
        <is>
          <t>Portfolio</t>
        </is>
      </c>
      <c r="M8" s="7" t="inlineStr">
        <is>
          <t>No</t>
        </is>
      </c>
      <c r="N8" s="7" t="inlineStr">
        <is>
          <t>3b</t>
        </is>
      </c>
      <c r="O8" s="7" t="inlineStr">
        <is>
          <t>QUAL_DIV</t>
        </is>
      </c>
      <c r="P8" s="7" t="inlineStr"/>
      <c r="T8" t="inlineStr">
        <is>
          <t>2b</t>
        </is>
      </c>
      <c r="U8" t="inlineStr">
        <is>
          <t>Taxable interest</t>
        </is>
      </c>
      <c r="V8">
        <f>SUMIFS(tblY2025_Inputs[Baseline_Amount], tblY2025_Inputs[Primary_Line], $T8)</f>
        <v/>
      </c>
      <c r="W8">
        <f>SUMIFS(tblY2025_Inputs[Adjustment_Amount], tblY2025_Inputs[Primary_Line], $T8)</f>
        <v/>
      </c>
      <c r="X8">
        <f>V8+IF(Include_Adjustments="Yes", W8, 0)</f>
        <v/>
      </c>
    </row>
    <row r="9">
      <c r="A9" s="7" t="inlineStr">
        <is>
          <t>Y25-004</t>
        </is>
      </c>
      <c r="B9" s="7" t="inlineStr">
        <is>
          <t>Investment Income</t>
        </is>
      </c>
      <c r="C9" s="7" t="inlineStr">
        <is>
          <t>Int_Taxable</t>
        </is>
      </c>
      <c r="D9" s="7" t="inlineStr">
        <is>
          <t>1099-INT</t>
        </is>
      </c>
      <c r="E9" s="7" t="inlineStr">
        <is>
          <t>Brokerage</t>
        </is>
      </c>
      <c r="F9" s="7" t="n">
        <v>500</v>
      </c>
      <c r="G9" s="7" t="n">
        <v>0</v>
      </c>
      <c r="H9" s="7" t="n">
        <v>0</v>
      </c>
      <c r="I9" s="7" t="inlineStr">
        <is>
          <t>All taxable</t>
        </is>
      </c>
      <c r="J9" s="7" t="inlineStr">
        <is>
          <t>PBC - Received</t>
        </is>
      </c>
      <c r="K9" s="7" t="inlineStr">
        <is>
          <t>No</t>
        </is>
      </c>
      <c r="L9" s="7" t="inlineStr">
        <is>
          <t>Portfolio</t>
        </is>
      </c>
      <c r="M9" s="7" t="inlineStr">
        <is>
          <t>No</t>
        </is>
      </c>
      <c r="N9" s="7" t="inlineStr">
        <is>
          <t>2b</t>
        </is>
      </c>
      <c r="O9" s="7" t="inlineStr">
        <is>
          <t>TAX_EXEMPT</t>
        </is>
      </c>
      <c r="P9" s="7" t="inlineStr"/>
      <c r="T9" t="inlineStr">
        <is>
          <t>3a</t>
        </is>
      </c>
      <c r="U9" t="inlineStr">
        <is>
          <t>Qualified dividends (helper)</t>
        </is>
      </c>
      <c r="V9">
        <f>SUMIFS(tblY2025_Inputs[Helper_Amount], tblY2025_Inputs[Helper_Treatment], "QUAL_DIV")</f>
        <v/>
      </c>
      <c r="W9">
        <f>SUMIFS(tblY2025_Inputs[Adjustment_Amount], tblY2025_Inputs[Primary_Line], $T9)</f>
        <v/>
      </c>
      <c r="X9">
        <f>V9+IF(Include_Adjustments="Yes", W9, 0)</f>
        <v/>
      </c>
    </row>
    <row r="10">
      <c r="A10" s="7" t="inlineStr">
        <is>
          <t>Y25-005</t>
        </is>
      </c>
      <c r="B10" s="7" t="inlineStr">
        <is>
          <t>Capital Gains</t>
        </is>
      </c>
      <c r="C10" s="7" t="inlineStr">
        <is>
          <t>LTCG_Stock</t>
        </is>
      </c>
      <c r="D10" s="7" t="inlineStr">
        <is>
          <t>1099-B</t>
        </is>
      </c>
      <c r="E10" s="7" t="inlineStr">
        <is>
          <t>Brokerage</t>
        </is>
      </c>
      <c r="F10" s="7" t="n">
        <v>25000</v>
      </c>
      <c r="G10" s="7" t="n">
        <v>0</v>
      </c>
      <c r="H10" s="7" t="n">
        <v>0</v>
      </c>
      <c r="I10" s="7" t="inlineStr">
        <is>
          <t>All long-term</t>
        </is>
      </c>
      <c r="J10" s="7" t="inlineStr">
        <is>
          <t>PBC - Requested</t>
        </is>
      </c>
      <c r="K10" s="7" t="inlineStr">
        <is>
          <t>No</t>
        </is>
      </c>
      <c r="L10" s="7" t="inlineStr">
        <is>
          <t>Portfolio</t>
        </is>
      </c>
      <c r="M10" s="7" t="inlineStr">
        <is>
          <t>No</t>
        </is>
      </c>
      <c r="N10" s="7" t="inlineStr">
        <is>
          <t>7</t>
        </is>
      </c>
      <c r="O10" s="7" t="inlineStr">
        <is>
          <t>LTCG_SPLIT</t>
        </is>
      </c>
      <c r="P10" s="7" t="inlineStr"/>
      <c r="T10" t="inlineStr">
        <is>
          <t>3b</t>
        </is>
      </c>
      <c r="U10" t="inlineStr">
        <is>
          <t>Ordinary dividends (total)</t>
        </is>
      </c>
      <c r="V10">
        <f>SUMIFS(tblY2025_Inputs[Baseline_Amount], tblY2025_Inputs[Primary_Line], $T10)</f>
        <v/>
      </c>
      <c r="W10">
        <f>SUMIFS(tblY2025_Inputs[Adjustment_Amount], tblY2025_Inputs[Primary_Line], $T10)</f>
        <v/>
      </c>
      <c r="X10">
        <f>V10+IF(Include_Adjustments="Yes", W10, 0)</f>
        <v/>
      </c>
    </row>
    <row r="11">
      <c r="A11" s="7" t="inlineStr">
        <is>
          <t>Y25-006</t>
        </is>
      </c>
      <c r="B11" s="7" t="inlineStr">
        <is>
          <t>Adjustment</t>
        </is>
      </c>
      <c r="C11" s="7" t="inlineStr">
        <is>
          <t>Adj_HSA</t>
        </is>
      </c>
      <c r="D11" s="7" t="inlineStr">
        <is>
          <t>HSA Stmt</t>
        </is>
      </c>
      <c r="E11" s="7" t="inlineStr"/>
      <c r="F11" s="7" t="n">
        <v>-8550</v>
      </c>
      <c r="G11" s="7" t="n">
        <v>0</v>
      </c>
      <c r="H11" s="7" t="n">
        <v>0</v>
      </c>
      <c r="I11" s="7" t="inlineStr">
        <is>
          <t>Family HSA max</t>
        </is>
      </c>
      <c r="J11" s="7" t="inlineStr">
        <is>
          <t>Estimate - Preparer</t>
        </is>
      </c>
      <c r="K11" s="7" t="inlineStr">
        <is>
          <t>No</t>
        </is>
      </c>
      <c r="L11" s="7" t="inlineStr">
        <is>
          <t>N/A</t>
        </is>
      </c>
      <c r="M11" s="7" t="inlineStr">
        <is>
          <t>No</t>
        </is>
      </c>
      <c r="N11" s="7" t="inlineStr">
        <is>
          <t>10</t>
        </is>
      </c>
      <c r="O11" s="7" t="inlineStr">
        <is>
          <t>HSA</t>
        </is>
      </c>
      <c r="P11" s="7" t="inlineStr"/>
      <c r="T11" t="inlineStr">
        <is>
          <t>7</t>
        </is>
      </c>
      <c r="U11" t="inlineStr">
        <is>
          <t>Capital gain or (loss)</t>
        </is>
      </c>
      <c r="V11">
        <f>SUMIFS(tblY2025_Inputs[Baseline_Amount], tblY2025_Inputs[Primary_Line], $T11)</f>
        <v/>
      </c>
      <c r="W11">
        <f>SUMIFS(tblY2025_Inputs[Adjustment_Amount], tblY2025_Inputs[Primary_Line], $T11)</f>
        <v/>
      </c>
      <c r="X11">
        <f>V11+IF(Include_Adjustments="Yes", W11, 0)</f>
        <v/>
      </c>
    </row>
    <row r="12">
      <c r="A12" s="7" t="inlineStr">
        <is>
          <t>Y25-007</t>
        </is>
      </c>
      <c r="B12" s="7" t="inlineStr">
        <is>
          <t>Itemized</t>
        </is>
      </c>
      <c r="C12" s="7" t="inlineStr">
        <is>
          <t>Itm_SALT</t>
        </is>
      </c>
      <c r="D12" s="7" t="inlineStr">
        <is>
          <t>Property Tax Receipt</t>
        </is>
      </c>
      <c r="E12" s="7" t="inlineStr"/>
      <c r="F12" s="7" t="n">
        <v>10000</v>
      </c>
      <c r="G12" s="7" t="n">
        <v>0</v>
      </c>
      <c r="H12" s="7" t="n">
        <v>0</v>
      </c>
      <c r="I12" s="7" t="inlineStr">
        <is>
          <t>SALT cap</t>
        </is>
      </c>
      <c r="J12" s="7" t="inlineStr">
        <is>
          <t>PBC - Received</t>
        </is>
      </c>
      <c r="K12" s="7" t="inlineStr">
        <is>
          <t>No</t>
        </is>
      </c>
      <c r="L12" s="7" t="inlineStr">
        <is>
          <t>N/A</t>
        </is>
      </c>
      <c r="M12" s="7" t="inlineStr">
        <is>
          <t>No</t>
        </is>
      </c>
      <c r="N12" s="7" t="inlineStr">
        <is>
          <t>12</t>
        </is>
      </c>
      <c r="O12" s="7" t="inlineStr">
        <is>
          <t>SALT</t>
        </is>
      </c>
      <c r="P12" s="7" t="inlineStr"/>
      <c r="T12" t="inlineStr">
        <is>
          <t>8</t>
        </is>
      </c>
      <c r="U12" t="inlineStr">
        <is>
          <t>Other income (Sch 1)</t>
        </is>
      </c>
      <c r="V12">
        <f>SUMIFS(tblY2025_Inputs[Baseline_Amount], tblY2025_Inputs[Primary_Line], $T12)</f>
        <v/>
      </c>
      <c r="W12">
        <f>SUMIFS(tblY2025_Inputs[Adjustment_Amount], tblY2025_Inputs[Primary_Line], $T12)</f>
        <v/>
      </c>
      <c r="X12">
        <f>V12+IF(Include_Adjustments="Yes", W12, 0)</f>
        <v/>
      </c>
    </row>
    <row r="13">
      <c r="T13" t="inlineStr">
        <is>
          <t>9</t>
        </is>
      </c>
      <c r="U13" t="inlineStr">
        <is>
          <t>TOTAL INCOME (aggregator)</t>
        </is>
      </c>
      <c r="V13">
        <f>SUMIFS(tblY2025_Inputs[Baseline_Amount], tblY2025_Inputs[Primary_Line], $T13)</f>
        <v/>
      </c>
      <c r="W13">
        <f>SUMIFS(tblY2025_Inputs[Adjustment_Amount], tblY2025_Inputs[Primary_Line], $T13)</f>
        <v/>
      </c>
      <c r="X13">
        <f>V13+IF(Include_Adjustments="Yes", W13, 0)</f>
        <v/>
      </c>
    </row>
    <row r="14">
      <c r="T14" t="inlineStr">
        <is>
          <t>10</t>
        </is>
      </c>
      <c r="U14" t="inlineStr">
        <is>
          <t>Adjustments to income</t>
        </is>
      </c>
      <c r="V14">
        <f>SUMIFS(tblY2025_Inputs[Baseline_Amount], tblY2025_Inputs[Primary_Line], $T14)</f>
        <v/>
      </c>
      <c r="W14">
        <f>SUMIFS(tblY2025_Inputs[Adjustment_Amount], tblY2025_Inputs[Primary_Line], $T14)</f>
        <v/>
      </c>
      <c r="X14">
        <f>V14+IF(Include_Adjustments="Yes", W14, 0)</f>
        <v/>
      </c>
    </row>
    <row r="15">
      <c r="T15" t="inlineStr">
        <is>
          <t>11</t>
        </is>
      </c>
      <c r="U15" t="inlineStr">
        <is>
          <t>AGI (aggregator)</t>
        </is>
      </c>
      <c r="V15">
        <f>SUMIFS(tblY2025_Inputs[Baseline_Amount], tblY2025_Inputs[Primary_Line], $T15)</f>
        <v/>
      </c>
      <c r="W15">
        <f>SUMIFS(tblY2025_Inputs[Adjustment_Amount], tblY2025_Inputs[Primary_Line], $T15)</f>
        <v/>
      </c>
      <c r="X15">
        <f>V15+IF(Include_Adjustments="Yes", W15, 0)</f>
        <v/>
      </c>
    </row>
    <row r="16">
      <c r="T16" t="inlineStr">
        <is>
          <t>12</t>
        </is>
      </c>
      <c r="U16" t="inlineStr">
        <is>
          <t>Std/Itemized deduction</t>
        </is>
      </c>
      <c r="V16">
        <f>SUMIFS(tblY2025_Inputs[Baseline_Amount], tblY2025_Inputs[Primary_Line], $T16)</f>
        <v/>
      </c>
      <c r="W16">
        <f>SUMIFS(tblY2025_Inputs[Adjustment_Amount], tblY2025_Inputs[Primary_Line], $T16)</f>
        <v/>
      </c>
      <c r="X16">
        <f>V16+IF(Include_Adjustments="Yes", W16, 0)</f>
        <v/>
      </c>
    </row>
    <row r="17">
      <c r="T17" t="inlineStr">
        <is>
          <t>13</t>
        </is>
      </c>
      <c r="U17" t="inlineStr">
        <is>
          <t>QBI deduction</t>
        </is>
      </c>
      <c r="V17">
        <f>SUMIFS(tblY2025_Inputs[Baseline_Amount], tblY2025_Inputs[Primary_Line], $T17)</f>
        <v/>
      </c>
      <c r="W17">
        <f>SUMIFS(tblY2025_Inputs[Adjustment_Amount], tblY2025_Inputs[Primary_Line], $T17)</f>
        <v/>
      </c>
      <c r="X17">
        <f>V17+IF(Include_Adjustments="Yes", W17, 0)</f>
        <v/>
      </c>
    </row>
    <row r="18">
      <c r="T18" t="inlineStr">
        <is>
          <t>15</t>
        </is>
      </c>
      <c r="U18" t="inlineStr">
        <is>
          <t>TAXABLE INCOME (aggregator)</t>
        </is>
      </c>
      <c r="V18">
        <f>SUMIFS(tblY2025_Inputs[Baseline_Amount], tblY2025_Inputs[Primary_Line], $T18)</f>
        <v/>
      </c>
      <c r="W18">
        <f>SUMIFS(tblY2025_Inputs[Adjustment_Amount], tblY2025_Inputs[Primary_Line], $T18)</f>
        <v/>
      </c>
      <c r="X18">
        <f>V18+IF(Include_Adjustments="Yes", W18, 0)</f>
        <v/>
      </c>
    </row>
    <row r="21">
      <c r="T21" s="5" t="inlineStr">
        <is>
          <t>TAX COMPUTATION (1040)</t>
        </is>
      </c>
    </row>
    <row r="22">
      <c r="T22" s="6" t="inlineStr">
        <is>
          <t>Component</t>
        </is>
      </c>
      <c r="U22" s="6" t="inlineStr">
        <is>
          <t>Note</t>
        </is>
      </c>
      <c r="V22" s="6" t="inlineStr">
        <is>
          <t>Amount</t>
        </is>
      </c>
    </row>
    <row r="23">
      <c r="T23" s="8" t="inlineStr">
        <is>
          <t>Ord Tax</t>
        </is>
      </c>
      <c r="U23" s="2" t="inlineStr">
        <is>
          <t>Calc_OrdinaryTax(TI, FilingStatus)</t>
        </is>
      </c>
      <c r="V23">
        <f>0  (KISS LAMBDA)</f>
        <v/>
      </c>
    </row>
    <row r="24">
      <c r="T24" s="8" t="inlineStr">
        <is>
          <t>LTCG Tax</t>
        </is>
      </c>
      <c r="U24" s="2" t="inlineStr">
        <is>
          <t>Calc_CapGainsTax(LTCG, OrdInc, FilingStatus)</t>
        </is>
      </c>
      <c r="V24">
        <f>0</f>
        <v/>
      </c>
    </row>
    <row r="25">
      <c r="T25" s="8" t="inlineStr">
        <is>
          <t>SE Tax</t>
        </is>
      </c>
      <c r="U25" s="2" t="inlineStr">
        <is>
          <t>Calc_SE_Tax(SE_inc, W2, FilingStatus)</t>
        </is>
      </c>
      <c r="V25">
        <f>0</f>
        <v/>
      </c>
    </row>
    <row r="26">
      <c r="T26" s="8" t="inlineStr">
        <is>
          <t>NIIT</t>
        </is>
      </c>
      <c r="U26" s="2" t="inlineStr">
        <is>
          <t>Calc_NIIT(MAGI, NII, FilingStatus)</t>
        </is>
      </c>
      <c r="V26">
        <f>0</f>
        <v/>
      </c>
    </row>
    <row r="27">
      <c r="T27" s="8" t="inlineStr">
        <is>
          <t>Addl Medicare</t>
        </is>
      </c>
      <c r="U27" s="2" t="inlineStr">
        <is>
          <t>AddlMedicareTax_FN(W2, SE, FilingStatus)</t>
        </is>
      </c>
      <c r="V27">
        <f>0</f>
        <v/>
      </c>
    </row>
    <row r="28">
      <c r="T28" s="9" t="inlineStr">
        <is>
          <t>TOTAL FED TAX</t>
        </is>
      </c>
      <c r="U28" s="2" t="inlineStr">
        <is>
          <t>SUM</t>
        </is>
      </c>
      <c r="V28">
        <f>SUM(V23:V27)</f>
        <v/>
      </c>
    </row>
    <row r="31">
      <c r="T31" s="5" t="inlineStr">
        <is>
          <t>▸ TRUE TAX BURDEN (1040 + FICA on owner W-2)</t>
        </is>
      </c>
    </row>
    <row r="32">
      <c r="T32" s="8" t="inlineStr">
        <is>
          <t>Owner W-2 Wages</t>
        </is>
      </c>
      <c r="V32">
        <f>SUMIFS(tblY2025_Inputs[Helper_Amount], tblY2025_Inputs[Helper_Treatment], "OWNER_PAY")</f>
        <v/>
      </c>
    </row>
    <row r="33">
      <c r="T33" s="8" t="inlineStr">
        <is>
          <t>FICA Employer Share</t>
        </is>
      </c>
      <c r="V33">
        <f>0  (replace with =FICA_EmployerTax_FN(&lt;above&gt;))</f>
        <v/>
      </c>
    </row>
    <row r="34">
      <c r="T34" s="8" t="inlineStr">
        <is>
          <t>FICA Employee Share</t>
        </is>
      </c>
      <c r="V34">
        <f>0  (replace with =FICA_EmployeeTax_FN(&lt;above&gt;))</f>
        <v/>
      </c>
    </row>
    <row r="35">
      <c r="T35" s="9" t="inlineStr">
        <is>
          <t>TOTAL ADDITIONAL</t>
        </is>
      </c>
      <c r="V35">
        <f>V33+V34</f>
        <v/>
      </c>
    </row>
    <row r="36">
      <c r="T36" s="9" t="inlineStr">
        <is>
          <t>TOTAL FED TAX (1040)</t>
        </is>
      </c>
      <c r="V36">
        <f>V28</f>
        <v/>
      </c>
    </row>
    <row r="37">
      <c r="T37" s="9" t="inlineStr">
        <is>
          <t>TRUE TAX BURDEN</t>
        </is>
      </c>
      <c r="V37">
        <f>V36+V35</f>
        <v/>
      </c>
    </row>
  </sheetData>
  <dataValidations count="7">
    <dataValidation sqref="B6:B200" showDropDown="0" showInputMessage="0" showErrorMessage="0" allowBlank="1" type="list">
      <formula1>=Bucket</formula1>
    </dataValidation>
    <dataValidation sqref="C6:C200" showDropDown="0" showInputMessage="0" showErrorMessage="0" allowBlank="1" type="list">
      <formula1>=INDIRECT(SUBSTITUTE($B6," ","")&amp;"_Profiles")</formula1>
    </dataValidation>
    <dataValidation sqref="D6:D200" showDropDown="0" showInputMessage="0" showErrorMessage="0" allowBlank="1" type="list">
      <formula1>=INDIRECT(SUBSTITUTE($B6," ","")&amp;"_Docs")</formula1>
    </dataValidation>
    <dataValidation sqref="J6:J200" showDropDown="0" showInputMessage="0" showErrorMessage="0" allowBlank="1" type="list">
      <formula1>=Provenance</formula1>
    </dataValidation>
    <dataValidation sqref="K6:K200" showDropDown="0" showInputMessage="0" showErrorMessage="0" allowBlank="1" type="list">
      <formula1>=Yes_No</formula1>
    </dataValidation>
    <dataValidation sqref="L6:L200" showDropDown="0" showInputMessage="0" showErrorMessage="0" allowBlank="1" type="list">
      <formula1>=NIIT_Class</formula1>
    </dataValidation>
    <dataValidation sqref="M6:M200" showDropDown="0" showInputMessage="0" showErrorMessage="0" allowBlank="1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DROPDOWN LISTS (driving data validation on the year sheet)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</row>
    <row r="8">
      <c r="A8" t="inlineStr">
        <is>
          <t>Adjustment</t>
        </is>
      </c>
      <c r="D8" t="inlineStr">
        <is>
          <t>PBC - Requested</t>
        </is>
      </c>
    </row>
    <row r="9">
      <c r="A9" t="inlineStr">
        <is>
          <t>Itemized</t>
        </is>
      </c>
      <c r="D9" t="inlineStr">
        <is>
          <t>PBC - Received</t>
        </is>
      </c>
    </row>
    <row r="10">
      <c r="A10" t="inlineStr">
        <is>
          <t>Credit</t>
        </is>
      </c>
      <c r="D10" t="inlineStr">
        <is>
          <t>PBC - Reviewed</t>
        </is>
      </c>
    </row>
    <row r="11">
      <c r="A11" t="inlineStr">
        <is>
          <t>Payment</t>
        </is>
      </c>
      <c r="D11" t="inlineStr">
        <is>
          <t>Extraction - Imported</t>
        </is>
      </c>
    </row>
    <row r="12">
      <c r="D12" t="inlineStr">
        <is>
          <t>Extraction - Tied</t>
        </is>
      </c>
    </row>
    <row r="13">
      <c r="D13" t="inlineStr">
        <is>
          <t>System Calculated</t>
        </is>
      </c>
    </row>
    <row r="16">
      <c r="A16" s="5" t="inlineStr">
        <is>
          <t>▸ PER-BUCKET TREATMENT_PROFILE LISTS</t>
        </is>
      </c>
    </row>
    <row r="17">
      <c r="A17" s="10" t="inlineStr">
        <is>
          <t>BusinessIncome_Profiles</t>
        </is>
      </c>
      <c r="B17" s="10" t="inlineStr">
        <is>
          <t>Wages_Profiles</t>
        </is>
      </c>
      <c r="C17" s="10" t="inlineStr">
        <is>
          <t>InvestmentIncome_Profiles</t>
        </is>
      </c>
      <c r="D17" s="10" t="inlineStr">
        <is>
          <t>CapitalGains_Profiles</t>
        </is>
      </c>
      <c r="E17" s="10" t="inlineStr">
        <is>
          <t>Adjustment_Profiles</t>
        </is>
      </c>
      <c r="F17" s="10" t="inlineStr">
        <is>
          <t>Itemized_Profiles</t>
        </is>
      </c>
      <c r="G17" s="10" t="inlineStr">
        <is>
          <t>Credit_Profiles</t>
        </is>
      </c>
      <c r="H17" s="10" t="inlineStr">
        <is>
          <t>Payment_Profiles</t>
        </is>
      </c>
    </row>
    <row r="18">
      <c r="A18" t="inlineStr">
        <is>
          <t>SchC_Active</t>
        </is>
      </c>
      <c r="B18" t="inlineStr">
        <is>
          <t>W2_Employee</t>
        </is>
      </c>
      <c r="C18" t="inlineStr">
        <is>
          <t>Int_Taxable</t>
        </is>
      </c>
      <c r="D18" t="inlineStr">
        <is>
          <t>LTCG_Stock</t>
        </is>
      </c>
      <c r="E18" t="inlineStr">
        <is>
          <t>Adj_HSA</t>
        </is>
      </c>
      <c r="F18" t="inlineStr">
        <is>
          <t>Itm_Medical</t>
        </is>
      </c>
      <c r="G18" t="inlineStr">
        <is>
          <t>Cr_CTC</t>
        </is>
      </c>
      <c r="H18" t="inlineStr">
        <is>
          <t>Pmt_Withholding</t>
        </is>
      </c>
    </row>
    <row r="19">
      <c r="A19" t="inlineStr">
        <is>
          <t>SchE_Rental</t>
        </is>
      </c>
      <c r="B19" t="inlineStr">
        <is>
          <t>W2_SCorpOwner</t>
        </is>
      </c>
      <c r="C19" t="inlineStr">
        <is>
          <t>Int_Exempt</t>
        </is>
      </c>
      <c r="D19" t="inlineStr">
        <is>
          <t>STCG_Stock</t>
        </is>
      </c>
      <c r="E19" t="inlineStr">
        <is>
          <t>Adj_IRA</t>
        </is>
      </c>
      <c r="F19" t="inlineStr">
        <is>
          <t>Itm_SALT</t>
        </is>
      </c>
      <c r="G19" t="inlineStr">
        <is>
          <t>Cr_Education</t>
        </is>
      </c>
      <c r="H19" t="inlineStr">
        <is>
          <t>Pmt_EstTax</t>
        </is>
      </c>
    </row>
    <row r="20">
      <c r="A20" t="inlineStr">
        <is>
          <t>SchE_REPro</t>
        </is>
      </c>
      <c r="C20" t="inlineStr">
        <is>
          <t>Div_Qualified</t>
        </is>
      </c>
      <c r="D20" t="inlineStr">
        <is>
          <t>LTCG_RE</t>
        </is>
      </c>
      <c r="E20" t="inlineStr">
        <is>
          <t>Adj_Retirement</t>
        </is>
      </c>
      <c r="F20" t="inlineStr">
        <is>
          <t>Itm_Mortgage</t>
        </is>
      </c>
      <c r="G20" t="inlineStr">
        <is>
          <t>Cr_FTC</t>
        </is>
      </c>
    </row>
    <row r="21">
      <c r="A21" t="inlineStr">
        <is>
          <t>SchF_Active</t>
        </is>
      </c>
      <c r="C21" t="inlineStr">
        <is>
          <t>Div_Ordinary</t>
        </is>
      </c>
      <c r="D21" t="inlineStr">
        <is>
          <t>Sec1250_Recap</t>
        </is>
      </c>
      <c r="E21" t="inlineStr">
        <is>
          <t>Adj_SEHealth</t>
        </is>
      </c>
      <c r="F21" t="inlineStr">
        <is>
          <t>Itm_Charity</t>
        </is>
      </c>
    </row>
    <row r="22">
      <c r="A22" t="inlineStr">
        <is>
          <t>K1_PTP_Active</t>
        </is>
      </c>
      <c r="D22" t="inlineStr">
        <is>
          <t>LTCG_K1_Passthrough</t>
        </is>
      </c>
      <c r="E22" t="inlineStr">
        <is>
          <t>Adj_StudentLoan</t>
        </is>
      </c>
    </row>
    <row r="23">
      <c r="A23" t="inlineStr">
        <is>
          <t>K1_PTP_Passive</t>
        </is>
      </c>
    </row>
    <row r="24">
      <c r="A24" t="inlineStr">
        <is>
          <t>K1_SCorp_Active</t>
        </is>
      </c>
    </row>
    <row r="25">
      <c r="A25" t="inlineStr">
        <is>
          <t>K1_SCorp_Passive</t>
        </is>
      </c>
    </row>
    <row r="26">
      <c r="A26" t="inlineStr">
        <is>
          <t>Trust_K1</t>
        </is>
      </c>
    </row>
    <row r="32">
      <c r="A32" s="5" t="inlineStr">
        <is>
          <t>▸ PER-BUCKET SOURCE_DOCUMENT LISTS</t>
        </is>
      </c>
    </row>
    <row r="33">
      <c r="A33" s="10" t="inlineStr">
        <is>
          <t>BusinessIncome_Docs</t>
        </is>
      </c>
      <c r="B33" s="10" t="inlineStr">
        <is>
          <t>Wages_Docs</t>
        </is>
      </c>
      <c r="C33" s="10" t="inlineStr">
        <is>
          <t>InvestmentIncome_Docs</t>
        </is>
      </c>
      <c r="D33" s="10" t="inlineStr">
        <is>
          <t>CapitalGains_Docs</t>
        </is>
      </c>
      <c r="E33" s="10" t="inlineStr">
        <is>
          <t>Adjustment_Docs</t>
        </is>
      </c>
      <c r="F33" s="10" t="inlineStr">
        <is>
          <t>Itemized_Docs</t>
        </is>
      </c>
      <c r="G33" s="10" t="inlineStr">
        <is>
          <t>Credit_Docs</t>
        </is>
      </c>
      <c r="H33" s="10" t="inlineStr">
        <is>
          <t>Payment_Docs</t>
        </is>
      </c>
    </row>
    <row r="34">
      <c r="A34" t="inlineStr">
        <is>
          <t>K-1</t>
        </is>
      </c>
      <c r="B34" t="inlineStr">
        <is>
          <t>W-2</t>
        </is>
      </c>
      <c r="C34" t="inlineStr">
        <is>
          <t>1099-INT</t>
        </is>
      </c>
      <c r="D34" t="inlineStr">
        <is>
          <t>1099-B</t>
        </is>
      </c>
      <c r="E34" t="inlineStr">
        <is>
          <t>HSA Stmt</t>
        </is>
      </c>
      <c r="F34" t="inlineStr">
        <is>
          <t>Charity Receipts</t>
        </is>
      </c>
      <c r="G34" t="inlineStr">
        <is>
          <t>CTC Verification</t>
        </is>
      </c>
      <c r="H34" t="inlineStr">
        <is>
          <t>Withholding Stmt</t>
        </is>
      </c>
    </row>
    <row r="35">
      <c r="A35" t="inlineStr">
        <is>
          <t>P&amp;L Statement</t>
        </is>
      </c>
      <c r="B35" t="inlineStr">
        <is>
          <t>Paystub Summary</t>
        </is>
      </c>
      <c r="C35" t="inlineStr">
        <is>
          <t>1099-DIV</t>
        </is>
      </c>
      <c r="D35" t="inlineStr">
        <is>
          <t>Settlement Statement</t>
        </is>
      </c>
      <c r="E35" t="inlineStr">
        <is>
          <t>IRA Receipt</t>
        </is>
      </c>
      <c r="F35" t="inlineStr">
        <is>
          <t>1098 Mortgage</t>
        </is>
      </c>
      <c r="G35" t="inlineStr">
        <is>
          <t>1098-T</t>
        </is>
      </c>
      <c r="H35" t="inlineStr">
        <is>
          <t>Est Tax Vouchers</t>
        </is>
      </c>
    </row>
    <row r="36">
      <c r="A36" t="inlineStr">
        <is>
          <t>QuickBooks Export</t>
        </is>
      </c>
      <c r="B36" t="inlineStr">
        <is>
          <t>S-Corp Officer Comp Wkpr</t>
        </is>
      </c>
      <c r="C36" t="inlineStr">
        <is>
          <t>Broker Year-End Stmt</t>
        </is>
      </c>
      <c r="D36" t="inlineStr">
        <is>
          <t>K-1 (passthrough)</t>
        </is>
      </c>
      <c r="E36" t="inlineStr">
        <is>
          <t>Retirement Plan Stmt</t>
        </is>
      </c>
      <c r="F36" t="inlineStr">
        <is>
          <t>Property Tax Receipt</t>
        </is>
      </c>
      <c r="G36" t="inlineStr">
        <is>
          <t>FTC Workpaper</t>
        </is>
      </c>
    </row>
    <row r="37">
      <c r="A37" t="inlineStr">
        <is>
          <t>Sch C Workpaper</t>
        </is>
      </c>
      <c r="D37" t="inlineStr">
        <is>
          <t>8949 detail</t>
        </is>
      </c>
      <c r="E37" t="inlineStr">
        <is>
          <t>1098-E</t>
        </is>
      </c>
      <c r="F37" t="inlineStr">
        <is>
          <t>Medical Receipts</t>
        </is>
      </c>
    </row>
    <row r="38">
      <c r="A38" t="inlineStr">
        <is>
          <t>Sch E Workpaper</t>
        </is>
      </c>
      <c r="E38" t="inlineStr">
        <is>
          <t>SE Health Premium</t>
        </is>
      </c>
    </row>
    <row r="39">
      <c r="A39" t="inlineStr">
        <is>
          <t>Sch F Workpaper</t>
        </is>
      </c>
    </row>
    <row r="40">
      <c r="A40" t="inlineStr">
        <is>
          <t>PY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2026-05-18T22:07:10Z</dcterms:created>
  <dcterms:modified xsi:type="dcterms:W3CDTF">2026-05-18T22:07:10Z</dcterms:modified>
</cp:coreProperties>
</file>